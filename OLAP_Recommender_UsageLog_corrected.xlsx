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Log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ttributs" sheetId="3" state="visible" r:id="rId3"/>
    <sheet xmlns:r="http://schemas.openxmlformats.org/officeDocument/2006/relationships" name="Similarity_Datasets" sheetId="4" state="visible" r:id="rId4"/>
    <sheet xmlns:r="http://schemas.openxmlformats.org/officeDocument/2006/relationships" name="Similarity_Attribut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34" customWidth="1" min="5" max="5"/>
    <col width="8" customWidth="1" min="6" max="6"/>
  </cols>
  <sheetData>
    <row r="1">
      <c r="A1" s="1" t="inlineStr">
        <is>
          <t>SessionID</t>
        </is>
      </c>
      <c r="B1" s="1" t="inlineStr">
        <is>
          <t>Persona</t>
        </is>
      </c>
      <c r="C1" s="1" t="inlineStr">
        <is>
          <t>Round</t>
        </is>
      </c>
      <c r="D1" s="1" t="inlineStr">
        <is>
          <t>ItemType</t>
        </is>
      </c>
      <c r="E1" s="1" t="inlineStr">
        <is>
          <t>ItemName</t>
        </is>
      </c>
      <c r="F1" s="1" t="inlineStr">
        <is>
          <t>Role</t>
        </is>
      </c>
    </row>
    <row r="2">
      <c r="A2" t="inlineStr">
        <is>
          <t>S001</t>
        </is>
      </c>
      <c r="B2" t="inlineStr">
        <is>
          <t>A1</t>
        </is>
      </c>
      <c r="C2" t="n">
        <v>1</v>
      </c>
      <c r="D2" t="inlineStr">
        <is>
          <t>Dataset</t>
        </is>
      </c>
      <c r="E2" t="inlineStr">
        <is>
          <t>SE_mysql.Users</t>
        </is>
      </c>
      <c r="F2" t="inlineStr">
        <is>
          <t>F</t>
        </is>
      </c>
    </row>
    <row r="3">
      <c r="A3" t="inlineStr">
        <is>
          <t>S001</t>
        </is>
      </c>
      <c r="B3" t="inlineStr">
        <is>
          <t>A1</t>
        </is>
      </c>
      <c r="C3" t="n">
        <v>1</v>
      </c>
      <c r="D3" t="inlineStr">
        <is>
          <t>Dataset</t>
        </is>
      </c>
      <c r="E3" t="inlineStr">
        <is>
          <t>SE_mysql.Votes</t>
        </is>
      </c>
      <c r="F3" t="inlineStr">
        <is>
          <t>D</t>
        </is>
      </c>
    </row>
    <row r="4">
      <c r="A4" t="inlineStr">
        <is>
          <t>S001</t>
        </is>
      </c>
      <c r="B4" t="inlineStr">
        <is>
          <t>A1</t>
        </is>
      </c>
      <c r="C4" t="n">
        <v>1</v>
      </c>
      <c r="D4" t="inlineStr">
        <is>
          <t>Attribute</t>
        </is>
      </c>
      <c r="E4" t="inlineStr">
        <is>
          <t>SE_mysql.Users.Reputation</t>
        </is>
      </c>
      <c r="F4" t="inlineStr">
        <is>
          <t>M</t>
        </is>
      </c>
    </row>
    <row r="5">
      <c r="A5" t="inlineStr">
        <is>
          <t>S001</t>
        </is>
      </c>
      <c r="B5" t="inlineStr">
        <is>
          <t>A1</t>
        </is>
      </c>
      <c r="C5" t="n">
        <v>1</v>
      </c>
      <c r="D5" t="inlineStr">
        <is>
          <t>Attribute</t>
        </is>
      </c>
      <c r="E5" t="inlineStr">
        <is>
          <t>SE_mysql.Votes.VoteTypeId</t>
        </is>
      </c>
      <c r="F5" t="inlineStr">
        <is>
          <t>P</t>
        </is>
      </c>
    </row>
    <row r="6">
      <c r="A6" t="inlineStr">
        <is>
          <t>S001</t>
        </is>
      </c>
      <c r="B6" t="inlineStr">
        <is>
          <t>A1</t>
        </is>
      </c>
      <c r="C6" t="n">
        <v>1</v>
      </c>
      <c r="D6" t="inlineStr">
        <is>
          <t>Attribute</t>
        </is>
      </c>
      <c r="E6" t="inlineStr">
        <is>
          <t>SE_mysql.Users.Id</t>
        </is>
      </c>
      <c r="F6" t="inlineStr">
        <is>
          <t>M</t>
        </is>
      </c>
    </row>
    <row r="7">
      <c r="A7" t="inlineStr">
        <is>
          <t>S002</t>
        </is>
      </c>
      <c r="B7" t="inlineStr">
        <is>
          <t>A1</t>
        </is>
      </c>
      <c r="C7" t="n">
        <v>2</v>
      </c>
      <c r="D7" t="inlineStr">
        <is>
          <t>Dataset</t>
        </is>
      </c>
      <c r="E7" t="inlineStr">
        <is>
          <t>SE_mysql.Users</t>
        </is>
      </c>
      <c r="F7" t="inlineStr">
        <is>
          <t>F</t>
        </is>
      </c>
    </row>
    <row r="8">
      <c r="A8" t="inlineStr">
        <is>
          <t>S002</t>
        </is>
      </c>
      <c r="B8" t="inlineStr">
        <is>
          <t>A1</t>
        </is>
      </c>
      <c r="C8" t="n">
        <v>2</v>
      </c>
      <c r="D8" t="inlineStr">
        <is>
          <t>Dataset</t>
        </is>
      </c>
      <c r="E8" t="inlineStr">
        <is>
          <t>SE_mysql.Votes</t>
        </is>
      </c>
      <c r="F8" t="inlineStr">
        <is>
          <t>D</t>
        </is>
      </c>
    </row>
    <row r="9">
      <c r="A9" t="inlineStr">
        <is>
          <t>S002</t>
        </is>
      </c>
      <c r="B9" t="inlineStr">
        <is>
          <t>A1</t>
        </is>
      </c>
      <c r="C9" t="n">
        <v>2</v>
      </c>
      <c r="D9" t="inlineStr">
        <is>
          <t>Attribute</t>
        </is>
      </c>
      <c r="E9" t="inlineStr">
        <is>
          <t>SE_mysql.Users.Reputation</t>
        </is>
      </c>
      <c r="F9" t="inlineStr">
        <is>
          <t>M</t>
        </is>
      </c>
    </row>
    <row r="10">
      <c r="A10" t="inlineStr">
        <is>
          <t>S002</t>
        </is>
      </c>
      <c r="B10" t="inlineStr">
        <is>
          <t>A1</t>
        </is>
      </c>
      <c r="C10" t="n">
        <v>2</v>
      </c>
      <c r="D10" t="inlineStr">
        <is>
          <t>Attribute</t>
        </is>
      </c>
      <c r="E10" t="inlineStr">
        <is>
          <t>SE_mysql.Users.UpVotes</t>
        </is>
      </c>
      <c r="F10" t="inlineStr">
        <is>
          <t>M</t>
        </is>
      </c>
    </row>
    <row r="11">
      <c r="A11" t="inlineStr">
        <is>
          <t>S002</t>
        </is>
      </c>
      <c r="B11" t="inlineStr">
        <is>
          <t>A1</t>
        </is>
      </c>
      <c r="C11" t="n">
        <v>2</v>
      </c>
      <c r="D11" t="inlineStr">
        <is>
          <t>Attribute</t>
        </is>
      </c>
      <c r="E11" t="inlineStr">
        <is>
          <t>SE_mysql.Votes.CreationDate</t>
        </is>
      </c>
      <c r="F11" t="inlineStr">
        <is>
          <t>P</t>
        </is>
      </c>
    </row>
    <row r="12">
      <c r="A12" t="inlineStr">
        <is>
          <t>S002</t>
        </is>
      </c>
      <c r="B12" t="inlineStr">
        <is>
          <t>A1</t>
        </is>
      </c>
      <c r="C12" t="n">
        <v>2</v>
      </c>
      <c r="D12" t="inlineStr">
        <is>
          <t>Attribute</t>
        </is>
      </c>
      <c r="E12" t="inlineStr">
        <is>
          <t>SE_mysql.Votes.VoteTypeId</t>
        </is>
      </c>
      <c r="F12" t="inlineStr">
        <is>
          <t>P</t>
        </is>
      </c>
    </row>
    <row r="13">
      <c r="A13" t="inlineStr">
        <is>
          <t>S003</t>
        </is>
      </c>
      <c r="B13" t="inlineStr">
        <is>
          <t>A1</t>
        </is>
      </c>
      <c r="C13" t="n">
        <v>3</v>
      </c>
      <c r="D13" t="inlineStr">
        <is>
          <t>Dataset</t>
        </is>
      </c>
      <c r="E13" t="inlineStr">
        <is>
          <t>SE_mysql.Users</t>
        </is>
      </c>
      <c r="F13" t="inlineStr">
        <is>
          <t>F</t>
        </is>
      </c>
    </row>
    <row r="14">
      <c r="A14" t="inlineStr">
        <is>
          <t>S003</t>
        </is>
      </c>
      <c r="B14" t="inlineStr">
        <is>
          <t>A1</t>
        </is>
      </c>
      <c r="C14" t="n">
        <v>3</v>
      </c>
      <c r="D14" t="inlineStr">
        <is>
          <t>Dataset</t>
        </is>
      </c>
      <c r="E14" t="inlineStr">
        <is>
          <t>SE_mysql.Votes</t>
        </is>
      </c>
      <c r="F14" t="inlineStr">
        <is>
          <t>D</t>
        </is>
      </c>
    </row>
    <row r="15">
      <c r="A15" t="inlineStr">
        <is>
          <t>S003</t>
        </is>
      </c>
      <c r="B15" t="inlineStr">
        <is>
          <t>A1</t>
        </is>
      </c>
      <c r="C15" t="n">
        <v>3</v>
      </c>
      <c r="D15" t="inlineStr">
        <is>
          <t>Attribute</t>
        </is>
      </c>
      <c r="E15" t="inlineStr">
        <is>
          <t>SE_mysql.Users.Reputation</t>
        </is>
      </c>
      <c r="F15" t="inlineStr">
        <is>
          <t>M</t>
        </is>
      </c>
    </row>
    <row r="16">
      <c r="A16" t="inlineStr">
        <is>
          <t>S003</t>
        </is>
      </c>
      <c r="B16" t="inlineStr">
        <is>
          <t>A1</t>
        </is>
      </c>
      <c r="C16" t="n">
        <v>3</v>
      </c>
      <c r="D16" t="inlineStr">
        <is>
          <t>Attribute</t>
        </is>
      </c>
      <c r="E16" t="inlineStr">
        <is>
          <t>SE_mysql.Users.UpVotes</t>
        </is>
      </c>
      <c r="F16" t="inlineStr">
        <is>
          <t>M</t>
        </is>
      </c>
    </row>
    <row r="17">
      <c r="A17" t="inlineStr">
        <is>
          <t>S003</t>
        </is>
      </c>
      <c r="B17" t="inlineStr">
        <is>
          <t>A1</t>
        </is>
      </c>
      <c r="C17" t="n">
        <v>3</v>
      </c>
      <c r="D17" t="inlineStr">
        <is>
          <t>Attribute</t>
        </is>
      </c>
      <c r="E17" t="inlineStr">
        <is>
          <t>SE_mysql.Votes.VoteTypeId</t>
        </is>
      </c>
      <c r="F17" t="inlineStr">
        <is>
          <t>P</t>
        </is>
      </c>
    </row>
    <row r="18">
      <c r="A18" t="inlineStr">
        <is>
          <t>S003</t>
        </is>
      </c>
      <c r="B18" t="inlineStr">
        <is>
          <t>A1</t>
        </is>
      </c>
      <c r="C18" t="n">
        <v>3</v>
      </c>
      <c r="D18" t="inlineStr">
        <is>
          <t>Attribute</t>
        </is>
      </c>
      <c r="E18" t="inlineStr">
        <is>
          <t>SE_mysql.Votes.CreationDate</t>
        </is>
      </c>
      <c r="F18" t="inlineStr">
        <is>
          <t>P</t>
        </is>
      </c>
    </row>
    <row r="19">
      <c r="A19" t="inlineStr">
        <is>
          <t>S004</t>
        </is>
      </c>
      <c r="B19" t="inlineStr">
        <is>
          <t>A1</t>
        </is>
      </c>
      <c r="C19" t="n">
        <v>4</v>
      </c>
      <c r="D19" t="inlineStr">
        <is>
          <t>Dataset</t>
        </is>
      </c>
      <c r="E19" t="inlineStr">
        <is>
          <t>SE_mysql.Users</t>
        </is>
      </c>
      <c r="F19" t="inlineStr">
        <is>
          <t>F</t>
        </is>
      </c>
    </row>
    <row r="20">
      <c r="A20" t="inlineStr">
        <is>
          <t>S004</t>
        </is>
      </c>
      <c r="B20" t="inlineStr">
        <is>
          <t>A1</t>
        </is>
      </c>
      <c r="C20" t="n">
        <v>4</v>
      </c>
      <c r="D20" t="inlineStr">
        <is>
          <t>Dataset</t>
        </is>
      </c>
      <c r="E20" t="inlineStr">
        <is>
          <t>SE_mysql.Votes</t>
        </is>
      </c>
      <c r="F20" t="inlineStr">
        <is>
          <t>D</t>
        </is>
      </c>
    </row>
    <row r="21">
      <c r="A21" t="inlineStr">
        <is>
          <t>S004</t>
        </is>
      </c>
      <c r="B21" t="inlineStr">
        <is>
          <t>A1</t>
        </is>
      </c>
      <c r="C21" t="n">
        <v>4</v>
      </c>
      <c r="D21" t="inlineStr">
        <is>
          <t>Dataset</t>
        </is>
      </c>
      <c r="E21" t="inlineStr">
        <is>
          <t>SE_mysql.postes</t>
        </is>
      </c>
      <c r="F21" t="inlineStr">
        <is>
          <t>D</t>
        </is>
      </c>
    </row>
    <row r="22">
      <c r="A22" t="inlineStr">
        <is>
          <t>S004</t>
        </is>
      </c>
      <c r="B22" t="inlineStr">
        <is>
          <t>A1</t>
        </is>
      </c>
      <c r="C22" t="n">
        <v>4</v>
      </c>
      <c r="D22" t="inlineStr">
        <is>
          <t>Attribute</t>
        </is>
      </c>
      <c r="E22" t="inlineStr">
        <is>
          <t>SE_mysql.Users.Reputation</t>
        </is>
      </c>
      <c r="F22" t="inlineStr">
        <is>
          <t>M</t>
        </is>
      </c>
    </row>
    <row r="23">
      <c r="A23" t="inlineStr">
        <is>
          <t>S004</t>
        </is>
      </c>
      <c r="B23" t="inlineStr">
        <is>
          <t>A1</t>
        </is>
      </c>
      <c r="C23" t="n">
        <v>4</v>
      </c>
      <c r="D23" t="inlineStr">
        <is>
          <t>Attribute</t>
        </is>
      </c>
      <c r="E23" t="inlineStr">
        <is>
          <t>SE_mysql.Users.UpVotes</t>
        </is>
      </c>
      <c r="F23" t="inlineStr">
        <is>
          <t>M</t>
        </is>
      </c>
    </row>
    <row r="24">
      <c r="A24" t="inlineStr">
        <is>
          <t>S004</t>
        </is>
      </c>
      <c r="B24" t="inlineStr">
        <is>
          <t>A1</t>
        </is>
      </c>
      <c r="C24" t="n">
        <v>4</v>
      </c>
      <c r="D24" t="inlineStr">
        <is>
          <t>Attribute</t>
        </is>
      </c>
      <c r="E24" t="inlineStr">
        <is>
          <t>SE_mysql.Votes.CreationDate</t>
        </is>
      </c>
      <c r="F24" t="inlineStr">
        <is>
          <t>P</t>
        </is>
      </c>
    </row>
    <row r="25">
      <c r="A25" t="inlineStr">
        <is>
          <t>S004</t>
        </is>
      </c>
      <c r="B25" t="inlineStr">
        <is>
          <t>A1</t>
        </is>
      </c>
      <c r="C25" t="n">
        <v>4</v>
      </c>
      <c r="D25" t="inlineStr">
        <is>
          <t>Attribute</t>
        </is>
      </c>
      <c r="E25" t="inlineStr">
        <is>
          <t>SE_mysql.postes.CreationDate</t>
        </is>
      </c>
      <c r="F25" t="inlineStr">
        <is>
          <t>P</t>
        </is>
      </c>
    </row>
    <row r="26">
      <c r="A26" t="inlineStr">
        <is>
          <t>S005</t>
        </is>
      </c>
      <c r="B26" t="inlineStr">
        <is>
          <t>A2</t>
        </is>
      </c>
      <c r="C26" t="n">
        <v>1</v>
      </c>
      <c r="D26" t="inlineStr">
        <is>
          <t>Dataset</t>
        </is>
      </c>
      <c r="E26" t="inlineStr">
        <is>
          <t>SE_mysql.Users</t>
        </is>
      </c>
      <c r="F26" t="inlineStr">
        <is>
          <t>F</t>
        </is>
      </c>
    </row>
    <row r="27">
      <c r="A27" t="inlineStr">
        <is>
          <t>S005</t>
        </is>
      </c>
      <c r="B27" t="inlineStr">
        <is>
          <t>A2</t>
        </is>
      </c>
      <c r="C27" t="n">
        <v>1</v>
      </c>
      <c r="D27" t="inlineStr">
        <is>
          <t>Dataset</t>
        </is>
      </c>
      <c r="E27" t="inlineStr">
        <is>
          <t>SE_mongodb.Comments</t>
        </is>
      </c>
      <c r="F27" t="inlineStr">
        <is>
          <t>D</t>
        </is>
      </c>
    </row>
    <row r="28">
      <c r="A28" t="inlineStr">
        <is>
          <t>S005</t>
        </is>
      </c>
      <c r="B28" t="inlineStr">
        <is>
          <t>A2</t>
        </is>
      </c>
      <c r="C28" t="n">
        <v>1</v>
      </c>
      <c r="D28" t="inlineStr">
        <is>
          <t>Dataset</t>
        </is>
      </c>
      <c r="E28" t="inlineStr">
        <is>
          <t>SE_mysql.postes</t>
        </is>
      </c>
      <c r="F28" t="inlineStr">
        <is>
          <t>D</t>
        </is>
      </c>
    </row>
    <row r="29">
      <c r="A29" t="inlineStr">
        <is>
          <t>S005</t>
        </is>
      </c>
      <c r="B29" t="inlineStr">
        <is>
          <t>A2</t>
        </is>
      </c>
      <c r="C29" t="n">
        <v>1</v>
      </c>
      <c r="D29" t="inlineStr">
        <is>
          <t>Attribute</t>
        </is>
      </c>
      <c r="E29" t="inlineStr">
        <is>
          <t>SE_mysql.Users.Reputation</t>
        </is>
      </c>
      <c r="F29" t="inlineStr">
        <is>
          <t>M</t>
        </is>
      </c>
    </row>
    <row r="30">
      <c r="A30" t="inlineStr">
        <is>
          <t>S005</t>
        </is>
      </c>
      <c r="B30" t="inlineStr">
        <is>
          <t>A2</t>
        </is>
      </c>
      <c r="C30" t="n">
        <v>1</v>
      </c>
      <c r="D30" t="inlineStr">
        <is>
          <t>Attribute</t>
        </is>
      </c>
      <c r="E30" t="inlineStr">
        <is>
          <t>SE_mysql.Users.Views</t>
        </is>
      </c>
      <c r="F30" t="inlineStr">
        <is>
          <t>M</t>
        </is>
      </c>
    </row>
    <row r="31">
      <c r="A31" t="inlineStr">
        <is>
          <t>S005</t>
        </is>
      </c>
      <c r="B31" t="inlineStr">
        <is>
          <t>A2</t>
        </is>
      </c>
      <c r="C31" t="n">
        <v>1</v>
      </c>
      <c r="D31" t="inlineStr">
        <is>
          <t>Attribute</t>
        </is>
      </c>
      <c r="E31" t="inlineStr">
        <is>
          <t>SE_mongodb.Comments.PostId</t>
        </is>
      </c>
      <c r="F31" t="inlineStr">
        <is>
          <t>P</t>
        </is>
      </c>
    </row>
    <row r="32">
      <c r="A32" t="inlineStr">
        <is>
          <t>S005</t>
        </is>
      </c>
      <c r="B32" t="inlineStr">
        <is>
          <t>A2</t>
        </is>
      </c>
      <c r="C32" t="n">
        <v>1</v>
      </c>
      <c r="D32" t="inlineStr">
        <is>
          <t>Attribute</t>
        </is>
      </c>
      <c r="E32" t="inlineStr">
        <is>
          <t>SE_mysql.postes.CreationDate</t>
        </is>
      </c>
      <c r="F32" t="inlineStr">
        <is>
          <t>P</t>
        </is>
      </c>
    </row>
    <row r="33">
      <c r="A33" t="inlineStr">
        <is>
          <t>S006</t>
        </is>
      </c>
      <c r="B33" t="inlineStr">
        <is>
          <t>A2</t>
        </is>
      </c>
      <c r="C33" t="n">
        <v>2</v>
      </c>
      <c r="D33" t="inlineStr">
        <is>
          <t>Dataset</t>
        </is>
      </c>
      <c r="E33" t="inlineStr">
        <is>
          <t>SE_mysql.Users</t>
        </is>
      </c>
      <c r="F33" t="inlineStr">
        <is>
          <t>F</t>
        </is>
      </c>
    </row>
    <row r="34">
      <c r="A34" t="inlineStr">
        <is>
          <t>S006</t>
        </is>
      </c>
      <c r="B34" t="inlineStr">
        <is>
          <t>A2</t>
        </is>
      </c>
      <c r="C34" t="n">
        <v>2</v>
      </c>
      <c r="D34" t="inlineStr">
        <is>
          <t>Dataset</t>
        </is>
      </c>
      <c r="E34" t="inlineStr">
        <is>
          <t>SE_mongodb.Comments</t>
        </is>
      </c>
      <c r="F34" t="inlineStr">
        <is>
          <t>D</t>
        </is>
      </c>
    </row>
    <row r="35">
      <c r="A35" t="inlineStr">
        <is>
          <t>S006</t>
        </is>
      </c>
      <c r="B35" t="inlineStr">
        <is>
          <t>A2</t>
        </is>
      </c>
      <c r="C35" t="n">
        <v>2</v>
      </c>
      <c r="D35" t="inlineStr">
        <is>
          <t>Attribute</t>
        </is>
      </c>
      <c r="E35" t="inlineStr">
        <is>
          <t>SE_mysql.Users.Views</t>
        </is>
      </c>
      <c r="F35" t="inlineStr">
        <is>
          <t>M</t>
        </is>
      </c>
    </row>
    <row r="36">
      <c r="A36" t="inlineStr">
        <is>
          <t>S006</t>
        </is>
      </c>
      <c r="B36" t="inlineStr">
        <is>
          <t>A2</t>
        </is>
      </c>
      <c r="C36" t="n">
        <v>2</v>
      </c>
      <c r="D36" t="inlineStr">
        <is>
          <t>Attribute</t>
        </is>
      </c>
      <c r="E36" t="inlineStr">
        <is>
          <t>SE_mongodb.Comments.PostId</t>
        </is>
      </c>
      <c r="F36" t="inlineStr">
        <is>
          <t>P</t>
        </is>
      </c>
    </row>
    <row r="37">
      <c r="A37" t="inlineStr">
        <is>
          <t>S007</t>
        </is>
      </c>
      <c r="B37" t="inlineStr">
        <is>
          <t>A2</t>
        </is>
      </c>
      <c r="C37" t="n">
        <v>3</v>
      </c>
      <c r="D37" t="inlineStr">
        <is>
          <t>Dataset</t>
        </is>
      </c>
      <c r="E37" t="inlineStr">
        <is>
          <t>SE_mongodb.Users</t>
        </is>
      </c>
      <c r="F37" t="inlineStr">
        <is>
          <t>F</t>
        </is>
      </c>
    </row>
    <row r="38">
      <c r="A38" t="inlineStr">
        <is>
          <t>S007</t>
        </is>
      </c>
      <c r="B38" t="inlineStr">
        <is>
          <t>A2</t>
        </is>
      </c>
      <c r="C38" t="n">
        <v>3</v>
      </c>
      <c r="D38" t="inlineStr">
        <is>
          <t>Dataset</t>
        </is>
      </c>
      <c r="E38" t="inlineStr">
        <is>
          <t>SE_mysql.Votes</t>
        </is>
      </c>
      <c r="F38" t="inlineStr">
        <is>
          <t>D</t>
        </is>
      </c>
    </row>
    <row r="39">
      <c r="A39" t="inlineStr">
        <is>
          <t>S007</t>
        </is>
      </c>
      <c r="B39" t="inlineStr">
        <is>
          <t>A2</t>
        </is>
      </c>
      <c r="C39" t="n">
        <v>3</v>
      </c>
      <c r="D39" t="inlineStr">
        <is>
          <t>Dataset</t>
        </is>
      </c>
      <c r="E39" t="inlineStr">
        <is>
          <t>SE_mongodb.Comments</t>
        </is>
      </c>
      <c r="F39" t="inlineStr">
        <is>
          <t>D</t>
        </is>
      </c>
    </row>
    <row r="40">
      <c r="A40" t="inlineStr">
        <is>
          <t>S007</t>
        </is>
      </c>
      <c r="B40" t="inlineStr">
        <is>
          <t>A2</t>
        </is>
      </c>
      <c r="C40" t="n">
        <v>3</v>
      </c>
      <c r="D40" t="inlineStr">
        <is>
          <t>Attribute</t>
        </is>
      </c>
      <c r="E40" t="inlineStr">
        <is>
          <t>SE_mongodb.Users.DisplayName</t>
        </is>
      </c>
      <c r="F40" t="inlineStr">
        <is>
          <t>M</t>
        </is>
      </c>
    </row>
    <row r="41">
      <c r="A41" t="inlineStr">
        <is>
          <t>S007</t>
        </is>
      </c>
      <c r="B41" t="inlineStr">
        <is>
          <t>A2</t>
        </is>
      </c>
      <c r="C41" t="n">
        <v>3</v>
      </c>
      <c r="D41" t="inlineStr">
        <is>
          <t>Attribute</t>
        </is>
      </c>
      <c r="E41" t="inlineStr">
        <is>
          <t>SE_mysql.Votes.Id</t>
        </is>
      </c>
      <c r="F41" t="inlineStr">
        <is>
          <t>P</t>
        </is>
      </c>
    </row>
    <row r="42">
      <c r="A42" t="inlineStr">
        <is>
          <t>S007</t>
        </is>
      </c>
      <c r="B42" t="inlineStr">
        <is>
          <t>A2</t>
        </is>
      </c>
      <c r="C42" t="n">
        <v>3</v>
      </c>
      <c r="D42" t="inlineStr">
        <is>
          <t>Attribute</t>
        </is>
      </c>
      <c r="E42" t="inlineStr">
        <is>
          <t>SE_mongodb.Comments.PostId</t>
        </is>
      </c>
      <c r="F42" t="inlineStr">
        <is>
          <t>P</t>
        </is>
      </c>
    </row>
    <row r="43">
      <c r="A43" t="inlineStr">
        <is>
          <t>S008</t>
        </is>
      </c>
      <c r="B43" t="inlineStr">
        <is>
          <t>A2</t>
        </is>
      </c>
      <c r="C43" t="n">
        <v>4</v>
      </c>
      <c r="D43" t="inlineStr">
        <is>
          <t>Dataset</t>
        </is>
      </c>
      <c r="E43" t="inlineStr">
        <is>
          <t>SE_mysql.Users</t>
        </is>
      </c>
      <c r="F43" t="inlineStr">
        <is>
          <t>F</t>
        </is>
      </c>
    </row>
    <row r="44">
      <c r="A44" t="inlineStr">
        <is>
          <t>S008</t>
        </is>
      </c>
      <c r="B44" t="inlineStr">
        <is>
          <t>A2</t>
        </is>
      </c>
      <c r="C44" t="n">
        <v>4</v>
      </c>
      <c r="D44" t="inlineStr">
        <is>
          <t>Dataset</t>
        </is>
      </c>
      <c r="E44" t="inlineStr">
        <is>
          <t>SE_mongodb.Comments</t>
        </is>
      </c>
      <c r="F44" t="inlineStr">
        <is>
          <t>D</t>
        </is>
      </c>
    </row>
    <row r="45">
      <c r="A45" t="inlineStr">
        <is>
          <t>S008</t>
        </is>
      </c>
      <c r="B45" t="inlineStr">
        <is>
          <t>A2</t>
        </is>
      </c>
      <c r="C45" t="n">
        <v>4</v>
      </c>
      <c r="D45" t="inlineStr">
        <is>
          <t>Dataset</t>
        </is>
      </c>
      <c r="E45" t="inlineStr">
        <is>
          <t>SE_mysql.postes</t>
        </is>
      </c>
      <c r="F45" t="inlineStr">
        <is>
          <t>D</t>
        </is>
      </c>
    </row>
    <row r="46">
      <c r="A46" t="inlineStr">
        <is>
          <t>S008</t>
        </is>
      </c>
      <c r="B46" t="inlineStr">
        <is>
          <t>A2</t>
        </is>
      </c>
      <c r="C46" t="n">
        <v>4</v>
      </c>
      <c r="D46" t="inlineStr">
        <is>
          <t>Dataset</t>
        </is>
      </c>
      <c r="E46" t="inlineStr">
        <is>
          <t>SE_mysql.Votes</t>
        </is>
      </c>
      <c r="F46" t="inlineStr">
        <is>
          <t>D</t>
        </is>
      </c>
    </row>
    <row r="47">
      <c r="A47" t="inlineStr">
        <is>
          <t>S008</t>
        </is>
      </c>
      <c r="B47" t="inlineStr">
        <is>
          <t>A2</t>
        </is>
      </c>
      <c r="C47" t="n">
        <v>4</v>
      </c>
      <c r="D47" t="inlineStr">
        <is>
          <t>Attribute</t>
        </is>
      </c>
      <c r="E47" t="inlineStr">
        <is>
          <t>SE_mysql.Users.Views</t>
        </is>
      </c>
      <c r="F47" t="inlineStr">
        <is>
          <t>M</t>
        </is>
      </c>
    </row>
    <row r="48">
      <c r="A48" t="inlineStr">
        <is>
          <t>S008</t>
        </is>
      </c>
      <c r="B48" t="inlineStr">
        <is>
          <t>A2</t>
        </is>
      </c>
      <c r="C48" t="n">
        <v>4</v>
      </c>
      <c r="D48" t="inlineStr">
        <is>
          <t>Attribute</t>
        </is>
      </c>
      <c r="E48" t="inlineStr">
        <is>
          <t>SE_mongodb.Comments.PostId</t>
        </is>
      </c>
      <c r="F48" t="inlineStr">
        <is>
          <t>P</t>
        </is>
      </c>
    </row>
    <row r="49">
      <c r="A49" t="inlineStr">
        <is>
          <t>S008</t>
        </is>
      </c>
      <c r="B49" t="inlineStr">
        <is>
          <t>A2</t>
        </is>
      </c>
      <c r="C49" t="n">
        <v>4</v>
      </c>
      <c r="D49" t="inlineStr">
        <is>
          <t>Attribute</t>
        </is>
      </c>
      <c r="E49" t="inlineStr">
        <is>
          <t>SE_mysql.postes.CreationDate</t>
        </is>
      </c>
      <c r="F49" t="inlineStr">
        <is>
          <t>P</t>
        </is>
      </c>
    </row>
    <row r="50">
      <c r="A50" t="inlineStr">
        <is>
          <t>S008</t>
        </is>
      </c>
      <c r="B50" t="inlineStr">
        <is>
          <t>A2</t>
        </is>
      </c>
      <c r="C50" t="n">
        <v>4</v>
      </c>
      <c r="D50" t="inlineStr">
        <is>
          <t>Attribute</t>
        </is>
      </c>
      <c r="E50" t="inlineStr">
        <is>
          <t>SE_mysql.Votes.Id</t>
        </is>
      </c>
      <c r="F50" t="inlineStr">
        <is>
          <t>P</t>
        </is>
      </c>
    </row>
    <row r="51">
      <c r="A51" t="inlineStr">
        <is>
          <t>S009</t>
        </is>
      </c>
      <c r="B51" t="inlineStr">
        <is>
          <t>A3</t>
        </is>
      </c>
      <c r="C51" t="n">
        <v>1</v>
      </c>
      <c r="D51" t="inlineStr">
        <is>
          <t>Dataset</t>
        </is>
      </c>
      <c r="E51" t="inlineStr">
        <is>
          <t>SE_neo4j.Users</t>
        </is>
      </c>
      <c r="F51" t="inlineStr">
        <is>
          <t>F</t>
        </is>
      </c>
    </row>
    <row r="52">
      <c r="A52" t="inlineStr">
        <is>
          <t>S009</t>
        </is>
      </c>
      <c r="B52" t="inlineStr">
        <is>
          <t>A3</t>
        </is>
      </c>
      <c r="C52" t="n">
        <v>1</v>
      </c>
      <c r="D52" t="inlineStr">
        <is>
          <t>Dataset</t>
        </is>
      </c>
      <c r="E52" t="inlineStr">
        <is>
          <t>SE_mongodb.Users</t>
        </is>
      </c>
      <c r="F52" t="inlineStr">
        <is>
          <t>D</t>
        </is>
      </c>
    </row>
    <row r="53">
      <c r="A53" t="inlineStr">
        <is>
          <t>S009</t>
        </is>
      </c>
      <c r="B53" t="inlineStr">
        <is>
          <t>A3</t>
        </is>
      </c>
      <c r="C53" t="n">
        <v>1</v>
      </c>
      <c r="D53" t="inlineStr">
        <is>
          <t>Attribute</t>
        </is>
      </c>
      <c r="E53" t="inlineStr">
        <is>
          <t>SE_mysql.Users.Reputation</t>
        </is>
      </c>
      <c r="F53" t="inlineStr">
        <is>
          <t>M</t>
        </is>
      </c>
    </row>
    <row r="54">
      <c r="A54" t="inlineStr">
        <is>
          <t>S009</t>
        </is>
      </c>
      <c r="B54" t="inlineStr">
        <is>
          <t>A3</t>
        </is>
      </c>
      <c r="C54" t="n">
        <v>1</v>
      </c>
      <c r="D54" t="inlineStr">
        <is>
          <t>Attribute</t>
        </is>
      </c>
      <c r="E54" t="inlineStr">
        <is>
          <t>SE_neo4j.Users.creationdate</t>
        </is>
      </c>
      <c r="F54" t="inlineStr">
        <is>
          <t>M</t>
        </is>
      </c>
    </row>
    <row r="55">
      <c r="A55" t="inlineStr">
        <is>
          <t>S009</t>
        </is>
      </c>
      <c r="B55" t="inlineStr">
        <is>
          <t>A3</t>
        </is>
      </c>
      <c r="C55" t="n">
        <v>1</v>
      </c>
      <c r="D55" t="inlineStr">
        <is>
          <t>Attribute</t>
        </is>
      </c>
      <c r="E55" t="inlineStr">
        <is>
          <t>SE_mongodb.Users.DisplayName</t>
        </is>
      </c>
      <c r="F55" t="inlineStr">
        <is>
          <t>P</t>
        </is>
      </c>
    </row>
    <row r="56">
      <c r="A56" t="inlineStr">
        <is>
          <t>S010</t>
        </is>
      </c>
      <c r="B56" t="inlineStr">
        <is>
          <t>A3</t>
        </is>
      </c>
      <c r="C56" t="n">
        <v>2</v>
      </c>
      <c r="D56" t="inlineStr">
        <is>
          <t>Dataset</t>
        </is>
      </c>
      <c r="E56" t="inlineStr">
        <is>
          <t>SE_mysql.Users</t>
        </is>
      </c>
      <c r="F56" t="inlineStr">
        <is>
          <t>F</t>
        </is>
      </c>
    </row>
    <row r="57">
      <c r="A57" t="inlineStr">
        <is>
          <t>S010</t>
        </is>
      </c>
      <c r="B57" t="inlineStr">
        <is>
          <t>A3</t>
        </is>
      </c>
      <c r="C57" t="n">
        <v>2</v>
      </c>
      <c r="D57" t="inlineStr">
        <is>
          <t>Dataset</t>
        </is>
      </c>
      <c r="E57" t="inlineStr">
        <is>
          <t>SE_mongodb.Users</t>
        </is>
      </c>
      <c r="F57" t="inlineStr">
        <is>
          <t>D</t>
        </is>
      </c>
    </row>
    <row r="58">
      <c r="A58" t="inlineStr">
        <is>
          <t>S010</t>
        </is>
      </c>
      <c r="B58" t="inlineStr">
        <is>
          <t>A3</t>
        </is>
      </c>
      <c r="C58" t="n">
        <v>2</v>
      </c>
      <c r="D58" t="inlineStr">
        <is>
          <t>Attribute</t>
        </is>
      </c>
      <c r="E58" t="inlineStr">
        <is>
          <t>SE_mysql.Users.LastAccessDate</t>
        </is>
      </c>
      <c r="F58" t="inlineStr">
        <is>
          <t>M</t>
        </is>
      </c>
    </row>
    <row r="59">
      <c r="A59" t="inlineStr">
        <is>
          <t>S010</t>
        </is>
      </c>
      <c r="B59" t="inlineStr">
        <is>
          <t>A3</t>
        </is>
      </c>
      <c r="C59" t="n">
        <v>2</v>
      </c>
      <c r="D59" t="inlineStr">
        <is>
          <t>Attribute</t>
        </is>
      </c>
      <c r="E59" t="inlineStr">
        <is>
          <t>SE_mysql.Users.UpVotes</t>
        </is>
      </c>
      <c r="F59" t="inlineStr">
        <is>
          <t>M</t>
        </is>
      </c>
    </row>
    <row r="60">
      <c r="A60" t="inlineStr">
        <is>
          <t>S010</t>
        </is>
      </c>
      <c r="B60" t="inlineStr">
        <is>
          <t>A3</t>
        </is>
      </c>
      <c r="C60" t="n">
        <v>2</v>
      </c>
      <c r="D60" t="inlineStr">
        <is>
          <t>Attribute</t>
        </is>
      </c>
      <c r="E60" t="inlineStr">
        <is>
          <t>SE_mysql.Users.DownVotes</t>
        </is>
      </c>
      <c r="F60" t="inlineStr">
        <is>
          <t>M</t>
        </is>
      </c>
    </row>
    <row r="61">
      <c r="A61" t="inlineStr">
        <is>
          <t>S010</t>
        </is>
      </c>
      <c r="B61" t="inlineStr">
        <is>
          <t>A3</t>
        </is>
      </c>
      <c r="C61" t="n">
        <v>2</v>
      </c>
      <c r="D61" t="inlineStr">
        <is>
          <t>Attribute</t>
        </is>
      </c>
      <c r="E61" t="inlineStr">
        <is>
          <t>SE_mysql.Users.Views</t>
        </is>
      </c>
      <c r="F61" t="inlineStr">
        <is>
          <t>M</t>
        </is>
      </c>
    </row>
    <row r="62">
      <c r="A62" t="inlineStr">
        <is>
          <t>S010</t>
        </is>
      </c>
      <c r="B62" t="inlineStr">
        <is>
          <t>A3</t>
        </is>
      </c>
      <c r="C62" t="n">
        <v>2</v>
      </c>
      <c r="D62" t="inlineStr">
        <is>
          <t>Attribute</t>
        </is>
      </c>
      <c r="E62" t="inlineStr">
        <is>
          <t>SE_mysql.Users.Id</t>
        </is>
      </c>
      <c r="F62" t="inlineStr">
        <is>
          <t>M</t>
        </is>
      </c>
    </row>
    <row r="63">
      <c r="A63" t="inlineStr">
        <is>
          <t>S010</t>
        </is>
      </c>
      <c r="B63" t="inlineStr">
        <is>
          <t>A3</t>
        </is>
      </c>
      <c r="C63" t="n">
        <v>2</v>
      </c>
      <c r="D63" t="inlineStr">
        <is>
          <t>Attribute</t>
        </is>
      </c>
      <c r="E63" t="inlineStr">
        <is>
          <t>SE_mysql.Users.DisplayName</t>
        </is>
      </c>
      <c r="F63" t="inlineStr">
        <is>
          <t>M</t>
        </is>
      </c>
    </row>
    <row r="64">
      <c r="A64" t="inlineStr">
        <is>
          <t>S010</t>
        </is>
      </c>
      <c r="B64" t="inlineStr">
        <is>
          <t>A3</t>
        </is>
      </c>
      <c r="C64" t="n">
        <v>2</v>
      </c>
      <c r="D64" t="inlineStr">
        <is>
          <t>Attribute</t>
        </is>
      </c>
      <c r="E64" t="inlineStr">
        <is>
          <t>SE_mysql.Users.Reputation</t>
        </is>
      </c>
      <c r="F64" t="inlineStr">
        <is>
          <t>M</t>
        </is>
      </c>
    </row>
    <row r="65">
      <c r="A65" t="inlineStr">
        <is>
          <t>S010</t>
        </is>
      </c>
      <c r="B65" t="inlineStr">
        <is>
          <t>A3</t>
        </is>
      </c>
      <c r="C65" t="n">
        <v>2</v>
      </c>
      <c r="D65" t="inlineStr">
        <is>
          <t>Attribute</t>
        </is>
      </c>
      <c r="E65" t="inlineStr">
        <is>
          <t>SE_mongodb.Users.DisplayName</t>
        </is>
      </c>
      <c r="F65" t="inlineStr">
        <is>
          <t>P</t>
        </is>
      </c>
    </row>
    <row r="66">
      <c r="A66" t="inlineStr">
        <is>
          <t>S011</t>
        </is>
      </c>
      <c r="B66" t="inlineStr">
        <is>
          <t>A3</t>
        </is>
      </c>
      <c r="C66" t="n">
        <v>3</v>
      </c>
      <c r="D66" t="inlineStr">
        <is>
          <t>Dataset</t>
        </is>
      </c>
      <c r="E66" t="inlineStr">
        <is>
          <t>SE_mysql.Users</t>
        </is>
      </c>
      <c r="F66" t="inlineStr">
        <is>
          <t>F</t>
        </is>
      </c>
    </row>
    <row r="67">
      <c r="A67" t="inlineStr">
        <is>
          <t>S011</t>
        </is>
      </c>
      <c r="B67" t="inlineStr">
        <is>
          <t>A3</t>
        </is>
      </c>
      <c r="C67" t="n">
        <v>3</v>
      </c>
      <c r="D67" t="inlineStr">
        <is>
          <t>Dataset</t>
        </is>
      </c>
      <c r="E67" t="inlineStr">
        <is>
          <t>SE_mongodb.Users</t>
        </is>
      </c>
      <c r="F67" t="inlineStr">
        <is>
          <t>D</t>
        </is>
      </c>
    </row>
    <row r="68">
      <c r="A68" t="inlineStr">
        <is>
          <t>S011</t>
        </is>
      </c>
      <c r="B68" t="inlineStr">
        <is>
          <t>A3</t>
        </is>
      </c>
      <c r="C68" t="n">
        <v>3</v>
      </c>
      <c r="D68" t="inlineStr">
        <is>
          <t>Dataset</t>
        </is>
      </c>
      <c r="E68" t="inlineStr">
        <is>
          <t>SE_mysql.Users</t>
        </is>
      </c>
      <c r="F68" t="inlineStr">
        <is>
          <t>D</t>
        </is>
      </c>
    </row>
    <row r="69">
      <c r="A69" t="inlineStr">
        <is>
          <t>S011</t>
        </is>
      </c>
      <c r="B69" t="inlineStr">
        <is>
          <t>A3</t>
        </is>
      </c>
      <c r="C69" t="n">
        <v>3</v>
      </c>
      <c r="D69" t="inlineStr">
        <is>
          <t>Attribute</t>
        </is>
      </c>
      <c r="E69" t="inlineStr">
        <is>
          <t>SE_mysql.Users.DownVotes</t>
        </is>
      </c>
      <c r="F69" t="inlineStr">
        <is>
          <t>M</t>
        </is>
      </c>
    </row>
    <row r="70">
      <c r="A70" t="inlineStr">
        <is>
          <t>S011</t>
        </is>
      </c>
      <c r="B70" t="inlineStr">
        <is>
          <t>A3</t>
        </is>
      </c>
      <c r="C70" t="n">
        <v>3</v>
      </c>
      <c r="D70" t="inlineStr">
        <is>
          <t>Attribute</t>
        </is>
      </c>
      <c r="E70" t="inlineStr">
        <is>
          <t>SE_mysql.Users.Id</t>
        </is>
      </c>
      <c r="F70" t="inlineStr">
        <is>
          <t>M</t>
        </is>
      </c>
    </row>
    <row r="71">
      <c r="A71" t="inlineStr">
        <is>
          <t>S011</t>
        </is>
      </c>
      <c r="B71" t="inlineStr">
        <is>
          <t>A3</t>
        </is>
      </c>
      <c r="C71" t="n">
        <v>3</v>
      </c>
      <c r="D71" t="inlineStr">
        <is>
          <t>Attribute</t>
        </is>
      </c>
      <c r="E71" t="inlineStr">
        <is>
          <t>SE_mongodb.Users.DisplayName</t>
        </is>
      </c>
      <c r="F71" t="inlineStr">
        <is>
          <t>P</t>
        </is>
      </c>
    </row>
    <row r="72">
      <c r="A72" t="inlineStr">
        <is>
          <t>S011</t>
        </is>
      </c>
      <c r="B72" t="inlineStr">
        <is>
          <t>A3</t>
        </is>
      </c>
      <c r="C72" t="n">
        <v>3</v>
      </c>
      <c r="D72" t="inlineStr">
        <is>
          <t>Attribute</t>
        </is>
      </c>
      <c r="E72" t="inlineStr">
        <is>
          <t>SE_mysql.Users.DisplayName</t>
        </is>
      </c>
      <c r="F72" t="inlineStr">
        <is>
          <t>P</t>
        </is>
      </c>
    </row>
    <row r="73">
      <c r="A73" t="inlineStr">
        <is>
          <t>S012</t>
        </is>
      </c>
      <c r="B73" t="inlineStr">
        <is>
          <t>A3</t>
        </is>
      </c>
      <c r="C73" t="n">
        <v>4</v>
      </c>
      <c r="D73" t="inlineStr">
        <is>
          <t>Dataset</t>
        </is>
      </c>
      <c r="E73" t="inlineStr">
        <is>
          <t>SE_neo4j.Users</t>
        </is>
      </c>
      <c r="F73" t="inlineStr">
        <is>
          <t>F</t>
        </is>
      </c>
    </row>
    <row r="74">
      <c r="A74" t="inlineStr">
        <is>
          <t>S012</t>
        </is>
      </c>
      <c r="B74" t="inlineStr">
        <is>
          <t>A3</t>
        </is>
      </c>
      <c r="C74" t="n">
        <v>4</v>
      </c>
      <c r="D74" t="inlineStr">
        <is>
          <t>Dataset</t>
        </is>
      </c>
      <c r="E74" t="inlineStr">
        <is>
          <t>SE_mysql.Users</t>
        </is>
      </c>
      <c r="F74" t="inlineStr">
        <is>
          <t>D</t>
        </is>
      </c>
    </row>
    <row r="75">
      <c r="A75" t="inlineStr">
        <is>
          <t>S012</t>
        </is>
      </c>
      <c r="B75" t="inlineStr">
        <is>
          <t>A3</t>
        </is>
      </c>
      <c r="C75" t="n">
        <v>4</v>
      </c>
      <c r="D75" t="inlineStr">
        <is>
          <t>Attribute</t>
        </is>
      </c>
      <c r="E75" t="inlineStr">
        <is>
          <t>SE_neo4j.Users.creationdate</t>
        </is>
      </c>
      <c r="F75" t="inlineStr">
        <is>
          <t>M</t>
        </is>
      </c>
    </row>
    <row r="76">
      <c r="A76" t="inlineStr">
        <is>
          <t>S012</t>
        </is>
      </c>
      <c r="B76" t="inlineStr">
        <is>
          <t>A3</t>
        </is>
      </c>
      <c r="C76" t="n">
        <v>4</v>
      </c>
      <c r="D76" t="inlineStr">
        <is>
          <t>Attribute</t>
        </is>
      </c>
      <c r="E76" t="inlineStr">
        <is>
          <t>SE_mysql.Users.Reputation</t>
        </is>
      </c>
      <c r="F76" t="inlineStr">
        <is>
          <t>M</t>
        </is>
      </c>
    </row>
    <row r="77">
      <c r="A77" t="inlineStr">
        <is>
          <t>S012</t>
        </is>
      </c>
      <c r="B77" t="inlineStr">
        <is>
          <t>A3</t>
        </is>
      </c>
      <c r="C77" t="n">
        <v>4</v>
      </c>
      <c r="D77" t="inlineStr">
        <is>
          <t>Attribute</t>
        </is>
      </c>
      <c r="E77" t="inlineStr">
        <is>
          <t>SE_mysql.Users.DisplayName</t>
        </is>
      </c>
      <c r="F77" t="inlineStr">
        <is>
          <t>P</t>
        </is>
      </c>
    </row>
    <row r="78">
      <c r="A78" t="inlineStr">
        <is>
          <t>S013</t>
        </is>
      </c>
      <c r="B78" t="inlineStr">
        <is>
          <t>B1</t>
        </is>
      </c>
      <c r="C78" t="n">
        <v>1</v>
      </c>
      <c r="D78" t="inlineStr">
        <is>
          <t>Dataset</t>
        </is>
      </c>
      <c r="E78" t="inlineStr">
        <is>
          <t>SE_neo4j.Tags</t>
        </is>
      </c>
      <c r="F78" t="inlineStr">
        <is>
          <t>F</t>
        </is>
      </c>
    </row>
    <row r="79">
      <c r="A79" t="inlineStr">
        <is>
          <t>S013</t>
        </is>
      </c>
      <c r="B79" t="inlineStr">
        <is>
          <t>B1</t>
        </is>
      </c>
      <c r="C79" t="n">
        <v>1</v>
      </c>
      <c r="D79" t="inlineStr">
        <is>
          <t>Dataset</t>
        </is>
      </c>
      <c r="E79" t="inlineStr">
        <is>
          <t>SE_neo4j.Posts</t>
        </is>
      </c>
      <c r="F79" t="inlineStr">
        <is>
          <t>D</t>
        </is>
      </c>
    </row>
    <row r="80">
      <c r="A80" t="inlineStr">
        <is>
          <t>S013</t>
        </is>
      </c>
      <c r="B80" t="inlineStr">
        <is>
          <t>B1</t>
        </is>
      </c>
      <c r="C80" t="n">
        <v>1</v>
      </c>
      <c r="D80" t="inlineStr">
        <is>
          <t>Attribute</t>
        </is>
      </c>
      <c r="E80" t="inlineStr">
        <is>
          <t>SE_neo4j.Tags.count</t>
        </is>
      </c>
      <c r="F80" t="inlineStr">
        <is>
          <t>M</t>
        </is>
      </c>
    </row>
    <row r="81">
      <c r="A81" t="inlineStr">
        <is>
          <t>S013</t>
        </is>
      </c>
      <c r="B81" t="inlineStr">
        <is>
          <t>B1</t>
        </is>
      </c>
      <c r="C81" t="n">
        <v>1</v>
      </c>
      <c r="D81" t="inlineStr">
        <is>
          <t>Attribute</t>
        </is>
      </c>
      <c r="E81" t="inlineStr">
        <is>
          <t>SE_neo4j.Posts.posttypeid</t>
        </is>
      </c>
      <c r="F81" t="inlineStr">
        <is>
          <t>P</t>
        </is>
      </c>
    </row>
    <row r="82">
      <c r="A82" t="inlineStr">
        <is>
          <t>S013</t>
        </is>
      </c>
      <c r="B82" t="inlineStr">
        <is>
          <t>B1</t>
        </is>
      </c>
      <c r="C82" t="n">
        <v>1</v>
      </c>
      <c r="D82" t="inlineStr">
        <is>
          <t>Attribute</t>
        </is>
      </c>
      <c r="E82" t="inlineStr">
        <is>
          <t>SE_neo4j.Tags.excerptpostid</t>
        </is>
      </c>
      <c r="F82" t="inlineStr">
        <is>
          <t>M</t>
        </is>
      </c>
    </row>
    <row r="83">
      <c r="A83" t="inlineStr">
        <is>
          <t>S014</t>
        </is>
      </c>
      <c r="B83" t="inlineStr">
        <is>
          <t>B1</t>
        </is>
      </c>
      <c r="C83" t="n">
        <v>2</v>
      </c>
      <c r="D83" t="inlineStr">
        <is>
          <t>Dataset</t>
        </is>
      </c>
      <c r="E83" t="inlineStr">
        <is>
          <t>SE_neo4j.Tags</t>
        </is>
      </c>
      <c r="F83" t="inlineStr">
        <is>
          <t>F</t>
        </is>
      </c>
    </row>
    <row r="84">
      <c r="A84" t="inlineStr">
        <is>
          <t>S014</t>
        </is>
      </c>
      <c r="B84" t="inlineStr">
        <is>
          <t>B1</t>
        </is>
      </c>
      <c r="C84" t="n">
        <v>2</v>
      </c>
      <c r="D84" t="inlineStr">
        <is>
          <t>Dataset</t>
        </is>
      </c>
      <c r="E84" t="inlineStr">
        <is>
          <t>SE_neo4j.Posts</t>
        </is>
      </c>
      <c r="F84" t="inlineStr">
        <is>
          <t>D</t>
        </is>
      </c>
    </row>
    <row r="85">
      <c r="A85" t="inlineStr">
        <is>
          <t>S014</t>
        </is>
      </c>
      <c r="B85" t="inlineStr">
        <is>
          <t>B1</t>
        </is>
      </c>
      <c r="C85" t="n">
        <v>2</v>
      </c>
      <c r="D85" t="inlineStr">
        <is>
          <t>Attribute</t>
        </is>
      </c>
      <c r="E85" t="inlineStr">
        <is>
          <t>SE_neo4j.Tags.count</t>
        </is>
      </c>
      <c r="F85" t="inlineStr">
        <is>
          <t>M</t>
        </is>
      </c>
    </row>
    <row r="86">
      <c r="A86" t="inlineStr">
        <is>
          <t>S014</t>
        </is>
      </c>
      <c r="B86" t="inlineStr">
        <is>
          <t>B1</t>
        </is>
      </c>
      <c r="C86" t="n">
        <v>2</v>
      </c>
      <c r="D86" t="inlineStr">
        <is>
          <t>Attribute</t>
        </is>
      </c>
      <c r="E86" t="inlineStr">
        <is>
          <t>SE_neo4j.Posts.posttypeid</t>
        </is>
      </c>
      <c r="F86" t="inlineStr">
        <is>
          <t>P</t>
        </is>
      </c>
    </row>
    <row r="87">
      <c r="A87" t="inlineStr">
        <is>
          <t>S015</t>
        </is>
      </c>
      <c r="B87" t="inlineStr">
        <is>
          <t>B1</t>
        </is>
      </c>
      <c r="C87" t="n">
        <v>3</v>
      </c>
      <c r="D87" t="inlineStr">
        <is>
          <t>Dataset</t>
        </is>
      </c>
      <c r="E87" t="inlineStr">
        <is>
          <t>SE_neo4j.Tags</t>
        </is>
      </c>
      <c r="F87" t="inlineStr">
        <is>
          <t>F</t>
        </is>
      </c>
    </row>
    <row r="88">
      <c r="A88" t="inlineStr">
        <is>
          <t>S015</t>
        </is>
      </c>
      <c r="B88" t="inlineStr">
        <is>
          <t>B1</t>
        </is>
      </c>
      <c r="C88" t="n">
        <v>3</v>
      </c>
      <c r="D88" t="inlineStr">
        <is>
          <t>Dataset</t>
        </is>
      </c>
      <c r="E88" t="inlineStr">
        <is>
          <t>SE_neo4j.Posts</t>
        </is>
      </c>
      <c r="F88" t="inlineStr">
        <is>
          <t>D</t>
        </is>
      </c>
    </row>
    <row r="89">
      <c r="A89" t="inlineStr">
        <is>
          <t>S015</t>
        </is>
      </c>
      <c r="B89" t="inlineStr">
        <is>
          <t>B1</t>
        </is>
      </c>
      <c r="C89" t="n">
        <v>3</v>
      </c>
      <c r="D89" t="inlineStr">
        <is>
          <t>Attribute</t>
        </is>
      </c>
      <c r="E89" t="inlineStr">
        <is>
          <t>SE_neo4j.Tags.count</t>
        </is>
      </c>
      <c r="F89" t="inlineStr">
        <is>
          <t>M</t>
        </is>
      </c>
    </row>
    <row r="90">
      <c r="A90" t="inlineStr">
        <is>
          <t>S015</t>
        </is>
      </c>
      <c r="B90" t="inlineStr">
        <is>
          <t>B1</t>
        </is>
      </c>
      <c r="C90" t="n">
        <v>3</v>
      </c>
      <c r="D90" t="inlineStr">
        <is>
          <t>Attribute</t>
        </is>
      </c>
      <c r="E90" t="inlineStr">
        <is>
          <t>SE_neo4j.Posts.posttypeid</t>
        </is>
      </c>
      <c r="F90" t="inlineStr">
        <is>
          <t>P</t>
        </is>
      </c>
    </row>
    <row r="91">
      <c r="A91" t="inlineStr">
        <is>
          <t>S015</t>
        </is>
      </c>
      <c r="B91" t="inlineStr">
        <is>
          <t>B1</t>
        </is>
      </c>
      <c r="C91" t="n">
        <v>3</v>
      </c>
      <c r="D91" t="inlineStr">
        <is>
          <t>Attribute</t>
        </is>
      </c>
      <c r="E91" t="inlineStr">
        <is>
          <t>SE_neo4j.Tags.tagname</t>
        </is>
      </c>
      <c r="F91" t="inlineStr">
        <is>
          <t>M</t>
        </is>
      </c>
    </row>
    <row r="92">
      <c r="A92" t="inlineStr">
        <is>
          <t>S016</t>
        </is>
      </c>
      <c r="B92" t="inlineStr">
        <is>
          <t>B1</t>
        </is>
      </c>
      <c r="C92" t="n">
        <v>4</v>
      </c>
      <c r="D92" t="inlineStr">
        <is>
          <t>Dataset</t>
        </is>
      </c>
      <c r="E92" t="inlineStr">
        <is>
          <t>SE_neo4j.Tags</t>
        </is>
      </c>
      <c r="F92" t="inlineStr">
        <is>
          <t>F</t>
        </is>
      </c>
    </row>
    <row r="93">
      <c r="A93" t="inlineStr">
        <is>
          <t>S016</t>
        </is>
      </c>
      <c r="B93" t="inlineStr">
        <is>
          <t>B1</t>
        </is>
      </c>
      <c r="C93" t="n">
        <v>4</v>
      </c>
      <c r="D93" t="inlineStr">
        <is>
          <t>Dataset</t>
        </is>
      </c>
      <c r="E93" t="inlineStr">
        <is>
          <t>SE_neo4j.Posts</t>
        </is>
      </c>
      <c r="F93" t="inlineStr">
        <is>
          <t>D</t>
        </is>
      </c>
    </row>
    <row r="94">
      <c r="A94" t="inlineStr">
        <is>
          <t>S016</t>
        </is>
      </c>
      <c r="B94" t="inlineStr">
        <is>
          <t>B1</t>
        </is>
      </c>
      <c r="C94" t="n">
        <v>4</v>
      </c>
      <c r="D94" t="inlineStr">
        <is>
          <t>Attribute</t>
        </is>
      </c>
      <c r="E94" t="inlineStr">
        <is>
          <t>SE_neo4j.Tags.count</t>
        </is>
      </c>
      <c r="F94" t="inlineStr">
        <is>
          <t>M</t>
        </is>
      </c>
    </row>
    <row r="95">
      <c r="A95" t="inlineStr">
        <is>
          <t>S016</t>
        </is>
      </c>
      <c r="B95" t="inlineStr">
        <is>
          <t>B1</t>
        </is>
      </c>
      <c r="C95" t="n">
        <v>4</v>
      </c>
      <c r="D95" t="inlineStr">
        <is>
          <t>Attribute</t>
        </is>
      </c>
      <c r="E95" t="inlineStr">
        <is>
          <t>SE_neo4j.Posts.posttypeid</t>
        </is>
      </c>
      <c r="F95" t="inlineStr">
        <is>
          <t>P</t>
        </is>
      </c>
    </row>
    <row r="96">
      <c r="A96" t="inlineStr">
        <is>
          <t>S017</t>
        </is>
      </c>
      <c r="B96" t="inlineStr">
        <is>
          <t>B2</t>
        </is>
      </c>
      <c r="C96" t="n">
        <v>1</v>
      </c>
      <c r="D96" t="inlineStr">
        <is>
          <t>Dataset</t>
        </is>
      </c>
      <c r="E96" t="inlineStr">
        <is>
          <t>SE_mongodb.Posts</t>
        </is>
      </c>
      <c r="F96" t="inlineStr">
        <is>
          <t>F</t>
        </is>
      </c>
    </row>
    <row r="97">
      <c r="A97" t="inlineStr">
        <is>
          <t>S017</t>
        </is>
      </c>
      <c r="B97" t="inlineStr">
        <is>
          <t>B2</t>
        </is>
      </c>
      <c r="C97" t="n">
        <v>1</v>
      </c>
      <c r="D97" t="inlineStr">
        <is>
          <t>Dataset</t>
        </is>
      </c>
      <c r="E97" t="inlineStr">
        <is>
          <t>SE_neo4j.Tags</t>
        </is>
      </c>
      <c r="F97" t="inlineStr">
        <is>
          <t>D</t>
        </is>
      </c>
    </row>
    <row r="98">
      <c r="A98" t="inlineStr">
        <is>
          <t>S017</t>
        </is>
      </c>
      <c r="B98" t="inlineStr">
        <is>
          <t>B2</t>
        </is>
      </c>
      <c r="C98" t="n">
        <v>1</v>
      </c>
      <c r="D98" t="inlineStr">
        <is>
          <t>Attribute</t>
        </is>
      </c>
      <c r="E98" t="inlineStr">
        <is>
          <t>SE_mongodb.Posts.Body</t>
        </is>
      </c>
      <c r="F98" t="inlineStr">
        <is>
          <t>M</t>
        </is>
      </c>
    </row>
    <row r="99">
      <c r="A99" t="inlineStr">
        <is>
          <t>S017</t>
        </is>
      </c>
      <c r="B99" t="inlineStr">
        <is>
          <t>B2</t>
        </is>
      </c>
      <c r="C99" t="n">
        <v>1</v>
      </c>
      <c r="D99" t="inlineStr">
        <is>
          <t>Attribute</t>
        </is>
      </c>
      <c r="E99" t="inlineStr">
        <is>
          <t>SE_mongodb.Posts.Tags</t>
        </is>
      </c>
      <c r="F99" t="inlineStr">
        <is>
          <t>M</t>
        </is>
      </c>
    </row>
    <row r="100">
      <c r="A100" t="inlineStr">
        <is>
          <t>S017</t>
        </is>
      </c>
      <c r="B100" t="inlineStr">
        <is>
          <t>B2</t>
        </is>
      </c>
      <c r="C100" t="n">
        <v>1</v>
      </c>
      <c r="D100" t="inlineStr">
        <is>
          <t>Attribute</t>
        </is>
      </c>
      <c r="E100" t="inlineStr">
        <is>
          <t>SE_neo4j.Tags.count</t>
        </is>
      </c>
      <c r="F100" t="inlineStr">
        <is>
          <t>P</t>
        </is>
      </c>
    </row>
    <row r="101">
      <c r="A101" t="inlineStr">
        <is>
          <t>S018</t>
        </is>
      </c>
      <c r="B101" t="inlineStr">
        <is>
          <t>B2</t>
        </is>
      </c>
      <c r="C101" t="n">
        <v>2</v>
      </c>
      <c r="D101" t="inlineStr">
        <is>
          <t>Dataset</t>
        </is>
      </c>
      <c r="E101" t="inlineStr">
        <is>
          <t>SE_mongodb.Posts</t>
        </is>
      </c>
      <c r="F101" t="inlineStr">
        <is>
          <t>F</t>
        </is>
      </c>
    </row>
    <row r="102">
      <c r="A102" t="inlineStr">
        <is>
          <t>S018</t>
        </is>
      </c>
      <c r="B102" t="inlineStr">
        <is>
          <t>B2</t>
        </is>
      </c>
      <c r="C102" t="n">
        <v>2</v>
      </c>
      <c r="D102" t="inlineStr">
        <is>
          <t>Dataset</t>
        </is>
      </c>
      <c r="E102" t="inlineStr">
        <is>
          <t>SE_neo4j.Tags</t>
        </is>
      </c>
      <c r="F102" t="inlineStr">
        <is>
          <t>D</t>
        </is>
      </c>
    </row>
    <row r="103">
      <c r="A103" t="inlineStr">
        <is>
          <t>S018</t>
        </is>
      </c>
      <c r="B103" t="inlineStr">
        <is>
          <t>B2</t>
        </is>
      </c>
      <c r="C103" t="n">
        <v>2</v>
      </c>
      <c r="D103" t="inlineStr">
        <is>
          <t>Attribute</t>
        </is>
      </c>
      <c r="E103" t="inlineStr">
        <is>
          <t>SE_mongodb.Posts.Body</t>
        </is>
      </c>
      <c r="F103" t="inlineStr">
        <is>
          <t>M</t>
        </is>
      </c>
    </row>
    <row r="104">
      <c r="A104" t="inlineStr">
        <is>
          <t>S018</t>
        </is>
      </c>
      <c r="B104" t="inlineStr">
        <is>
          <t>B2</t>
        </is>
      </c>
      <c r="C104" t="n">
        <v>2</v>
      </c>
      <c r="D104" t="inlineStr">
        <is>
          <t>Attribute</t>
        </is>
      </c>
      <c r="E104" t="inlineStr">
        <is>
          <t>SE_neo4j.Tags.count</t>
        </is>
      </c>
      <c r="F104" t="inlineStr">
        <is>
          <t>P</t>
        </is>
      </c>
    </row>
    <row r="105">
      <c r="A105" t="inlineStr">
        <is>
          <t>S018</t>
        </is>
      </c>
      <c r="B105" t="inlineStr">
        <is>
          <t>B2</t>
        </is>
      </c>
      <c r="C105" t="n">
        <v>2</v>
      </c>
      <c r="D105" t="inlineStr">
        <is>
          <t>Attribute</t>
        </is>
      </c>
      <c r="E105" t="inlineStr">
        <is>
          <t>SE_neo4j.Tags.tagname</t>
        </is>
      </c>
      <c r="F105" t="inlineStr">
        <is>
          <t>P</t>
        </is>
      </c>
    </row>
    <row r="106">
      <c r="A106" t="inlineStr">
        <is>
          <t>S019</t>
        </is>
      </c>
      <c r="B106" t="inlineStr">
        <is>
          <t>B2</t>
        </is>
      </c>
      <c r="C106" t="n">
        <v>3</v>
      </c>
      <c r="D106" t="inlineStr">
        <is>
          <t>Dataset</t>
        </is>
      </c>
      <c r="E106" t="inlineStr">
        <is>
          <t>SE_mongodb.Posts</t>
        </is>
      </c>
      <c r="F106" t="inlineStr">
        <is>
          <t>F</t>
        </is>
      </c>
    </row>
    <row r="107">
      <c r="A107" t="inlineStr">
        <is>
          <t>S019</t>
        </is>
      </c>
      <c r="B107" t="inlineStr">
        <is>
          <t>B2</t>
        </is>
      </c>
      <c r="C107" t="n">
        <v>3</v>
      </c>
      <c r="D107" t="inlineStr">
        <is>
          <t>Dataset</t>
        </is>
      </c>
      <c r="E107" t="inlineStr">
        <is>
          <t>SE_mysql.Posttypes</t>
        </is>
      </c>
      <c r="F107" t="inlineStr">
        <is>
          <t>D</t>
        </is>
      </c>
    </row>
    <row r="108">
      <c r="A108" t="inlineStr">
        <is>
          <t>S019</t>
        </is>
      </c>
      <c r="B108" t="inlineStr">
        <is>
          <t>B2</t>
        </is>
      </c>
      <c r="C108" t="n">
        <v>3</v>
      </c>
      <c r="D108" t="inlineStr">
        <is>
          <t>Dataset</t>
        </is>
      </c>
      <c r="E108" t="inlineStr">
        <is>
          <t>SE_neo4j.Tags</t>
        </is>
      </c>
      <c r="F108" t="inlineStr">
        <is>
          <t>D</t>
        </is>
      </c>
    </row>
    <row r="109">
      <c r="A109" t="inlineStr">
        <is>
          <t>S019</t>
        </is>
      </c>
      <c r="B109" t="inlineStr">
        <is>
          <t>B2</t>
        </is>
      </c>
      <c r="C109" t="n">
        <v>3</v>
      </c>
      <c r="D109" t="inlineStr">
        <is>
          <t>Attribute</t>
        </is>
      </c>
      <c r="E109" t="inlineStr">
        <is>
          <t>SE_mongodb.Posts.Body</t>
        </is>
      </c>
      <c r="F109" t="inlineStr">
        <is>
          <t>M</t>
        </is>
      </c>
    </row>
    <row r="110">
      <c r="A110" t="inlineStr">
        <is>
          <t>S019</t>
        </is>
      </c>
      <c r="B110" t="inlineStr">
        <is>
          <t>B2</t>
        </is>
      </c>
      <c r="C110" t="n">
        <v>3</v>
      </c>
      <c r="D110" t="inlineStr">
        <is>
          <t>Attribute</t>
        </is>
      </c>
      <c r="E110" t="inlineStr">
        <is>
          <t>SE_mongodb.Posts.Tags</t>
        </is>
      </c>
      <c r="F110" t="inlineStr">
        <is>
          <t>M</t>
        </is>
      </c>
    </row>
    <row r="111">
      <c r="A111" t="inlineStr">
        <is>
          <t>S019</t>
        </is>
      </c>
      <c r="B111" t="inlineStr">
        <is>
          <t>B2</t>
        </is>
      </c>
      <c r="C111" t="n">
        <v>3</v>
      </c>
      <c r="D111" t="inlineStr">
        <is>
          <t>Attribute</t>
        </is>
      </c>
      <c r="E111" t="inlineStr">
        <is>
          <t>SE_mysql.Posttypes.Id</t>
        </is>
      </c>
      <c r="F111" t="inlineStr">
        <is>
          <t>P</t>
        </is>
      </c>
    </row>
    <row r="112">
      <c r="A112" t="inlineStr">
        <is>
          <t>S019</t>
        </is>
      </c>
      <c r="B112" t="inlineStr">
        <is>
          <t>B2</t>
        </is>
      </c>
      <c r="C112" t="n">
        <v>3</v>
      </c>
      <c r="D112" t="inlineStr">
        <is>
          <t>Attribute</t>
        </is>
      </c>
      <c r="E112" t="inlineStr">
        <is>
          <t>SE_neo4j.Tags.tagname</t>
        </is>
      </c>
      <c r="F112" t="inlineStr">
        <is>
          <t>P</t>
        </is>
      </c>
    </row>
    <row r="113">
      <c r="A113" t="inlineStr">
        <is>
          <t>S019</t>
        </is>
      </c>
      <c r="B113" t="inlineStr">
        <is>
          <t>B2</t>
        </is>
      </c>
      <c r="C113" t="n">
        <v>3</v>
      </c>
      <c r="D113" t="inlineStr">
        <is>
          <t>Attribute</t>
        </is>
      </c>
      <c r="E113" t="inlineStr">
        <is>
          <t>SE_neo4j.Tags.count</t>
        </is>
      </c>
      <c r="F113" t="inlineStr">
        <is>
          <t>P</t>
        </is>
      </c>
    </row>
    <row r="114">
      <c r="A114" t="inlineStr">
        <is>
          <t>S020</t>
        </is>
      </c>
      <c r="B114" t="inlineStr">
        <is>
          <t>B2</t>
        </is>
      </c>
      <c r="C114" t="n">
        <v>4</v>
      </c>
      <c r="D114" t="inlineStr">
        <is>
          <t>Dataset</t>
        </is>
      </c>
      <c r="E114" t="inlineStr">
        <is>
          <t>SE_mongodb.Posts</t>
        </is>
      </c>
      <c r="F114" t="inlineStr">
        <is>
          <t>F</t>
        </is>
      </c>
    </row>
    <row r="115">
      <c r="A115" t="inlineStr">
        <is>
          <t>S020</t>
        </is>
      </c>
      <c r="B115" t="inlineStr">
        <is>
          <t>B2</t>
        </is>
      </c>
      <c r="C115" t="n">
        <v>4</v>
      </c>
      <c r="D115" t="inlineStr">
        <is>
          <t>Dataset</t>
        </is>
      </c>
      <c r="E115" t="inlineStr">
        <is>
          <t>SE_neo4j.Tags</t>
        </is>
      </c>
      <c r="F115" t="inlineStr">
        <is>
          <t>D</t>
        </is>
      </c>
    </row>
    <row r="116">
      <c r="A116" t="inlineStr">
        <is>
          <t>S020</t>
        </is>
      </c>
      <c r="B116" t="inlineStr">
        <is>
          <t>B2</t>
        </is>
      </c>
      <c r="C116" t="n">
        <v>4</v>
      </c>
      <c r="D116" t="inlineStr">
        <is>
          <t>Attribute</t>
        </is>
      </c>
      <c r="E116" t="inlineStr">
        <is>
          <t>SE_mongodb.Posts.Tags</t>
        </is>
      </c>
      <c r="F116" t="inlineStr">
        <is>
          <t>M</t>
        </is>
      </c>
    </row>
    <row r="117">
      <c r="A117" t="inlineStr">
        <is>
          <t>S020</t>
        </is>
      </c>
      <c r="B117" t="inlineStr">
        <is>
          <t>B2</t>
        </is>
      </c>
      <c r="C117" t="n">
        <v>4</v>
      </c>
      <c r="D117" t="inlineStr">
        <is>
          <t>Attribute</t>
        </is>
      </c>
      <c r="E117" t="inlineStr">
        <is>
          <t>SE_mongodb.Posts.Body</t>
        </is>
      </c>
      <c r="F117" t="inlineStr">
        <is>
          <t>M</t>
        </is>
      </c>
    </row>
    <row r="118">
      <c r="A118" t="inlineStr">
        <is>
          <t>S020</t>
        </is>
      </c>
      <c r="B118" t="inlineStr">
        <is>
          <t>B2</t>
        </is>
      </c>
      <c r="C118" t="n">
        <v>4</v>
      </c>
      <c r="D118" t="inlineStr">
        <is>
          <t>Attribute</t>
        </is>
      </c>
      <c r="E118" t="inlineStr">
        <is>
          <t>SE_neo4j.Tags.tagname</t>
        </is>
      </c>
      <c r="F118" t="inlineStr">
        <is>
          <t>P</t>
        </is>
      </c>
    </row>
    <row r="119">
      <c r="A119" t="inlineStr">
        <is>
          <t>S020</t>
        </is>
      </c>
      <c r="B119" t="inlineStr">
        <is>
          <t>B2</t>
        </is>
      </c>
      <c r="C119" t="n">
        <v>4</v>
      </c>
      <c r="D119" t="inlineStr">
        <is>
          <t>Attribute</t>
        </is>
      </c>
      <c r="E119" t="inlineStr">
        <is>
          <t>SE_mongodb.Posts.Id</t>
        </is>
      </c>
      <c r="F119" t="inlineStr">
        <is>
          <t>M</t>
        </is>
      </c>
    </row>
    <row r="120">
      <c r="A120" t="inlineStr">
        <is>
          <t>S021</t>
        </is>
      </c>
      <c r="B120" t="inlineStr">
        <is>
          <t>B3</t>
        </is>
      </c>
      <c r="C120" t="n">
        <v>1</v>
      </c>
      <c r="D120" t="inlineStr">
        <is>
          <t>Dataset</t>
        </is>
      </c>
      <c r="E120" t="inlineStr">
        <is>
          <t>SE_neo4j.postlinks</t>
        </is>
      </c>
      <c r="F120" t="inlineStr">
        <is>
          <t>F</t>
        </is>
      </c>
    </row>
    <row r="121">
      <c r="A121" t="inlineStr">
        <is>
          <t>S021</t>
        </is>
      </c>
      <c r="B121" t="inlineStr">
        <is>
          <t>B3</t>
        </is>
      </c>
      <c r="C121" t="n">
        <v>1</v>
      </c>
      <c r="D121" t="inlineStr">
        <is>
          <t>Dataset</t>
        </is>
      </c>
      <c r="E121" t="inlineStr">
        <is>
          <t>SE_neo4j.Posts</t>
        </is>
      </c>
      <c r="F121" t="inlineStr">
        <is>
          <t>D</t>
        </is>
      </c>
    </row>
    <row r="122">
      <c r="A122" t="inlineStr">
        <is>
          <t>S021</t>
        </is>
      </c>
      <c r="B122" t="inlineStr">
        <is>
          <t>B3</t>
        </is>
      </c>
      <c r="C122" t="n">
        <v>1</v>
      </c>
      <c r="D122" t="inlineStr">
        <is>
          <t>Attribute</t>
        </is>
      </c>
      <c r="E122" t="inlineStr">
        <is>
          <t>SE_neo4j.postlinks.LinkTypeId</t>
        </is>
      </c>
      <c r="F122" t="inlineStr">
        <is>
          <t>M</t>
        </is>
      </c>
    </row>
    <row r="123">
      <c r="A123" t="inlineStr">
        <is>
          <t>S021</t>
        </is>
      </c>
      <c r="B123" t="inlineStr">
        <is>
          <t>B3</t>
        </is>
      </c>
      <c r="C123" t="n">
        <v>1</v>
      </c>
      <c r="D123" t="inlineStr">
        <is>
          <t>Attribute</t>
        </is>
      </c>
      <c r="E123" t="inlineStr">
        <is>
          <t>SE_neo4j.Posts.id</t>
        </is>
      </c>
      <c r="F123" t="inlineStr">
        <is>
          <t>P</t>
        </is>
      </c>
    </row>
    <row r="124">
      <c r="A124" t="inlineStr">
        <is>
          <t>S022</t>
        </is>
      </c>
      <c r="B124" t="inlineStr">
        <is>
          <t>B3</t>
        </is>
      </c>
      <c r="C124" t="n">
        <v>2</v>
      </c>
      <c r="D124" t="inlineStr">
        <is>
          <t>Dataset</t>
        </is>
      </c>
      <c r="E124" t="inlineStr">
        <is>
          <t>SE_neo4j.postlinks</t>
        </is>
      </c>
      <c r="F124" t="inlineStr">
        <is>
          <t>F</t>
        </is>
      </c>
    </row>
    <row r="125">
      <c r="A125" t="inlineStr">
        <is>
          <t>S022</t>
        </is>
      </c>
      <c r="B125" t="inlineStr">
        <is>
          <t>B3</t>
        </is>
      </c>
      <c r="C125" t="n">
        <v>2</v>
      </c>
      <c r="D125" t="inlineStr">
        <is>
          <t>Dataset</t>
        </is>
      </c>
      <c r="E125" t="inlineStr">
        <is>
          <t>SE_neo4j.Posts</t>
        </is>
      </c>
      <c r="F125" t="inlineStr">
        <is>
          <t>D</t>
        </is>
      </c>
    </row>
    <row r="126">
      <c r="A126" t="inlineStr">
        <is>
          <t>S022</t>
        </is>
      </c>
      <c r="B126" t="inlineStr">
        <is>
          <t>B3</t>
        </is>
      </c>
      <c r="C126" t="n">
        <v>2</v>
      </c>
      <c r="D126" t="inlineStr">
        <is>
          <t>Attribute</t>
        </is>
      </c>
      <c r="E126" t="inlineStr">
        <is>
          <t>SE_neo4j.postlinks.LinkTypeId</t>
        </is>
      </c>
      <c r="F126" t="inlineStr">
        <is>
          <t>M</t>
        </is>
      </c>
    </row>
    <row r="127">
      <c r="A127" t="inlineStr">
        <is>
          <t>S022</t>
        </is>
      </c>
      <c r="B127" t="inlineStr">
        <is>
          <t>B3</t>
        </is>
      </c>
      <c r="C127" t="n">
        <v>2</v>
      </c>
      <c r="D127" t="inlineStr">
        <is>
          <t>Attribute</t>
        </is>
      </c>
      <c r="E127" t="inlineStr">
        <is>
          <t>SE_neo4j.Posts.id</t>
        </is>
      </c>
      <c r="F127" t="inlineStr">
        <is>
          <t>P</t>
        </is>
      </c>
    </row>
    <row r="128">
      <c r="A128" t="inlineStr">
        <is>
          <t>S023</t>
        </is>
      </c>
      <c r="B128" t="inlineStr">
        <is>
          <t>B3</t>
        </is>
      </c>
      <c r="C128" t="n">
        <v>3</v>
      </c>
      <c r="D128" t="inlineStr">
        <is>
          <t>Dataset</t>
        </is>
      </c>
      <c r="E128" t="inlineStr">
        <is>
          <t>SE_neo4j.postlinks</t>
        </is>
      </c>
      <c r="F128" t="inlineStr">
        <is>
          <t>F</t>
        </is>
      </c>
    </row>
    <row r="129">
      <c r="A129" t="inlineStr">
        <is>
          <t>S023</t>
        </is>
      </c>
      <c r="B129" t="inlineStr">
        <is>
          <t>B3</t>
        </is>
      </c>
      <c r="C129" t="n">
        <v>3</v>
      </c>
      <c r="D129" t="inlineStr">
        <is>
          <t>Dataset</t>
        </is>
      </c>
      <c r="E129" t="inlineStr">
        <is>
          <t>SE_neo4j.Posts</t>
        </is>
      </c>
      <c r="F129" t="inlineStr">
        <is>
          <t>D</t>
        </is>
      </c>
    </row>
    <row r="130">
      <c r="A130" t="inlineStr">
        <is>
          <t>S023</t>
        </is>
      </c>
      <c r="B130" t="inlineStr">
        <is>
          <t>B3</t>
        </is>
      </c>
      <c r="C130" t="n">
        <v>3</v>
      </c>
      <c r="D130" t="inlineStr">
        <is>
          <t>Attribute</t>
        </is>
      </c>
      <c r="E130" t="inlineStr">
        <is>
          <t>SE_neo4j.postlinks.LinkTypeId</t>
        </is>
      </c>
      <c r="F130" t="inlineStr">
        <is>
          <t>M</t>
        </is>
      </c>
    </row>
    <row r="131">
      <c r="A131" t="inlineStr">
        <is>
          <t>S023</t>
        </is>
      </c>
      <c r="B131" t="inlineStr">
        <is>
          <t>B3</t>
        </is>
      </c>
      <c r="C131" t="n">
        <v>3</v>
      </c>
      <c r="D131" t="inlineStr">
        <is>
          <t>Attribute</t>
        </is>
      </c>
      <c r="E131" t="inlineStr">
        <is>
          <t>SE_neo4j.Posts.id</t>
        </is>
      </c>
      <c r="F131" t="inlineStr">
        <is>
          <t>P</t>
        </is>
      </c>
    </row>
    <row r="132">
      <c r="A132" t="inlineStr">
        <is>
          <t>S024</t>
        </is>
      </c>
      <c r="B132" t="inlineStr">
        <is>
          <t>B3</t>
        </is>
      </c>
      <c r="C132" t="n">
        <v>4</v>
      </c>
      <c r="D132" t="inlineStr">
        <is>
          <t>Dataset</t>
        </is>
      </c>
      <c r="E132" t="inlineStr">
        <is>
          <t>SE_neo4j.postlinks</t>
        </is>
      </c>
      <c r="F132" t="inlineStr">
        <is>
          <t>F</t>
        </is>
      </c>
    </row>
    <row r="133">
      <c r="A133" t="inlineStr">
        <is>
          <t>S024</t>
        </is>
      </c>
      <c r="B133" t="inlineStr">
        <is>
          <t>B3</t>
        </is>
      </c>
      <c r="C133" t="n">
        <v>4</v>
      </c>
      <c r="D133" t="inlineStr">
        <is>
          <t>Dataset</t>
        </is>
      </c>
      <c r="E133" t="inlineStr">
        <is>
          <t>SE_neo4j.Posts</t>
        </is>
      </c>
      <c r="F133" t="inlineStr">
        <is>
          <t>D</t>
        </is>
      </c>
    </row>
    <row r="134">
      <c r="A134" t="inlineStr">
        <is>
          <t>S024</t>
        </is>
      </c>
      <c r="B134" t="inlineStr">
        <is>
          <t>B3</t>
        </is>
      </c>
      <c r="C134" t="n">
        <v>4</v>
      </c>
      <c r="D134" t="inlineStr">
        <is>
          <t>Attribute</t>
        </is>
      </c>
      <c r="E134" t="inlineStr">
        <is>
          <t>SE_neo4j.postlinks.LinkTypeId</t>
        </is>
      </c>
      <c r="F134" t="inlineStr">
        <is>
          <t>M</t>
        </is>
      </c>
    </row>
    <row r="135">
      <c r="A135" t="inlineStr">
        <is>
          <t>S024</t>
        </is>
      </c>
      <c r="B135" t="inlineStr">
        <is>
          <t>B3</t>
        </is>
      </c>
      <c r="C135" t="n">
        <v>4</v>
      </c>
      <c r="D135" t="inlineStr">
        <is>
          <t>Attribute</t>
        </is>
      </c>
      <c r="E135" t="inlineStr">
        <is>
          <t>SE_neo4j.Posts.id</t>
        </is>
      </c>
      <c r="F135" t="inlineStr">
        <is>
          <t>P</t>
        </is>
      </c>
    </row>
    <row r="136">
      <c r="A136" t="inlineStr">
        <is>
          <t>S025</t>
        </is>
      </c>
      <c r="B136" t="inlineStr">
        <is>
          <t>C1</t>
        </is>
      </c>
      <c r="C136" t="n">
        <v>1</v>
      </c>
      <c r="D136" t="inlineStr">
        <is>
          <t>Dataset</t>
        </is>
      </c>
      <c r="E136" t="inlineStr">
        <is>
          <t>SE_mysql.Votes</t>
        </is>
      </c>
      <c r="F136" t="inlineStr">
        <is>
          <t>F</t>
        </is>
      </c>
    </row>
    <row r="137">
      <c r="A137" t="inlineStr">
        <is>
          <t>S025</t>
        </is>
      </c>
      <c r="B137" t="inlineStr">
        <is>
          <t>C1</t>
        </is>
      </c>
      <c r="C137" t="n">
        <v>1</v>
      </c>
      <c r="D137" t="inlineStr">
        <is>
          <t>Dataset</t>
        </is>
      </c>
      <c r="E137" t="inlineStr">
        <is>
          <t>SE_mysql.postes</t>
        </is>
      </c>
      <c r="F137" t="inlineStr">
        <is>
          <t>D</t>
        </is>
      </c>
    </row>
    <row r="138">
      <c r="A138" t="inlineStr">
        <is>
          <t>S025</t>
        </is>
      </c>
      <c r="B138" t="inlineStr">
        <is>
          <t>C1</t>
        </is>
      </c>
      <c r="C138" t="n">
        <v>1</v>
      </c>
      <c r="D138" t="inlineStr">
        <is>
          <t>Dataset</t>
        </is>
      </c>
      <c r="E138" t="inlineStr">
        <is>
          <t>SE_mysql.Votetypes</t>
        </is>
      </c>
      <c r="F138" t="inlineStr">
        <is>
          <t>D</t>
        </is>
      </c>
    </row>
    <row r="139">
      <c r="A139" t="inlineStr">
        <is>
          <t>S025</t>
        </is>
      </c>
      <c r="B139" t="inlineStr">
        <is>
          <t>C1</t>
        </is>
      </c>
      <c r="C139" t="n">
        <v>1</v>
      </c>
      <c r="D139" t="inlineStr">
        <is>
          <t>Attribute</t>
        </is>
      </c>
      <c r="E139" t="inlineStr">
        <is>
          <t>SE_mysql.Votes.BountyAmount</t>
        </is>
      </c>
      <c r="F139" t="inlineStr">
        <is>
          <t>M</t>
        </is>
      </c>
    </row>
    <row r="140">
      <c r="A140" t="inlineStr">
        <is>
          <t>S025</t>
        </is>
      </c>
      <c r="B140" t="inlineStr">
        <is>
          <t>C1</t>
        </is>
      </c>
      <c r="C140" t="n">
        <v>1</v>
      </c>
      <c r="D140" t="inlineStr">
        <is>
          <t>Attribute</t>
        </is>
      </c>
      <c r="E140" t="inlineStr">
        <is>
          <t>SE_mysql.postes.CreationDate</t>
        </is>
      </c>
      <c r="F140" t="inlineStr">
        <is>
          <t>P</t>
        </is>
      </c>
    </row>
    <row r="141">
      <c r="A141" t="inlineStr">
        <is>
          <t>S025</t>
        </is>
      </c>
      <c r="B141" t="inlineStr">
        <is>
          <t>C1</t>
        </is>
      </c>
      <c r="C141" t="n">
        <v>1</v>
      </c>
      <c r="D141" t="inlineStr">
        <is>
          <t>Attribute</t>
        </is>
      </c>
      <c r="E141" t="inlineStr">
        <is>
          <t>SE_mysql.Votetypes.Name</t>
        </is>
      </c>
      <c r="F141" t="inlineStr">
        <is>
          <t>P</t>
        </is>
      </c>
    </row>
    <row r="142">
      <c r="A142" t="inlineStr">
        <is>
          <t>S026</t>
        </is>
      </c>
      <c r="B142" t="inlineStr">
        <is>
          <t>C1</t>
        </is>
      </c>
      <c r="C142" t="n">
        <v>2</v>
      </c>
      <c r="D142" t="inlineStr">
        <is>
          <t>Dataset</t>
        </is>
      </c>
      <c r="E142" t="inlineStr">
        <is>
          <t>SE_mysql.Votes</t>
        </is>
      </c>
      <c r="F142" t="inlineStr">
        <is>
          <t>F</t>
        </is>
      </c>
    </row>
    <row r="143">
      <c r="A143" t="inlineStr">
        <is>
          <t>S026</t>
        </is>
      </c>
      <c r="B143" t="inlineStr">
        <is>
          <t>C1</t>
        </is>
      </c>
      <c r="C143" t="n">
        <v>2</v>
      </c>
      <c r="D143" t="inlineStr">
        <is>
          <t>Dataset</t>
        </is>
      </c>
      <c r="E143" t="inlineStr">
        <is>
          <t>SE_mysql.postes</t>
        </is>
      </c>
      <c r="F143" t="inlineStr">
        <is>
          <t>D</t>
        </is>
      </c>
    </row>
    <row r="144">
      <c r="A144" t="inlineStr">
        <is>
          <t>S026</t>
        </is>
      </c>
      <c r="B144" t="inlineStr">
        <is>
          <t>C1</t>
        </is>
      </c>
      <c r="C144" t="n">
        <v>2</v>
      </c>
      <c r="D144" t="inlineStr">
        <is>
          <t>Attribute</t>
        </is>
      </c>
      <c r="E144" t="inlineStr">
        <is>
          <t>SE_mysql.Votes.BountyAmount</t>
        </is>
      </c>
      <c r="F144" t="inlineStr">
        <is>
          <t>M</t>
        </is>
      </c>
    </row>
    <row r="145">
      <c r="A145" t="inlineStr">
        <is>
          <t>S026</t>
        </is>
      </c>
      <c r="B145" t="inlineStr">
        <is>
          <t>C1</t>
        </is>
      </c>
      <c r="C145" t="n">
        <v>2</v>
      </c>
      <c r="D145" t="inlineStr">
        <is>
          <t>Attribute</t>
        </is>
      </c>
      <c r="E145" t="inlineStr">
        <is>
          <t>SE_mysql.postes.CreationDate</t>
        </is>
      </c>
      <c r="F145" t="inlineStr">
        <is>
          <t>P</t>
        </is>
      </c>
    </row>
    <row r="146">
      <c r="A146" t="inlineStr">
        <is>
          <t>S027</t>
        </is>
      </c>
      <c r="B146" t="inlineStr">
        <is>
          <t>C1</t>
        </is>
      </c>
      <c r="C146" t="n">
        <v>3</v>
      </c>
      <c r="D146" t="inlineStr">
        <is>
          <t>Dataset</t>
        </is>
      </c>
      <c r="E146" t="inlineStr">
        <is>
          <t>SE_mysql.Votes</t>
        </is>
      </c>
      <c r="F146" t="inlineStr">
        <is>
          <t>F</t>
        </is>
      </c>
    </row>
    <row r="147">
      <c r="A147" t="inlineStr">
        <is>
          <t>S027</t>
        </is>
      </c>
      <c r="B147" t="inlineStr">
        <is>
          <t>C1</t>
        </is>
      </c>
      <c r="C147" t="n">
        <v>3</v>
      </c>
      <c r="D147" t="inlineStr">
        <is>
          <t>Dataset</t>
        </is>
      </c>
      <c r="E147" t="inlineStr">
        <is>
          <t>SE_mysql.postes</t>
        </is>
      </c>
      <c r="F147" t="inlineStr">
        <is>
          <t>D</t>
        </is>
      </c>
    </row>
    <row r="148">
      <c r="A148" t="inlineStr">
        <is>
          <t>S027</t>
        </is>
      </c>
      <c r="B148" t="inlineStr">
        <is>
          <t>C1</t>
        </is>
      </c>
      <c r="C148" t="n">
        <v>3</v>
      </c>
      <c r="D148" t="inlineStr">
        <is>
          <t>Dataset</t>
        </is>
      </c>
      <c r="E148" t="inlineStr">
        <is>
          <t>SE_mysql.Votetypes</t>
        </is>
      </c>
      <c r="F148" t="inlineStr">
        <is>
          <t>D</t>
        </is>
      </c>
    </row>
    <row r="149">
      <c r="A149" t="inlineStr">
        <is>
          <t>S027</t>
        </is>
      </c>
      <c r="B149" t="inlineStr">
        <is>
          <t>C1</t>
        </is>
      </c>
      <c r="C149" t="n">
        <v>3</v>
      </c>
      <c r="D149" t="inlineStr">
        <is>
          <t>Attribute</t>
        </is>
      </c>
      <c r="E149" t="inlineStr">
        <is>
          <t>SE_mysql.Votes.BountyAmount</t>
        </is>
      </c>
      <c r="F149" t="inlineStr">
        <is>
          <t>M</t>
        </is>
      </c>
    </row>
    <row r="150">
      <c r="A150" t="inlineStr">
        <is>
          <t>S027</t>
        </is>
      </c>
      <c r="B150" t="inlineStr">
        <is>
          <t>C1</t>
        </is>
      </c>
      <c r="C150" t="n">
        <v>3</v>
      </c>
      <c r="D150" t="inlineStr">
        <is>
          <t>Attribute</t>
        </is>
      </c>
      <c r="E150" t="inlineStr">
        <is>
          <t>SE_mysql.postes.CreationDate</t>
        </is>
      </c>
      <c r="F150" t="inlineStr">
        <is>
          <t>P</t>
        </is>
      </c>
    </row>
    <row r="151">
      <c r="A151" t="inlineStr">
        <is>
          <t>S027</t>
        </is>
      </c>
      <c r="B151" t="inlineStr">
        <is>
          <t>C1</t>
        </is>
      </c>
      <c r="C151" t="n">
        <v>3</v>
      </c>
      <c r="D151" t="inlineStr">
        <is>
          <t>Attribute</t>
        </is>
      </c>
      <c r="E151" t="inlineStr">
        <is>
          <t>SE_mysql.Votetypes.Name</t>
        </is>
      </c>
      <c r="F151" t="inlineStr">
        <is>
          <t>P</t>
        </is>
      </c>
    </row>
    <row r="152">
      <c r="A152" t="inlineStr">
        <is>
          <t>S028</t>
        </is>
      </c>
      <c r="B152" t="inlineStr">
        <is>
          <t>C1</t>
        </is>
      </c>
      <c r="C152" t="n">
        <v>4</v>
      </c>
      <c r="D152" t="inlineStr">
        <is>
          <t>Dataset</t>
        </is>
      </c>
      <c r="E152" t="inlineStr">
        <is>
          <t>SE_mysql.Votes</t>
        </is>
      </c>
      <c r="F152" t="inlineStr">
        <is>
          <t>F</t>
        </is>
      </c>
    </row>
    <row r="153">
      <c r="A153" t="inlineStr">
        <is>
          <t>S028</t>
        </is>
      </c>
      <c r="B153" t="inlineStr">
        <is>
          <t>C1</t>
        </is>
      </c>
      <c r="C153" t="n">
        <v>4</v>
      </c>
      <c r="D153" t="inlineStr">
        <is>
          <t>Dataset</t>
        </is>
      </c>
      <c r="E153" t="inlineStr">
        <is>
          <t>SE_mysql.Votetypes</t>
        </is>
      </c>
      <c r="F153" t="inlineStr">
        <is>
          <t>D</t>
        </is>
      </c>
    </row>
    <row r="154">
      <c r="A154" t="inlineStr">
        <is>
          <t>S028</t>
        </is>
      </c>
      <c r="B154" t="inlineStr">
        <is>
          <t>C1</t>
        </is>
      </c>
      <c r="C154" t="n">
        <v>4</v>
      </c>
      <c r="D154" t="inlineStr">
        <is>
          <t>Dataset</t>
        </is>
      </c>
      <c r="E154" t="inlineStr">
        <is>
          <t>SE_mysql.postes</t>
        </is>
      </c>
      <c r="F154" t="inlineStr">
        <is>
          <t>D</t>
        </is>
      </c>
    </row>
    <row r="155">
      <c r="A155" t="inlineStr">
        <is>
          <t>S028</t>
        </is>
      </c>
      <c r="B155" t="inlineStr">
        <is>
          <t>C1</t>
        </is>
      </c>
      <c r="C155" t="n">
        <v>4</v>
      </c>
      <c r="D155" t="inlineStr">
        <is>
          <t>Attribute</t>
        </is>
      </c>
      <c r="E155" t="inlineStr">
        <is>
          <t>SE_mysql.Votes.BountyAmount</t>
        </is>
      </c>
      <c r="F155" t="inlineStr">
        <is>
          <t>M</t>
        </is>
      </c>
    </row>
    <row r="156">
      <c r="A156" t="inlineStr">
        <is>
          <t>S028</t>
        </is>
      </c>
      <c r="B156" t="inlineStr">
        <is>
          <t>C1</t>
        </is>
      </c>
      <c r="C156" t="n">
        <v>4</v>
      </c>
      <c r="D156" t="inlineStr">
        <is>
          <t>Attribute</t>
        </is>
      </c>
      <c r="E156" t="inlineStr">
        <is>
          <t>SE_mysql.Votetypes.Name</t>
        </is>
      </c>
      <c r="F156" t="inlineStr">
        <is>
          <t>P</t>
        </is>
      </c>
    </row>
    <row r="157">
      <c r="A157" t="inlineStr">
        <is>
          <t>S028</t>
        </is>
      </c>
      <c r="B157" t="inlineStr">
        <is>
          <t>C1</t>
        </is>
      </c>
      <c r="C157" t="n">
        <v>4</v>
      </c>
      <c r="D157" t="inlineStr">
        <is>
          <t>Attribute</t>
        </is>
      </c>
      <c r="E157" t="inlineStr">
        <is>
          <t>SE_mysql.postes.CreationDate</t>
        </is>
      </c>
      <c r="F157" t="inlineStr">
        <is>
          <t>P</t>
        </is>
      </c>
    </row>
    <row r="158">
      <c r="A158" t="inlineStr">
        <is>
          <t>S029</t>
        </is>
      </c>
      <c r="B158" t="inlineStr">
        <is>
          <t>C2</t>
        </is>
      </c>
      <c r="C158" t="n">
        <v>1</v>
      </c>
      <c r="D158" t="inlineStr">
        <is>
          <t>Dataset</t>
        </is>
      </c>
      <c r="E158" t="inlineStr">
        <is>
          <t>SE_mongodb.Comments</t>
        </is>
      </c>
      <c r="F158" t="inlineStr">
        <is>
          <t>F</t>
        </is>
      </c>
    </row>
    <row r="159">
      <c r="A159" t="inlineStr">
        <is>
          <t>S029</t>
        </is>
      </c>
      <c r="B159" t="inlineStr">
        <is>
          <t>C2</t>
        </is>
      </c>
      <c r="C159" t="n">
        <v>1</v>
      </c>
      <c r="D159" t="inlineStr">
        <is>
          <t>Dataset</t>
        </is>
      </c>
      <c r="E159" t="inlineStr">
        <is>
          <t>SE_neo4j.Posts</t>
        </is>
      </c>
      <c r="F159" t="inlineStr">
        <is>
          <t>D</t>
        </is>
      </c>
    </row>
    <row r="160">
      <c r="A160" t="inlineStr">
        <is>
          <t>S029</t>
        </is>
      </c>
      <c r="B160" t="inlineStr">
        <is>
          <t>C2</t>
        </is>
      </c>
      <c r="C160" t="n">
        <v>1</v>
      </c>
      <c r="D160" t="inlineStr">
        <is>
          <t>Attribute</t>
        </is>
      </c>
      <c r="E160" t="inlineStr">
        <is>
          <t>SE_mongodb.Comments.Text</t>
        </is>
      </c>
      <c r="F160" t="inlineStr">
        <is>
          <t>M</t>
        </is>
      </c>
    </row>
    <row r="161">
      <c r="A161" t="inlineStr">
        <is>
          <t>S029</t>
        </is>
      </c>
      <c r="B161" t="inlineStr">
        <is>
          <t>C2</t>
        </is>
      </c>
      <c r="C161" t="n">
        <v>1</v>
      </c>
      <c r="D161" t="inlineStr">
        <is>
          <t>Attribute</t>
        </is>
      </c>
      <c r="E161" t="inlineStr">
        <is>
          <t>SE_neo4j.Posts.id</t>
        </is>
      </c>
      <c r="F161" t="inlineStr">
        <is>
          <t>P</t>
        </is>
      </c>
    </row>
    <row r="162">
      <c r="A162" t="inlineStr">
        <is>
          <t>S030</t>
        </is>
      </c>
      <c r="B162" t="inlineStr">
        <is>
          <t>C2</t>
        </is>
      </c>
      <c r="C162" t="n">
        <v>2</v>
      </c>
      <c r="D162" t="inlineStr">
        <is>
          <t>Dataset</t>
        </is>
      </c>
      <c r="E162" t="inlineStr">
        <is>
          <t>SE_mongodb.Comments</t>
        </is>
      </c>
      <c r="F162" t="inlineStr">
        <is>
          <t>F</t>
        </is>
      </c>
    </row>
    <row r="163">
      <c r="A163" t="inlineStr">
        <is>
          <t>S030</t>
        </is>
      </c>
      <c r="B163" t="inlineStr">
        <is>
          <t>C2</t>
        </is>
      </c>
      <c r="C163" t="n">
        <v>2</v>
      </c>
      <c r="D163" t="inlineStr">
        <is>
          <t>Dataset</t>
        </is>
      </c>
      <c r="E163" t="inlineStr">
        <is>
          <t>SE_mongodb.Posts</t>
        </is>
      </c>
      <c r="F163" t="inlineStr">
        <is>
          <t>D</t>
        </is>
      </c>
    </row>
    <row r="164">
      <c r="A164" t="inlineStr">
        <is>
          <t>S030</t>
        </is>
      </c>
      <c r="B164" t="inlineStr">
        <is>
          <t>C2</t>
        </is>
      </c>
      <c r="C164" t="n">
        <v>2</v>
      </c>
      <c r="D164" t="inlineStr">
        <is>
          <t>Attribute</t>
        </is>
      </c>
      <c r="E164" t="inlineStr">
        <is>
          <t>SE_mongodb.Comments.Text</t>
        </is>
      </c>
      <c r="F164" t="inlineStr">
        <is>
          <t>M</t>
        </is>
      </c>
    </row>
    <row r="165">
      <c r="A165" t="inlineStr">
        <is>
          <t>S030</t>
        </is>
      </c>
      <c r="B165" t="inlineStr">
        <is>
          <t>C2</t>
        </is>
      </c>
      <c r="C165" t="n">
        <v>2</v>
      </c>
      <c r="D165" t="inlineStr">
        <is>
          <t>Attribute</t>
        </is>
      </c>
      <c r="E165" t="inlineStr">
        <is>
          <t>SE_mongodb.Posts.Id</t>
        </is>
      </c>
      <c r="F165" t="inlineStr">
        <is>
          <t>P</t>
        </is>
      </c>
    </row>
    <row r="166">
      <c r="A166" t="inlineStr">
        <is>
          <t>S030</t>
        </is>
      </c>
      <c r="B166" t="inlineStr">
        <is>
          <t>C2</t>
        </is>
      </c>
      <c r="C166" t="n">
        <v>2</v>
      </c>
      <c r="D166" t="inlineStr">
        <is>
          <t>Attribute</t>
        </is>
      </c>
      <c r="E166" t="inlineStr">
        <is>
          <t>SE_mongodb.Comments.Text</t>
        </is>
      </c>
      <c r="F166" t="inlineStr">
        <is>
          <t>M</t>
        </is>
      </c>
    </row>
    <row r="167">
      <c r="A167" t="inlineStr">
        <is>
          <t>S031</t>
        </is>
      </c>
      <c r="B167" t="inlineStr">
        <is>
          <t>C2</t>
        </is>
      </c>
      <c r="C167" t="n">
        <v>3</v>
      </c>
      <c r="D167" t="inlineStr">
        <is>
          <t>Dataset</t>
        </is>
      </c>
      <c r="E167" t="inlineStr">
        <is>
          <t>SE_mongodb.Comments</t>
        </is>
      </c>
      <c r="F167" t="inlineStr">
        <is>
          <t>F</t>
        </is>
      </c>
    </row>
    <row r="168">
      <c r="A168" t="inlineStr">
        <is>
          <t>S031</t>
        </is>
      </c>
      <c r="B168" t="inlineStr">
        <is>
          <t>C2</t>
        </is>
      </c>
      <c r="C168" t="n">
        <v>3</v>
      </c>
      <c r="D168" t="inlineStr">
        <is>
          <t>Dataset</t>
        </is>
      </c>
      <c r="E168" t="inlineStr">
        <is>
          <t>SE_mongodb.Posts</t>
        </is>
      </c>
      <c r="F168" t="inlineStr">
        <is>
          <t>D</t>
        </is>
      </c>
    </row>
    <row r="169">
      <c r="A169" t="inlineStr">
        <is>
          <t>S031</t>
        </is>
      </c>
      <c r="B169" t="inlineStr">
        <is>
          <t>C2</t>
        </is>
      </c>
      <c r="C169" t="n">
        <v>3</v>
      </c>
      <c r="D169" t="inlineStr">
        <is>
          <t>Attribute</t>
        </is>
      </c>
      <c r="E169" t="inlineStr">
        <is>
          <t>SE_mongodb.Comments.Text</t>
        </is>
      </c>
      <c r="F169" t="inlineStr">
        <is>
          <t>M</t>
        </is>
      </c>
    </row>
    <row r="170">
      <c r="A170" t="inlineStr">
        <is>
          <t>S031</t>
        </is>
      </c>
      <c r="B170" t="inlineStr">
        <is>
          <t>C2</t>
        </is>
      </c>
      <c r="C170" t="n">
        <v>3</v>
      </c>
      <c r="D170" t="inlineStr">
        <is>
          <t>Attribute</t>
        </is>
      </c>
      <c r="E170" t="inlineStr">
        <is>
          <t>SE_mongodb.Posts.Id</t>
        </is>
      </c>
      <c r="F170" t="inlineStr">
        <is>
          <t>P</t>
        </is>
      </c>
    </row>
    <row r="171">
      <c r="A171" t="inlineStr">
        <is>
          <t>S032</t>
        </is>
      </c>
      <c r="B171" t="inlineStr">
        <is>
          <t>C2</t>
        </is>
      </c>
      <c r="C171" t="n">
        <v>4</v>
      </c>
      <c r="D171" t="inlineStr">
        <is>
          <t>Dataset</t>
        </is>
      </c>
      <c r="E171" t="inlineStr">
        <is>
          <t>SE_mongodb.Comments</t>
        </is>
      </c>
      <c r="F171" t="inlineStr">
        <is>
          <t>F</t>
        </is>
      </c>
    </row>
    <row r="172">
      <c r="A172" t="inlineStr">
        <is>
          <t>S032</t>
        </is>
      </c>
      <c r="B172" t="inlineStr">
        <is>
          <t>C2</t>
        </is>
      </c>
      <c r="C172" t="n">
        <v>4</v>
      </c>
      <c r="D172" t="inlineStr">
        <is>
          <t>Dataset</t>
        </is>
      </c>
      <c r="E172" t="inlineStr">
        <is>
          <t>SE_mongodb.Posts</t>
        </is>
      </c>
      <c r="F172" t="inlineStr">
        <is>
          <t>D</t>
        </is>
      </c>
    </row>
    <row r="173">
      <c r="A173" t="inlineStr">
        <is>
          <t>S032</t>
        </is>
      </c>
      <c r="B173" t="inlineStr">
        <is>
          <t>C2</t>
        </is>
      </c>
      <c r="C173" t="n">
        <v>4</v>
      </c>
      <c r="D173" t="inlineStr">
        <is>
          <t>Attribute</t>
        </is>
      </c>
      <c r="E173" t="inlineStr">
        <is>
          <t>SE_mongodb.Comments.Text</t>
        </is>
      </c>
      <c r="F173" t="inlineStr">
        <is>
          <t>M</t>
        </is>
      </c>
    </row>
    <row r="174">
      <c r="A174" t="inlineStr">
        <is>
          <t>S032</t>
        </is>
      </c>
      <c r="B174" t="inlineStr">
        <is>
          <t>C2</t>
        </is>
      </c>
      <c r="C174" t="n">
        <v>4</v>
      </c>
      <c r="D174" t="inlineStr">
        <is>
          <t>Attribute</t>
        </is>
      </c>
      <c r="E174" t="inlineStr">
        <is>
          <t>SE_mongodb.Posts.Id</t>
        </is>
      </c>
      <c r="F174" t="inlineStr">
        <is>
          <t>P</t>
        </is>
      </c>
    </row>
    <row r="175">
      <c r="A175" t="inlineStr">
        <is>
          <t>S033</t>
        </is>
      </c>
      <c r="B175" t="inlineStr">
        <is>
          <t>C3</t>
        </is>
      </c>
      <c r="C175" t="n">
        <v>1</v>
      </c>
      <c r="D175" t="inlineStr">
        <is>
          <t>Dataset</t>
        </is>
      </c>
      <c r="E175" t="inlineStr">
        <is>
          <t>SE_mysql.postes</t>
        </is>
      </c>
      <c r="F175" t="inlineStr">
        <is>
          <t>F</t>
        </is>
      </c>
    </row>
    <row r="176">
      <c r="A176" t="inlineStr">
        <is>
          <t>S033</t>
        </is>
      </c>
      <c r="B176" t="inlineStr">
        <is>
          <t>C3</t>
        </is>
      </c>
      <c r="C176" t="n">
        <v>1</v>
      </c>
      <c r="D176" t="inlineStr">
        <is>
          <t>Dataset</t>
        </is>
      </c>
      <c r="E176" t="inlineStr">
        <is>
          <t>SE_mysql.Users</t>
        </is>
      </c>
      <c r="F176" t="inlineStr">
        <is>
          <t>D</t>
        </is>
      </c>
    </row>
    <row r="177">
      <c r="A177" t="inlineStr">
        <is>
          <t>S033</t>
        </is>
      </c>
      <c r="B177" t="inlineStr">
        <is>
          <t>C3</t>
        </is>
      </c>
      <c r="C177" t="n">
        <v>1</v>
      </c>
      <c r="D177" t="inlineStr">
        <is>
          <t>Dataset</t>
        </is>
      </c>
      <c r="E177" t="inlineStr">
        <is>
          <t>SE_mysql.Posttypes</t>
        </is>
      </c>
      <c r="F177" t="inlineStr">
        <is>
          <t>D</t>
        </is>
      </c>
    </row>
    <row r="178">
      <c r="A178" t="inlineStr">
        <is>
          <t>S033</t>
        </is>
      </c>
      <c r="B178" t="inlineStr">
        <is>
          <t>C3</t>
        </is>
      </c>
      <c r="C178" t="n">
        <v>1</v>
      </c>
      <c r="D178" t="inlineStr">
        <is>
          <t>Attribute</t>
        </is>
      </c>
      <c r="E178" t="inlineStr">
        <is>
          <t>SE_mysql.postes.ViewCount</t>
        </is>
      </c>
      <c r="F178" t="inlineStr">
        <is>
          <t>M</t>
        </is>
      </c>
    </row>
    <row r="179">
      <c r="A179" t="inlineStr">
        <is>
          <t>S033</t>
        </is>
      </c>
      <c r="B179" t="inlineStr">
        <is>
          <t>C3</t>
        </is>
      </c>
      <c r="C179" t="n">
        <v>1</v>
      </c>
      <c r="D179" t="inlineStr">
        <is>
          <t>Attribute</t>
        </is>
      </c>
      <c r="E179" t="inlineStr">
        <is>
          <t>SE_mysql.Users.Reputation</t>
        </is>
      </c>
      <c r="F179" t="inlineStr">
        <is>
          <t>P</t>
        </is>
      </c>
    </row>
    <row r="180">
      <c r="A180" t="inlineStr">
        <is>
          <t>S033</t>
        </is>
      </c>
      <c r="B180" t="inlineStr">
        <is>
          <t>C3</t>
        </is>
      </c>
      <c r="C180" t="n">
        <v>1</v>
      </c>
      <c r="D180" t="inlineStr">
        <is>
          <t>Attribute</t>
        </is>
      </c>
      <c r="E180" t="inlineStr">
        <is>
          <t>SE_mysql.Posttypes.Name</t>
        </is>
      </c>
      <c r="F180" t="inlineStr">
        <is>
          <t>P</t>
        </is>
      </c>
    </row>
    <row r="181">
      <c r="A181" t="inlineStr">
        <is>
          <t>S034</t>
        </is>
      </c>
      <c r="B181" t="inlineStr">
        <is>
          <t>C3</t>
        </is>
      </c>
      <c r="C181" t="n">
        <v>2</v>
      </c>
      <c r="D181" t="inlineStr">
        <is>
          <t>Dataset</t>
        </is>
      </c>
      <c r="E181" t="inlineStr">
        <is>
          <t>SE_mysql.postes</t>
        </is>
      </c>
      <c r="F181" t="inlineStr">
        <is>
          <t>F</t>
        </is>
      </c>
    </row>
    <row r="182">
      <c r="A182" t="inlineStr">
        <is>
          <t>S034</t>
        </is>
      </c>
      <c r="B182" t="inlineStr">
        <is>
          <t>C3</t>
        </is>
      </c>
      <c r="C182" t="n">
        <v>2</v>
      </c>
      <c r="D182" t="inlineStr">
        <is>
          <t>Dataset</t>
        </is>
      </c>
      <c r="E182" t="inlineStr">
        <is>
          <t>SE_mysql.Users</t>
        </is>
      </c>
      <c r="F182" t="inlineStr">
        <is>
          <t>D</t>
        </is>
      </c>
    </row>
    <row r="183">
      <c r="A183" t="inlineStr">
        <is>
          <t>S034</t>
        </is>
      </c>
      <c r="B183" t="inlineStr">
        <is>
          <t>C3</t>
        </is>
      </c>
      <c r="C183" t="n">
        <v>2</v>
      </c>
      <c r="D183" t="inlineStr">
        <is>
          <t>Dataset</t>
        </is>
      </c>
      <c r="E183" t="inlineStr">
        <is>
          <t>SE_mysql.Posttypes</t>
        </is>
      </c>
      <c r="F183" t="inlineStr">
        <is>
          <t>D</t>
        </is>
      </c>
    </row>
    <row r="184">
      <c r="A184" t="inlineStr">
        <is>
          <t>S034</t>
        </is>
      </c>
      <c r="B184" t="inlineStr">
        <is>
          <t>C3</t>
        </is>
      </c>
      <c r="C184" t="n">
        <v>2</v>
      </c>
      <c r="D184" t="inlineStr">
        <is>
          <t>Attribute</t>
        </is>
      </c>
      <c r="E184" t="inlineStr">
        <is>
          <t>SE_mysql.postes.ViewCount</t>
        </is>
      </c>
      <c r="F184" t="inlineStr">
        <is>
          <t>M</t>
        </is>
      </c>
    </row>
    <row r="185">
      <c r="A185" t="inlineStr">
        <is>
          <t>S034</t>
        </is>
      </c>
      <c r="B185" t="inlineStr">
        <is>
          <t>C3</t>
        </is>
      </c>
      <c r="C185" t="n">
        <v>2</v>
      </c>
      <c r="D185" t="inlineStr">
        <is>
          <t>Attribute</t>
        </is>
      </c>
      <c r="E185" t="inlineStr">
        <is>
          <t>SE_mysql.Users.Reputation</t>
        </is>
      </c>
      <c r="F185" t="inlineStr">
        <is>
          <t>P</t>
        </is>
      </c>
    </row>
    <row r="186">
      <c r="A186" t="inlineStr">
        <is>
          <t>S034</t>
        </is>
      </c>
      <c r="B186" t="inlineStr">
        <is>
          <t>C3</t>
        </is>
      </c>
      <c r="C186" t="n">
        <v>2</v>
      </c>
      <c r="D186" t="inlineStr">
        <is>
          <t>Attribute</t>
        </is>
      </c>
      <c r="E186" t="inlineStr">
        <is>
          <t>SE_mysql.Posttypes.Name</t>
        </is>
      </c>
      <c r="F186" t="inlineStr">
        <is>
          <t>P</t>
        </is>
      </c>
    </row>
    <row r="187">
      <c r="A187" t="inlineStr">
        <is>
          <t>S035</t>
        </is>
      </c>
      <c r="B187" t="inlineStr">
        <is>
          <t>C3</t>
        </is>
      </c>
      <c r="C187" t="n">
        <v>3</v>
      </c>
      <c r="D187" t="inlineStr">
        <is>
          <t>Dataset</t>
        </is>
      </c>
      <c r="E187" t="inlineStr">
        <is>
          <t>SE_mysql.postes</t>
        </is>
      </c>
      <c r="F187" t="inlineStr">
        <is>
          <t>F</t>
        </is>
      </c>
    </row>
    <row r="188">
      <c r="A188" t="inlineStr">
        <is>
          <t>S035</t>
        </is>
      </c>
      <c r="B188" t="inlineStr">
        <is>
          <t>C3</t>
        </is>
      </c>
      <c r="C188" t="n">
        <v>3</v>
      </c>
      <c r="D188" t="inlineStr">
        <is>
          <t>Dataset</t>
        </is>
      </c>
      <c r="E188" t="inlineStr">
        <is>
          <t>SE_mysql.Posttypes</t>
        </is>
      </c>
      <c r="F188" t="inlineStr">
        <is>
          <t>D</t>
        </is>
      </c>
    </row>
    <row r="189">
      <c r="A189" t="inlineStr">
        <is>
          <t>S035</t>
        </is>
      </c>
      <c r="B189" t="inlineStr">
        <is>
          <t>C3</t>
        </is>
      </c>
      <c r="C189" t="n">
        <v>3</v>
      </c>
      <c r="D189" t="inlineStr">
        <is>
          <t>Attribute</t>
        </is>
      </c>
      <c r="E189" t="inlineStr">
        <is>
          <t>SE_mysql.postes.ViewCount</t>
        </is>
      </c>
      <c r="F189" t="inlineStr">
        <is>
          <t>M</t>
        </is>
      </c>
    </row>
    <row r="190">
      <c r="A190" t="inlineStr">
        <is>
          <t>S035</t>
        </is>
      </c>
      <c r="B190" t="inlineStr">
        <is>
          <t>C3</t>
        </is>
      </c>
      <c r="C190" t="n">
        <v>3</v>
      </c>
      <c r="D190" t="inlineStr">
        <is>
          <t>Attribute</t>
        </is>
      </c>
      <c r="E190" t="inlineStr">
        <is>
          <t>SE_mysql.Posttypes.Name</t>
        </is>
      </c>
      <c r="F190" t="inlineStr">
        <is>
          <t>P</t>
        </is>
      </c>
    </row>
    <row r="191">
      <c r="A191" t="inlineStr">
        <is>
          <t>S035</t>
        </is>
      </c>
      <c r="B191" t="inlineStr">
        <is>
          <t>C3</t>
        </is>
      </c>
      <c r="C191" t="n">
        <v>3</v>
      </c>
      <c r="D191" t="inlineStr">
        <is>
          <t>Attribute</t>
        </is>
      </c>
      <c r="E191" t="inlineStr">
        <is>
          <t>SE_mysql.postes.LastEditDate</t>
        </is>
      </c>
      <c r="F191" t="inlineStr">
        <is>
          <t>M</t>
        </is>
      </c>
    </row>
    <row r="192">
      <c r="A192" t="inlineStr">
        <is>
          <t>S036</t>
        </is>
      </c>
      <c r="B192" t="inlineStr">
        <is>
          <t>C3</t>
        </is>
      </c>
      <c r="C192" t="n">
        <v>4</v>
      </c>
      <c r="D192" t="inlineStr">
        <is>
          <t>Dataset</t>
        </is>
      </c>
      <c r="E192" t="inlineStr">
        <is>
          <t>SE_mysql.postes</t>
        </is>
      </c>
      <c r="F192" t="inlineStr">
        <is>
          <t>F</t>
        </is>
      </c>
    </row>
    <row r="193">
      <c r="A193" t="inlineStr">
        <is>
          <t>S036</t>
        </is>
      </c>
      <c r="B193" t="inlineStr">
        <is>
          <t>C3</t>
        </is>
      </c>
      <c r="C193" t="n">
        <v>4</v>
      </c>
      <c r="D193" t="inlineStr">
        <is>
          <t>Dataset</t>
        </is>
      </c>
      <c r="E193" t="inlineStr">
        <is>
          <t>SE_mysql.Posttypes</t>
        </is>
      </c>
      <c r="F193" t="inlineStr">
        <is>
          <t>D</t>
        </is>
      </c>
    </row>
    <row r="194">
      <c r="A194" t="inlineStr">
        <is>
          <t>S036</t>
        </is>
      </c>
      <c r="B194" t="inlineStr">
        <is>
          <t>C3</t>
        </is>
      </c>
      <c r="C194" t="n">
        <v>4</v>
      </c>
      <c r="D194" t="inlineStr">
        <is>
          <t>Attribute</t>
        </is>
      </c>
      <c r="E194" t="inlineStr">
        <is>
          <t>SE_mysql.postes.ViewCount</t>
        </is>
      </c>
      <c r="F194" t="inlineStr">
        <is>
          <t>M</t>
        </is>
      </c>
    </row>
    <row r="195">
      <c r="A195" t="inlineStr">
        <is>
          <t>S036</t>
        </is>
      </c>
      <c r="B195" t="inlineStr">
        <is>
          <t>C3</t>
        </is>
      </c>
      <c r="C195" t="n">
        <v>4</v>
      </c>
      <c r="D195" t="inlineStr">
        <is>
          <t>Attribute</t>
        </is>
      </c>
      <c r="E195" t="inlineStr">
        <is>
          <t>SE_mysql.Posttypes.Name</t>
        </is>
      </c>
      <c r="F195" t="inlineStr">
        <is>
          <t>P</t>
        </is>
      </c>
    </row>
    <row r="196">
      <c r="A196" t="inlineStr">
        <is>
          <t>S037</t>
        </is>
      </c>
      <c r="B196" t="inlineStr">
        <is>
          <t>D1</t>
        </is>
      </c>
      <c r="C196" t="n">
        <v>1</v>
      </c>
      <c r="D196" t="inlineStr">
        <is>
          <t>Dataset</t>
        </is>
      </c>
      <c r="E196" t="inlineStr">
        <is>
          <t>SE_mysql.Flagtypes</t>
        </is>
      </c>
      <c r="F196" t="inlineStr">
        <is>
          <t>F</t>
        </is>
      </c>
    </row>
    <row r="197">
      <c r="A197" t="inlineStr">
        <is>
          <t>S037</t>
        </is>
      </c>
      <c r="B197" t="inlineStr">
        <is>
          <t>D1</t>
        </is>
      </c>
      <c r="C197" t="n">
        <v>1</v>
      </c>
      <c r="D197" t="inlineStr">
        <is>
          <t>Dataset</t>
        </is>
      </c>
      <c r="E197" t="inlineStr">
        <is>
          <t>SE_mysql.postes</t>
        </is>
      </c>
      <c r="F197" t="inlineStr">
        <is>
          <t>D</t>
        </is>
      </c>
    </row>
    <row r="198">
      <c r="A198" t="inlineStr">
        <is>
          <t>S037</t>
        </is>
      </c>
      <c r="B198" t="inlineStr">
        <is>
          <t>D1</t>
        </is>
      </c>
      <c r="C198" t="n">
        <v>1</v>
      </c>
      <c r="D198" t="inlineStr">
        <is>
          <t>Attribute</t>
        </is>
      </c>
      <c r="E198" t="inlineStr">
        <is>
          <t>SE_mysql.Flagtypes.Name</t>
        </is>
      </c>
      <c r="F198" t="inlineStr">
        <is>
          <t>M</t>
        </is>
      </c>
    </row>
    <row r="199">
      <c r="A199" t="inlineStr">
        <is>
          <t>S037</t>
        </is>
      </c>
      <c r="B199" t="inlineStr">
        <is>
          <t>D1</t>
        </is>
      </c>
      <c r="C199" t="n">
        <v>1</v>
      </c>
      <c r="D199" t="inlineStr">
        <is>
          <t>Attribute</t>
        </is>
      </c>
      <c r="E199" t="inlineStr">
        <is>
          <t>SE_mysql.postes.OwnerUserId</t>
        </is>
      </c>
      <c r="F199" t="inlineStr">
        <is>
          <t>P</t>
        </is>
      </c>
    </row>
    <row r="200">
      <c r="A200" t="inlineStr">
        <is>
          <t>S038</t>
        </is>
      </c>
      <c r="B200" t="inlineStr">
        <is>
          <t>D1</t>
        </is>
      </c>
      <c r="C200" t="n">
        <v>2</v>
      </c>
      <c r="D200" t="inlineStr">
        <is>
          <t>Dataset</t>
        </is>
      </c>
      <c r="E200" t="inlineStr">
        <is>
          <t>SE_mysql.Flagtypes</t>
        </is>
      </c>
      <c r="F200" t="inlineStr">
        <is>
          <t>F</t>
        </is>
      </c>
    </row>
    <row r="201">
      <c r="A201" t="inlineStr">
        <is>
          <t>S038</t>
        </is>
      </c>
      <c r="B201" t="inlineStr">
        <is>
          <t>D1</t>
        </is>
      </c>
      <c r="C201" t="n">
        <v>2</v>
      </c>
      <c r="D201" t="inlineStr">
        <is>
          <t>Dataset</t>
        </is>
      </c>
      <c r="E201" t="inlineStr">
        <is>
          <t>SE_mysql.postes</t>
        </is>
      </c>
      <c r="F201" t="inlineStr">
        <is>
          <t>D</t>
        </is>
      </c>
    </row>
    <row r="202">
      <c r="A202" t="inlineStr">
        <is>
          <t>S038</t>
        </is>
      </c>
      <c r="B202" t="inlineStr">
        <is>
          <t>D1</t>
        </is>
      </c>
      <c r="C202" t="n">
        <v>2</v>
      </c>
      <c r="D202" t="inlineStr">
        <is>
          <t>Attribute</t>
        </is>
      </c>
      <c r="E202" t="inlineStr">
        <is>
          <t>SE_mysql.Flagtypes.Name</t>
        </is>
      </c>
      <c r="F202" t="inlineStr">
        <is>
          <t>M</t>
        </is>
      </c>
    </row>
    <row r="203">
      <c r="A203" t="inlineStr">
        <is>
          <t>S038</t>
        </is>
      </c>
      <c r="B203" t="inlineStr">
        <is>
          <t>D1</t>
        </is>
      </c>
      <c r="C203" t="n">
        <v>2</v>
      </c>
      <c r="D203" t="inlineStr">
        <is>
          <t>Attribute</t>
        </is>
      </c>
      <c r="E203" t="inlineStr">
        <is>
          <t>SE_mysql.postes.OwnerUserId</t>
        </is>
      </c>
      <c r="F203" t="inlineStr">
        <is>
          <t>P</t>
        </is>
      </c>
    </row>
    <row r="204">
      <c r="A204" t="inlineStr">
        <is>
          <t>S039</t>
        </is>
      </c>
      <c r="B204" t="inlineStr">
        <is>
          <t>D1</t>
        </is>
      </c>
      <c r="C204" t="n">
        <v>3</v>
      </c>
      <c r="D204" t="inlineStr">
        <is>
          <t>Dataset</t>
        </is>
      </c>
      <c r="E204" t="inlineStr">
        <is>
          <t>SE_mysql.Flagtypes</t>
        </is>
      </c>
      <c r="F204" t="inlineStr">
        <is>
          <t>F</t>
        </is>
      </c>
    </row>
    <row r="205">
      <c r="A205" t="inlineStr">
        <is>
          <t>S039</t>
        </is>
      </c>
      <c r="B205" t="inlineStr">
        <is>
          <t>D1</t>
        </is>
      </c>
      <c r="C205" t="n">
        <v>3</v>
      </c>
      <c r="D205" t="inlineStr">
        <is>
          <t>Dataset</t>
        </is>
      </c>
      <c r="E205" t="inlineStr">
        <is>
          <t>SE_mysql.postes</t>
        </is>
      </c>
      <c r="F205" t="inlineStr">
        <is>
          <t>D</t>
        </is>
      </c>
    </row>
    <row r="206">
      <c r="A206" t="inlineStr">
        <is>
          <t>S039</t>
        </is>
      </c>
      <c r="B206" t="inlineStr">
        <is>
          <t>D1</t>
        </is>
      </c>
      <c r="C206" t="n">
        <v>3</v>
      </c>
      <c r="D206" t="inlineStr">
        <is>
          <t>Attribute</t>
        </is>
      </c>
      <c r="E206" t="inlineStr">
        <is>
          <t>SE_mysql.Flagtypes.Name</t>
        </is>
      </c>
      <c r="F206" t="inlineStr">
        <is>
          <t>M</t>
        </is>
      </c>
    </row>
    <row r="207">
      <c r="A207" t="inlineStr">
        <is>
          <t>S039</t>
        </is>
      </c>
      <c r="B207" t="inlineStr">
        <is>
          <t>D1</t>
        </is>
      </c>
      <c r="C207" t="n">
        <v>3</v>
      </c>
      <c r="D207" t="inlineStr">
        <is>
          <t>Attribute</t>
        </is>
      </c>
      <c r="E207" t="inlineStr">
        <is>
          <t>SE_mysql.postes.OwnerUserId</t>
        </is>
      </c>
      <c r="F207" t="inlineStr">
        <is>
          <t>P</t>
        </is>
      </c>
    </row>
    <row r="208">
      <c r="A208" t="inlineStr">
        <is>
          <t>S040</t>
        </is>
      </c>
      <c r="B208" t="inlineStr">
        <is>
          <t>D1</t>
        </is>
      </c>
      <c r="C208" t="n">
        <v>4</v>
      </c>
      <c r="D208" t="inlineStr">
        <is>
          <t>Dataset</t>
        </is>
      </c>
      <c r="E208" t="inlineStr">
        <is>
          <t>SE_mysql.Flagtypes</t>
        </is>
      </c>
      <c r="F208" t="inlineStr">
        <is>
          <t>F</t>
        </is>
      </c>
    </row>
    <row r="209">
      <c r="A209" t="inlineStr">
        <is>
          <t>S040</t>
        </is>
      </c>
      <c r="B209" t="inlineStr">
        <is>
          <t>D1</t>
        </is>
      </c>
      <c r="C209" t="n">
        <v>4</v>
      </c>
      <c r="D209" t="inlineStr">
        <is>
          <t>Dataset</t>
        </is>
      </c>
      <c r="E209" t="inlineStr">
        <is>
          <t>SE_mysql.postes</t>
        </is>
      </c>
      <c r="F209" t="inlineStr">
        <is>
          <t>D</t>
        </is>
      </c>
    </row>
    <row r="210">
      <c r="A210" t="inlineStr">
        <is>
          <t>S040</t>
        </is>
      </c>
      <c r="B210" t="inlineStr">
        <is>
          <t>D1</t>
        </is>
      </c>
      <c r="C210" t="n">
        <v>4</v>
      </c>
      <c r="D210" t="inlineStr">
        <is>
          <t>Attribute</t>
        </is>
      </c>
      <c r="E210" t="inlineStr">
        <is>
          <t>SE_mysql.Flagtypes.Name</t>
        </is>
      </c>
      <c r="F210" t="inlineStr">
        <is>
          <t>M</t>
        </is>
      </c>
    </row>
    <row r="211">
      <c r="A211" t="inlineStr">
        <is>
          <t>S040</t>
        </is>
      </c>
      <c r="B211" t="inlineStr">
        <is>
          <t>D1</t>
        </is>
      </c>
      <c r="C211" t="n">
        <v>4</v>
      </c>
      <c r="D211" t="inlineStr">
        <is>
          <t>Attribute</t>
        </is>
      </c>
      <c r="E211" t="inlineStr">
        <is>
          <t>SE_mysql.postes.OwnerUserId</t>
        </is>
      </c>
      <c r="F211" t="inlineStr">
        <is>
          <t>P</t>
        </is>
      </c>
    </row>
    <row r="212">
      <c r="A212" t="inlineStr">
        <is>
          <t>S041</t>
        </is>
      </c>
      <c r="B212" t="inlineStr">
        <is>
          <t>D2</t>
        </is>
      </c>
      <c r="C212" t="n">
        <v>1</v>
      </c>
      <c r="D212" t="inlineStr">
        <is>
          <t>Dataset</t>
        </is>
      </c>
      <c r="E212" t="inlineStr">
        <is>
          <t>SE_mongodb.Badges</t>
        </is>
      </c>
      <c r="F212" t="inlineStr">
        <is>
          <t>F</t>
        </is>
      </c>
    </row>
    <row r="213">
      <c r="A213" t="inlineStr">
        <is>
          <t>S041</t>
        </is>
      </c>
      <c r="B213" t="inlineStr">
        <is>
          <t>D2</t>
        </is>
      </c>
      <c r="C213" t="n">
        <v>1</v>
      </c>
      <c r="D213" t="inlineStr">
        <is>
          <t>Dataset</t>
        </is>
      </c>
      <c r="E213" t="inlineStr">
        <is>
          <t>SE_mysql.Users</t>
        </is>
      </c>
      <c r="F213" t="inlineStr">
        <is>
          <t>D</t>
        </is>
      </c>
    </row>
    <row r="214">
      <c r="A214" t="inlineStr">
        <is>
          <t>S041</t>
        </is>
      </c>
      <c r="B214" t="inlineStr">
        <is>
          <t>D2</t>
        </is>
      </c>
      <c r="C214" t="n">
        <v>1</v>
      </c>
      <c r="D214" t="inlineStr">
        <is>
          <t>Attribute</t>
        </is>
      </c>
      <c r="E214" t="inlineStr">
        <is>
          <t>SE_mongodb.Badges.Name</t>
        </is>
      </c>
      <c r="F214" t="inlineStr">
        <is>
          <t>M</t>
        </is>
      </c>
    </row>
    <row r="215">
      <c r="A215" t="inlineStr">
        <is>
          <t>S041</t>
        </is>
      </c>
      <c r="B215" t="inlineStr">
        <is>
          <t>D2</t>
        </is>
      </c>
      <c r="C215" t="n">
        <v>1</v>
      </c>
      <c r="D215" t="inlineStr">
        <is>
          <t>Attribute</t>
        </is>
      </c>
      <c r="E215" t="inlineStr">
        <is>
          <t>SE_mongodb.Badges.Date</t>
        </is>
      </c>
      <c r="F215" t="inlineStr">
        <is>
          <t>M</t>
        </is>
      </c>
    </row>
    <row r="216">
      <c r="A216" t="inlineStr">
        <is>
          <t>S041</t>
        </is>
      </c>
      <c r="B216" t="inlineStr">
        <is>
          <t>D2</t>
        </is>
      </c>
      <c r="C216" t="n">
        <v>1</v>
      </c>
      <c r="D216" t="inlineStr">
        <is>
          <t>Attribute</t>
        </is>
      </c>
      <c r="E216" t="inlineStr">
        <is>
          <t>SE_mysql.Users.Id</t>
        </is>
      </c>
      <c r="F216" t="inlineStr">
        <is>
          <t>P</t>
        </is>
      </c>
    </row>
    <row r="217">
      <c r="A217" t="inlineStr">
        <is>
          <t>S042</t>
        </is>
      </c>
      <c r="B217" t="inlineStr">
        <is>
          <t>D2</t>
        </is>
      </c>
      <c r="C217" t="n">
        <v>2</v>
      </c>
      <c r="D217" t="inlineStr">
        <is>
          <t>Dataset</t>
        </is>
      </c>
      <c r="E217" t="inlineStr">
        <is>
          <t>SE_mongodb.Badges</t>
        </is>
      </c>
      <c r="F217" t="inlineStr">
        <is>
          <t>F</t>
        </is>
      </c>
    </row>
    <row r="218">
      <c r="A218" t="inlineStr">
        <is>
          <t>S042</t>
        </is>
      </c>
      <c r="B218" t="inlineStr">
        <is>
          <t>D2</t>
        </is>
      </c>
      <c r="C218" t="n">
        <v>2</v>
      </c>
      <c r="D218" t="inlineStr">
        <is>
          <t>Dataset</t>
        </is>
      </c>
      <c r="E218" t="inlineStr">
        <is>
          <t>SE_mongodb.Users</t>
        </is>
      </c>
      <c r="F218" t="inlineStr">
        <is>
          <t>D</t>
        </is>
      </c>
    </row>
    <row r="219">
      <c r="A219" t="inlineStr">
        <is>
          <t>S042</t>
        </is>
      </c>
      <c r="B219" t="inlineStr">
        <is>
          <t>D2</t>
        </is>
      </c>
      <c r="C219" t="n">
        <v>2</v>
      </c>
      <c r="D219" t="inlineStr">
        <is>
          <t>Attribute</t>
        </is>
      </c>
      <c r="E219" t="inlineStr">
        <is>
          <t>SE_mongodb.Badges.Name</t>
        </is>
      </c>
      <c r="F219" t="inlineStr">
        <is>
          <t>M</t>
        </is>
      </c>
    </row>
    <row r="220">
      <c r="A220" t="inlineStr">
        <is>
          <t>S042</t>
        </is>
      </c>
      <c r="B220" t="inlineStr">
        <is>
          <t>D2</t>
        </is>
      </c>
      <c r="C220" t="n">
        <v>2</v>
      </c>
      <c r="D220" t="inlineStr">
        <is>
          <t>Attribute</t>
        </is>
      </c>
      <c r="E220" t="inlineStr">
        <is>
          <t>SE_mongodb.Badges.Date</t>
        </is>
      </c>
      <c r="F220" t="inlineStr">
        <is>
          <t>M</t>
        </is>
      </c>
    </row>
    <row r="221">
      <c r="A221" t="inlineStr">
        <is>
          <t>S042</t>
        </is>
      </c>
      <c r="B221" t="inlineStr">
        <is>
          <t>D2</t>
        </is>
      </c>
      <c r="C221" t="n">
        <v>2</v>
      </c>
      <c r="D221" t="inlineStr">
        <is>
          <t>Attribute</t>
        </is>
      </c>
      <c r="E221" t="inlineStr">
        <is>
          <t>SE_mongodb.Users.DisplayName</t>
        </is>
      </c>
      <c r="F221" t="inlineStr">
        <is>
          <t>P</t>
        </is>
      </c>
    </row>
    <row r="222">
      <c r="A222" t="inlineStr">
        <is>
          <t>S043</t>
        </is>
      </c>
      <c r="B222" t="inlineStr">
        <is>
          <t>D2</t>
        </is>
      </c>
      <c r="C222" t="n">
        <v>3</v>
      </c>
      <c r="D222" t="inlineStr">
        <is>
          <t>Dataset</t>
        </is>
      </c>
      <c r="E222" t="inlineStr">
        <is>
          <t>SE_mongodb.Badges</t>
        </is>
      </c>
      <c r="F222" t="inlineStr">
        <is>
          <t>F</t>
        </is>
      </c>
    </row>
    <row r="223">
      <c r="A223" t="inlineStr">
        <is>
          <t>S043</t>
        </is>
      </c>
      <c r="B223" t="inlineStr">
        <is>
          <t>D2</t>
        </is>
      </c>
      <c r="C223" t="n">
        <v>3</v>
      </c>
      <c r="D223" t="inlineStr">
        <is>
          <t>Dataset</t>
        </is>
      </c>
      <c r="E223" t="inlineStr">
        <is>
          <t>SE_mongodb.Users</t>
        </is>
      </c>
      <c r="F223" t="inlineStr">
        <is>
          <t>D</t>
        </is>
      </c>
    </row>
    <row r="224">
      <c r="A224" t="inlineStr">
        <is>
          <t>S043</t>
        </is>
      </c>
      <c r="B224" t="inlineStr">
        <is>
          <t>D2</t>
        </is>
      </c>
      <c r="C224" t="n">
        <v>3</v>
      </c>
      <c r="D224" t="inlineStr">
        <is>
          <t>Attribute</t>
        </is>
      </c>
      <c r="E224" t="inlineStr">
        <is>
          <t>SE_mongodb.Badges.Date</t>
        </is>
      </c>
      <c r="F224" t="inlineStr">
        <is>
          <t>M</t>
        </is>
      </c>
    </row>
    <row r="225">
      <c r="A225" t="inlineStr">
        <is>
          <t>S043</t>
        </is>
      </c>
      <c r="B225" t="inlineStr">
        <is>
          <t>D2</t>
        </is>
      </c>
      <c r="C225" t="n">
        <v>3</v>
      </c>
      <c r="D225" t="inlineStr">
        <is>
          <t>Attribute</t>
        </is>
      </c>
      <c r="E225" t="inlineStr">
        <is>
          <t>SE_mongodb.Users.DisplayName</t>
        </is>
      </c>
      <c r="F225" t="inlineStr">
        <is>
          <t>P</t>
        </is>
      </c>
    </row>
    <row r="226">
      <c r="A226" t="inlineStr">
        <is>
          <t>S044</t>
        </is>
      </c>
      <c r="B226" t="inlineStr">
        <is>
          <t>D2</t>
        </is>
      </c>
      <c r="C226" t="n">
        <v>4</v>
      </c>
      <c r="D226" t="inlineStr">
        <is>
          <t>Dataset</t>
        </is>
      </c>
      <c r="E226" t="inlineStr">
        <is>
          <t>SE_mongodb.Badges</t>
        </is>
      </c>
      <c r="F226" t="inlineStr">
        <is>
          <t>F</t>
        </is>
      </c>
    </row>
    <row r="227">
      <c r="A227" t="inlineStr">
        <is>
          <t>S044</t>
        </is>
      </c>
      <c r="B227" t="inlineStr">
        <is>
          <t>D2</t>
        </is>
      </c>
      <c r="C227" t="n">
        <v>4</v>
      </c>
      <c r="D227" t="inlineStr">
        <is>
          <t>Dataset</t>
        </is>
      </c>
      <c r="E227" t="inlineStr">
        <is>
          <t>SE_mongodb.Users</t>
        </is>
      </c>
      <c r="F227" t="inlineStr">
        <is>
          <t>D</t>
        </is>
      </c>
    </row>
    <row r="228">
      <c r="A228" t="inlineStr">
        <is>
          <t>S044</t>
        </is>
      </c>
      <c r="B228" t="inlineStr">
        <is>
          <t>D2</t>
        </is>
      </c>
      <c r="C228" t="n">
        <v>4</v>
      </c>
      <c r="D228" t="inlineStr">
        <is>
          <t>Attribute</t>
        </is>
      </c>
      <c r="E228" t="inlineStr">
        <is>
          <t>SE_mongodb.Badges.Date</t>
        </is>
      </c>
      <c r="F228" t="inlineStr">
        <is>
          <t>M</t>
        </is>
      </c>
    </row>
    <row r="229">
      <c r="A229" t="inlineStr">
        <is>
          <t>S044</t>
        </is>
      </c>
      <c r="B229" t="inlineStr">
        <is>
          <t>D2</t>
        </is>
      </c>
      <c r="C229" t="n">
        <v>4</v>
      </c>
      <c r="D229" t="inlineStr">
        <is>
          <t>Attribute</t>
        </is>
      </c>
      <c r="E229" t="inlineStr">
        <is>
          <t>SE_mongodb.Users.DisplayName</t>
        </is>
      </c>
      <c r="F229" t="inlineStr">
        <is>
          <t>P</t>
        </is>
      </c>
    </row>
    <row r="230">
      <c r="A230" t="inlineStr">
        <is>
          <t>S045</t>
        </is>
      </c>
      <c r="B230" t="inlineStr">
        <is>
          <t>E1</t>
        </is>
      </c>
      <c r="C230" t="n">
        <v>1</v>
      </c>
      <c r="D230" t="inlineStr">
        <is>
          <t>Dataset</t>
        </is>
      </c>
      <c r="E230" t="inlineStr">
        <is>
          <t>SE_mysql.postes</t>
        </is>
      </c>
      <c r="F230" t="inlineStr">
        <is>
          <t>F</t>
        </is>
      </c>
    </row>
    <row r="231">
      <c r="A231" t="inlineStr">
        <is>
          <t>S045</t>
        </is>
      </c>
      <c r="B231" t="inlineStr">
        <is>
          <t>E1</t>
        </is>
      </c>
      <c r="C231" t="n">
        <v>1</v>
      </c>
      <c r="D231" t="inlineStr">
        <is>
          <t>Dataset</t>
        </is>
      </c>
      <c r="E231" t="inlineStr">
        <is>
          <t>SE_mysql.Posttypes</t>
        </is>
      </c>
      <c r="F231" t="inlineStr">
        <is>
          <t>D</t>
        </is>
      </c>
    </row>
    <row r="232">
      <c r="A232" t="inlineStr">
        <is>
          <t>S045</t>
        </is>
      </c>
      <c r="B232" t="inlineStr">
        <is>
          <t>E1</t>
        </is>
      </c>
      <c r="C232" t="n">
        <v>1</v>
      </c>
      <c r="D232" t="inlineStr">
        <is>
          <t>Attribute</t>
        </is>
      </c>
      <c r="E232" t="inlineStr">
        <is>
          <t>SE_mysql.postes.CreationDate</t>
        </is>
      </c>
      <c r="F232" t="inlineStr">
        <is>
          <t>M</t>
        </is>
      </c>
    </row>
    <row r="233">
      <c r="A233" t="inlineStr">
        <is>
          <t>S045</t>
        </is>
      </c>
      <c r="B233" t="inlineStr">
        <is>
          <t>E1</t>
        </is>
      </c>
      <c r="C233" t="n">
        <v>1</v>
      </c>
      <c r="D233" t="inlineStr">
        <is>
          <t>Attribute</t>
        </is>
      </c>
      <c r="E233" t="inlineStr">
        <is>
          <t>SE_mysql.postes.ViewCount</t>
        </is>
      </c>
      <c r="F233" t="inlineStr">
        <is>
          <t>M</t>
        </is>
      </c>
    </row>
    <row r="234">
      <c r="A234" t="inlineStr">
        <is>
          <t>S045</t>
        </is>
      </c>
      <c r="B234" t="inlineStr">
        <is>
          <t>E1</t>
        </is>
      </c>
      <c r="C234" t="n">
        <v>1</v>
      </c>
      <c r="D234" t="inlineStr">
        <is>
          <t>Attribute</t>
        </is>
      </c>
      <c r="E234" t="inlineStr">
        <is>
          <t>SE_mysql.Posttypes.Name</t>
        </is>
      </c>
      <c r="F234" t="inlineStr">
        <is>
          <t>P</t>
        </is>
      </c>
    </row>
    <row r="235">
      <c r="A235" t="inlineStr">
        <is>
          <t>S046</t>
        </is>
      </c>
      <c r="B235" t="inlineStr">
        <is>
          <t>E1</t>
        </is>
      </c>
      <c r="C235" t="n">
        <v>2</v>
      </c>
      <c r="D235" t="inlineStr">
        <is>
          <t>Dataset</t>
        </is>
      </c>
      <c r="E235" t="inlineStr">
        <is>
          <t>SE_mysql.postes</t>
        </is>
      </c>
      <c r="F235" t="inlineStr">
        <is>
          <t>F</t>
        </is>
      </c>
    </row>
    <row r="236">
      <c r="A236" t="inlineStr">
        <is>
          <t>S046</t>
        </is>
      </c>
      <c r="B236" t="inlineStr">
        <is>
          <t>E1</t>
        </is>
      </c>
      <c r="C236" t="n">
        <v>2</v>
      </c>
      <c r="D236" t="inlineStr">
        <is>
          <t>Dataset</t>
        </is>
      </c>
      <c r="E236" t="inlineStr">
        <is>
          <t>SE_mysql.Posttypes</t>
        </is>
      </c>
      <c r="F236" t="inlineStr">
        <is>
          <t>D</t>
        </is>
      </c>
    </row>
    <row r="237">
      <c r="A237" t="inlineStr">
        <is>
          <t>S046</t>
        </is>
      </c>
      <c r="B237" t="inlineStr">
        <is>
          <t>E1</t>
        </is>
      </c>
      <c r="C237" t="n">
        <v>2</v>
      </c>
      <c r="D237" t="inlineStr">
        <is>
          <t>Attribute</t>
        </is>
      </c>
      <c r="E237" t="inlineStr">
        <is>
          <t>SE_mysql.postes.CreationDate</t>
        </is>
      </c>
      <c r="F237" t="inlineStr">
        <is>
          <t>M</t>
        </is>
      </c>
    </row>
    <row r="238">
      <c r="A238" t="inlineStr">
        <is>
          <t>S046</t>
        </is>
      </c>
      <c r="B238" t="inlineStr">
        <is>
          <t>E1</t>
        </is>
      </c>
      <c r="C238" t="n">
        <v>2</v>
      </c>
      <c r="D238" t="inlineStr">
        <is>
          <t>Attribute</t>
        </is>
      </c>
      <c r="E238" t="inlineStr">
        <is>
          <t>SE_mysql.Posttypes.Name</t>
        </is>
      </c>
      <c r="F238" t="inlineStr">
        <is>
          <t>P</t>
        </is>
      </c>
    </row>
    <row r="239">
      <c r="A239" t="inlineStr">
        <is>
          <t>S046</t>
        </is>
      </c>
      <c r="B239" t="inlineStr">
        <is>
          <t>E1</t>
        </is>
      </c>
      <c r="C239" t="n">
        <v>2</v>
      </c>
      <c r="D239" t="inlineStr">
        <is>
          <t>Attribute</t>
        </is>
      </c>
      <c r="E239" t="inlineStr">
        <is>
          <t>SE_mysql.postes.LastEditorUserId</t>
        </is>
      </c>
      <c r="F239" t="inlineStr">
        <is>
          <t>M</t>
        </is>
      </c>
    </row>
    <row r="240">
      <c r="A240" t="inlineStr">
        <is>
          <t>S047</t>
        </is>
      </c>
      <c r="B240" t="inlineStr">
        <is>
          <t>E1</t>
        </is>
      </c>
      <c r="C240" t="n">
        <v>3</v>
      </c>
      <c r="D240" t="inlineStr">
        <is>
          <t>Dataset</t>
        </is>
      </c>
      <c r="E240" t="inlineStr">
        <is>
          <t>SE_mysql.postes</t>
        </is>
      </c>
      <c r="F240" t="inlineStr">
        <is>
          <t>F</t>
        </is>
      </c>
    </row>
    <row r="241">
      <c r="A241" t="inlineStr">
        <is>
          <t>S047</t>
        </is>
      </c>
      <c r="B241" t="inlineStr">
        <is>
          <t>E1</t>
        </is>
      </c>
      <c r="C241" t="n">
        <v>3</v>
      </c>
      <c r="D241" t="inlineStr">
        <is>
          <t>Dataset</t>
        </is>
      </c>
      <c r="E241" t="inlineStr">
        <is>
          <t>SE_mysql.Posttypes</t>
        </is>
      </c>
      <c r="F241" t="inlineStr">
        <is>
          <t>D</t>
        </is>
      </c>
    </row>
    <row r="242">
      <c r="A242" t="inlineStr">
        <is>
          <t>S047</t>
        </is>
      </c>
      <c r="B242" t="inlineStr">
        <is>
          <t>E1</t>
        </is>
      </c>
      <c r="C242" t="n">
        <v>3</v>
      </c>
      <c r="D242" t="inlineStr">
        <is>
          <t>Attribute</t>
        </is>
      </c>
      <c r="E242" t="inlineStr">
        <is>
          <t>SE_mysql.postes.CreationDate</t>
        </is>
      </c>
      <c r="F242" t="inlineStr">
        <is>
          <t>M</t>
        </is>
      </c>
    </row>
    <row r="243">
      <c r="A243" t="inlineStr">
        <is>
          <t>S047</t>
        </is>
      </c>
      <c r="B243" t="inlineStr">
        <is>
          <t>E1</t>
        </is>
      </c>
      <c r="C243" t="n">
        <v>3</v>
      </c>
      <c r="D243" t="inlineStr">
        <is>
          <t>Attribute</t>
        </is>
      </c>
      <c r="E243" t="inlineStr">
        <is>
          <t>SE_mysql.postes.ViewCount</t>
        </is>
      </c>
      <c r="F243" t="inlineStr">
        <is>
          <t>M</t>
        </is>
      </c>
    </row>
    <row r="244">
      <c r="A244" t="inlineStr">
        <is>
          <t>S047</t>
        </is>
      </c>
      <c r="B244" t="inlineStr">
        <is>
          <t>E1</t>
        </is>
      </c>
      <c r="C244" t="n">
        <v>3</v>
      </c>
      <c r="D244" t="inlineStr">
        <is>
          <t>Attribute</t>
        </is>
      </c>
      <c r="E244" t="inlineStr">
        <is>
          <t>SE_mysql.Posttypes.Name</t>
        </is>
      </c>
      <c r="F244" t="inlineStr">
        <is>
          <t>P</t>
        </is>
      </c>
    </row>
    <row r="245">
      <c r="A245" t="inlineStr">
        <is>
          <t>S047</t>
        </is>
      </c>
      <c r="B245" t="inlineStr">
        <is>
          <t>E1</t>
        </is>
      </c>
      <c r="C245" t="n">
        <v>3</v>
      </c>
      <c r="D245" t="inlineStr">
        <is>
          <t>Attribute</t>
        </is>
      </c>
      <c r="E245" t="inlineStr">
        <is>
          <t>SE_mysql.postes.LastEditDate</t>
        </is>
      </c>
      <c r="F245" t="inlineStr">
        <is>
          <t>M</t>
        </is>
      </c>
    </row>
    <row r="246">
      <c r="A246" t="inlineStr">
        <is>
          <t>S048</t>
        </is>
      </c>
      <c r="B246" t="inlineStr">
        <is>
          <t>E1</t>
        </is>
      </c>
      <c r="C246" t="n">
        <v>4</v>
      </c>
      <c r="D246" t="inlineStr">
        <is>
          <t>Dataset</t>
        </is>
      </c>
      <c r="E246" t="inlineStr">
        <is>
          <t>SE_mysql.postes</t>
        </is>
      </c>
      <c r="F246" t="inlineStr">
        <is>
          <t>F</t>
        </is>
      </c>
    </row>
    <row r="247">
      <c r="A247" t="inlineStr">
        <is>
          <t>S048</t>
        </is>
      </c>
      <c r="B247" t="inlineStr">
        <is>
          <t>E1</t>
        </is>
      </c>
      <c r="C247" t="n">
        <v>4</v>
      </c>
      <c r="D247" t="inlineStr">
        <is>
          <t>Dataset</t>
        </is>
      </c>
      <c r="E247" t="inlineStr">
        <is>
          <t>SE_mysql.Posttypes</t>
        </is>
      </c>
      <c r="F247" t="inlineStr">
        <is>
          <t>D</t>
        </is>
      </c>
    </row>
    <row r="248">
      <c r="A248" t="inlineStr">
        <is>
          <t>S048</t>
        </is>
      </c>
      <c r="B248" t="inlineStr">
        <is>
          <t>E1</t>
        </is>
      </c>
      <c r="C248" t="n">
        <v>4</v>
      </c>
      <c r="D248" t="inlineStr">
        <is>
          <t>Attribute</t>
        </is>
      </c>
      <c r="E248" t="inlineStr">
        <is>
          <t>SE_mysql.postes.ViewCount</t>
        </is>
      </c>
      <c r="F248" t="inlineStr">
        <is>
          <t>M</t>
        </is>
      </c>
    </row>
    <row r="249">
      <c r="A249" t="inlineStr">
        <is>
          <t>S048</t>
        </is>
      </c>
      <c r="B249" t="inlineStr">
        <is>
          <t>E1</t>
        </is>
      </c>
      <c r="C249" t="n">
        <v>4</v>
      </c>
      <c r="D249" t="inlineStr">
        <is>
          <t>Attribute</t>
        </is>
      </c>
      <c r="E249" t="inlineStr">
        <is>
          <t>SE_mysql.postes.CreationDate</t>
        </is>
      </c>
      <c r="F249" t="inlineStr">
        <is>
          <t>M</t>
        </is>
      </c>
    </row>
    <row r="250">
      <c r="A250" t="inlineStr">
        <is>
          <t>S048</t>
        </is>
      </c>
      <c r="B250" t="inlineStr">
        <is>
          <t>E1</t>
        </is>
      </c>
      <c r="C250" t="n">
        <v>4</v>
      </c>
      <c r="D250" t="inlineStr">
        <is>
          <t>Attribute</t>
        </is>
      </c>
      <c r="E250" t="inlineStr">
        <is>
          <t>SE_mysql.Posttypes.Name</t>
        </is>
      </c>
      <c r="F250" t="inlineStr">
        <is>
          <t>P</t>
        </is>
      </c>
    </row>
    <row r="251">
      <c r="A251" t="inlineStr">
        <is>
          <t>S048</t>
        </is>
      </c>
      <c r="B251" t="inlineStr">
        <is>
          <t>E1</t>
        </is>
      </c>
      <c r="C251" t="n">
        <v>4</v>
      </c>
      <c r="D251" t="inlineStr">
        <is>
          <t>Attribute</t>
        </is>
      </c>
      <c r="E251" t="inlineStr">
        <is>
          <t>SE_mysql.postes.LastEditDate</t>
        </is>
      </c>
      <c r="F251" t="inlineStr">
        <is>
          <t>M</t>
        </is>
      </c>
    </row>
    <row r="252">
      <c r="A252" t="inlineStr">
        <is>
          <t>S049</t>
        </is>
      </c>
      <c r="B252" t="inlineStr">
        <is>
          <t>E2</t>
        </is>
      </c>
      <c r="C252" t="n">
        <v>1</v>
      </c>
      <c r="D252" t="inlineStr">
        <is>
          <t>Dataset</t>
        </is>
      </c>
      <c r="E252" t="inlineStr">
        <is>
          <t>SE_mysql.Users</t>
        </is>
      </c>
      <c r="F252" t="inlineStr">
        <is>
          <t>F</t>
        </is>
      </c>
    </row>
    <row r="253">
      <c r="A253" t="inlineStr">
        <is>
          <t>S049</t>
        </is>
      </c>
      <c r="B253" t="inlineStr">
        <is>
          <t>E2</t>
        </is>
      </c>
      <c r="C253" t="n">
        <v>1</v>
      </c>
      <c r="D253" t="inlineStr">
        <is>
          <t>Dataset</t>
        </is>
      </c>
      <c r="E253" t="inlineStr">
        <is>
          <t>SE_mysql.postes</t>
        </is>
      </c>
      <c r="F253" t="inlineStr">
        <is>
          <t>D</t>
        </is>
      </c>
    </row>
    <row r="254">
      <c r="A254" t="inlineStr">
        <is>
          <t>S049</t>
        </is>
      </c>
      <c r="B254" t="inlineStr">
        <is>
          <t>E2</t>
        </is>
      </c>
      <c r="C254" t="n">
        <v>1</v>
      </c>
      <c r="D254" t="inlineStr">
        <is>
          <t>Attribute</t>
        </is>
      </c>
      <c r="E254" t="inlineStr">
        <is>
          <t>SE_mysql.Users.Views</t>
        </is>
      </c>
      <c r="F254" t="inlineStr">
        <is>
          <t>M</t>
        </is>
      </c>
    </row>
    <row r="255">
      <c r="A255" t="inlineStr">
        <is>
          <t>S049</t>
        </is>
      </c>
      <c r="B255" t="inlineStr">
        <is>
          <t>E2</t>
        </is>
      </c>
      <c r="C255" t="n">
        <v>1</v>
      </c>
      <c r="D255" t="inlineStr">
        <is>
          <t>Attribute</t>
        </is>
      </c>
      <c r="E255" t="inlineStr">
        <is>
          <t>SE_mysql.postes.CreationDate</t>
        </is>
      </c>
      <c r="F255" t="inlineStr">
        <is>
          <t>P</t>
        </is>
      </c>
    </row>
    <row r="256">
      <c r="A256" t="inlineStr">
        <is>
          <t>S050</t>
        </is>
      </c>
      <c r="B256" t="inlineStr">
        <is>
          <t>E2</t>
        </is>
      </c>
      <c r="C256" t="n">
        <v>2</v>
      </c>
      <c r="D256" t="inlineStr">
        <is>
          <t>Dataset</t>
        </is>
      </c>
      <c r="E256" t="inlineStr">
        <is>
          <t>SE_mysql.Users</t>
        </is>
      </c>
      <c r="F256" t="inlineStr">
        <is>
          <t>F</t>
        </is>
      </c>
    </row>
    <row r="257">
      <c r="A257" t="inlineStr">
        <is>
          <t>S050</t>
        </is>
      </c>
      <c r="B257" t="inlineStr">
        <is>
          <t>E2</t>
        </is>
      </c>
      <c r="C257" t="n">
        <v>2</v>
      </c>
      <c r="D257" t="inlineStr">
        <is>
          <t>Dataset</t>
        </is>
      </c>
      <c r="E257" t="inlineStr">
        <is>
          <t>SE_mysql.postes</t>
        </is>
      </c>
      <c r="F257" t="inlineStr">
        <is>
          <t>D</t>
        </is>
      </c>
    </row>
    <row r="258">
      <c r="A258" t="inlineStr">
        <is>
          <t>S050</t>
        </is>
      </c>
      <c r="B258" t="inlineStr">
        <is>
          <t>E2</t>
        </is>
      </c>
      <c r="C258" t="n">
        <v>2</v>
      </c>
      <c r="D258" t="inlineStr">
        <is>
          <t>Attribute</t>
        </is>
      </c>
      <c r="E258" t="inlineStr">
        <is>
          <t>SE_mysql.Users.Views</t>
        </is>
      </c>
      <c r="F258" t="inlineStr">
        <is>
          <t>M</t>
        </is>
      </c>
    </row>
    <row r="259">
      <c r="A259" t="inlineStr">
        <is>
          <t>S050</t>
        </is>
      </c>
      <c r="B259" t="inlineStr">
        <is>
          <t>E2</t>
        </is>
      </c>
      <c r="C259" t="n">
        <v>2</v>
      </c>
      <c r="D259" t="inlineStr">
        <is>
          <t>Attribute</t>
        </is>
      </c>
      <c r="E259" t="inlineStr">
        <is>
          <t>SE_mysql.postes.CreationDate</t>
        </is>
      </c>
      <c r="F259" t="inlineStr">
        <is>
          <t>P</t>
        </is>
      </c>
    </row>
    <row r="260">
      <c r="A260" t="inlineStr">
        <is>
          <t>S051</t>
        </is>
      </c>
      <c r="B260" t="inlineStr">
        <is>
          <t>E2</t>
        </is>
      </c>
      <c r="C260" t="n">
        <v>3</v>
      </c>
      <c r="D260" t="inlineStr">
        <is>
          <t>Dataset</t>
        </is>
      </c>
      <c r="E260" t="inlineStr">
        <is>
          <t>SE_mysql.Users</t>
        </is>
      </c>
      <c r="F260" t="inlineStr">
        <is>
          <t>F</t>
        </is>
      </c>
    </row>
    <row r="261">
      <c r="A261" t="inlineStr">
        <is>
          <t>S051</t>
        </is>
      </c>
      <c r="B261" t="inlineStr">
        <is>
          <t>E2</t>
        </is>
      </c>
      <c r="C261" t="n">
        <v>3</v>
      </c>
      <c r="D261" t="inlineStr">
        <is>
          <t>Dataset</t>
        </is>
      </c>
      <c r="E261" t="inlineStr">
        <is>
          <t>SE_mysql.postes</t>
        </is>
      </c>
      <c r="F261" t="inlineStr">
        <is>
          <t>D</t>
        </is>
      </c>
    </row>
    <row r="262">
      <c r="A262" t="inlineStr">
        <is>
          <t>S051</t>
        </is>
      </c>
      <c r="B262" t="inlineStr">
        <is>
          <t>E2</t>
        </is>
      </c>
      <c r="C262" t="n">
        <v>3</v>
      </c>
      <c r="D262" t="inlineStr">
        <is>
          <t>Attribute</t>
        </is>
      </c>
      <c r="E262" t="inlineStr">
        <is>
          <t>SE_mysql.Users.Views</t>
        </is>
      </c>
      <c r="F262" t="inlineStr">
        <is>
          <t>M</t>
        </is>
      </c>
    </row>
    <row r="263">
      <c r="A263" t="inlineStr">
        <is>
          <t>S051</t>
        </is>
      </c>
      <c r="B263" t="inlineStr">
        <is>
          <t>E2</t>
        </is>
      </c>
      <c r="C263" t="n">
        <v>3</v>
      </c>
      <c r="D263" t="inlineStr">
        <is>
          <t>Attribute</t>
        </is>
      </c>
      <c r="E263" t="inlineStr">
        <is>
          <t>SE_mysql.postes.CreationDate</t>
        </is>
      </c>
      <c r="F263" t="inlineStr">
        <is>
          <t>P</t>
        </is>
      </c>
    </row>
    <row r="264">
      <c r="A264" t="inlineStr">
        <is>
          <t>S052</t>
        </is>
      </c>
      <c r="B264" t="inlineStr">
        <is>
          <t>E2</t>
        </is>
      </c>
      <c r="C264" t="n">
        <v>4</v>
      </c>
      <c r="D264" t="inlineStr">
        <is>
          <t>Dataset</t>
        </is>
      </c>
      <c r="E264" t="inlineStr">
        <is>
          <t>SE_mysql.Users</t>
        </is>
      </c>
      <c r="F264" t="inlineStr">
        <is>
          <t>F</t>
        </is>
      </c>
    </row>
    <row r="265">
      <c r="A265" t="inlineStr">
        <is>
          <t>S052</t>
        </is>
      </c>
      <c r="B265" t="inlineStr">
        <is>
          <t>E2</t>
        </is>
      </c>
      <c r="C265" t="n">
        <v>4</v>
      </c>
      <c r="D265" t="inlineStr">
        <is>
          <t>Dataset</t>
        </is>
      </c>
      <c r="E265" t="inlineStr">
        <is>
          <t>SE_mysql.Votes</t>
        </is>
      </c>
      <c r="F265" t="inlineStr">
        <is>
          <t>D</t>
        </is>
      </c>
    </row>
    <row r="266">
      <c r="A266" t="inlineStr">
        <is>
          <t>S052</t>
        </is>
      </c>
      <c r="B266" t="inlineStr">
        <is>
          <t>E2</t>
        </is>
      </c>
      <c r="C266" t="n">
        <v>4</v>
      </c>
      <c r="D266" t="inlineStr">
        <is>
          <t>Attribute</t>
        </is>
      </c>
      <c r="E266" t="inlineStr">
        <is>
          <t>SE_mysql.Users.Views</t>
        </is>
      </c>
      <c r="F266" t="inlineStr">
        <is>
          <t>M</t>
        </is>
      </c>
    </row>
    <row r="267">
      <c r="A267" t="inlineStr">
        <is>
          <t>S052</t>
        </is>
      </c>
      <c r="B267" t="inlineStr">
        <is>
          <t>E2</t>
        </is>
      </c>
      <c r="C267" t="n">
        <v>4</v>
      </c>
      <c r="D267" t="inlineStr">
        <is>
          <t>Attribute</t>
        </is>
      </c>
      <c r="E267" t="inlineStr">
        <is>
          <t>SE_mysql.Votes.Id</t>
        </is>
      </c>
      <c r="F267" t="inlineStr">
        <is>
          <t>P</t>
        </is>
      </c>
    </row>
    <row r="268">
      <c r="A268" t="inlineStr">
        <is>
          <t>S053</t>
        </is>
      </c>
      <c r="B268" t="inlineStr">
        <is>
          <t>X1</t>
        </is>
      </c>
      <c r="C268" t="n">
        <v>1</v>
      </c>
      <c r="D268" t="inlineStr">
        <is>
          <t>Dataset</t>
        </is>
      </c>
      <c r="E268" t="inlineStr">
        <is>
          <t>SE_mysql.Users</t>
        </is>
      </c>
      <c r="F268" t="inlineStr">
        <is>
          <t>F</t>
        </is>
      </c>
    </row>
    <row r="269">
      <c r="A269" t="inlineStr">
        <is>
          <t>S053</t>
        </is>
      </c>
      <c r="B269" t="inlineStr">
        <is>
          <t>X1</t>
        </is>
      </c>
      <c r="C269" t="n">
        <v>1</v>
      </c>
      <c r="D269" t="inlineStr">
        <is>
          <t>Dataset</t>
        </is>
      </c>
      <c r="E269" t="inlineStr">
        <is>
          <t>SE_neo4j.Tags</t>
        </is>
      </c>
      <c r="F269" t="inlineStr">
        <is>
          <t>D</t>
        </is>
      </c>
    </row>
    <row r="270">
      <c r="A270" t="inlineStr">
        <is>
          <t>S053</t>
        </is>
      </c>
      <c r="B270" t="inlineStr">
        <is>
          <t>X1</t>
        </is>
      </c>
      <c r="C270" t="n">
        <v>1</v>
      </c>
      <c r="D270" t="inlineStr">
        <is>
          <t>Attribute</t>
        </is>
      </c>
      <c r="E270" t="inlineStr">
        <is>
          <t>SE_mysql.Users.Reputation</t>
        </is>
      </c>
      <c r="F270" t="inlineStr">
        <is>
          <t>M</t>
        </is>
      </c>
    </row>
    <row r="271">
      <c r="A271" t="inlineStr">
        <is>
          <t>S053</t>
        </is>
      </c>
      <c r="B271" t="inlineStr">
        <is>
          <t>X1</t>
        </is>
      </c>
      <c r="C271" t="n">
        <v>1</v>
      </c>
      <c r="D271" t="inlineStr">
        <is>
          <t>Attribute</t>
        </is>
      </c>
      <c r="E271" t="inlineStr">
        <is>
          <t>SE_neo4j.Tags.tagname</t>
        </is>
      </c>
      <c r="F271" t="inlineStr">
        <is>
          <t>P</t>
        </is>
      </c>
    </row>
    <row r="272">
      <c r="A272" t="inlineStr">
        <is>
          <t>S054</t>
        </is>
      </c>
      <c r="B272" t="inlineStr">
        <is>
          <t>X1</t>
        </is>
      </c>
      <c r="C272" t="n">
        <v>2</v>
      </c>
      <c r="D272" t="inlineStr">
        <is>
          <t>Dataset</t>
        </is>
      </c>
      <c r="E272" t="inlineStr">
        <is>
          <t>SE_mysql.Users</t>
        </is>
      </c>
      <c r="F272" t="inlineStr">
        <is>
          <t>F</t>
        </is>
      </c>
    </row>
    <row r="273">
      <c r="A273" t="inlineStr">
        <is>
          <t>S054</t>
        </is>
      </c>
      <c r="B273" t="inlineStr">
        <is>
          <t>X1</t>
        </is>
      </c>
      <c r="C273" t="n">
        <v>2</v>
      </c>
      <c r="D273" t="inlineStr">
        <is>
          <t>Dataset</t>
        </is>
      </c>
      <c r="E273" t="inlineStr">
        <is>
          <t>SE_mysql.postes</t>
        </is>
      </c>
      <c r="F273" t="inlineStr">
        <is>
          <t>D</t>
        </is>
      </c>
    </row>
    <row r="274">
      <c r="A274" t="inlineStr">
        <is>
          <t>S054</t>
        </is>
      </c>
      <c r="B274" t="inlineStr">
        <is>
          <t>X1</t>
        </is>
      </c>
      <c r="C274" t="n">
        <v>2</v>
      </c>
      <c r="D274" t="inlineStr">
        <is>
          <t>Dataset</t>
        </is>
      </c>
      <c r="E274" t="inlineStr">
        <is>
          <t>SE_neo4j.Tags</t>
        </is>
      </c>
      <c r="F274" t="inlineStr">
        <is>
          <t>D</t>
        </is>
      </c>
    </row>
    <row r="275">
      <c r="A275" t="inlineStr">
        <is>
          <t>S054</t>
        </is>
      </c>
      <c r="B275" t="inlineStr">
        <is>
          <t>X1</t>
        </is>
      </c>
      <c r="C275" t="n">
        <v>2</v>
      </c>
      <c r="D275" t="inlineStr">
        <is>
          <t>Attribute</t>
        </is>
      </c>
      <c r="E275" t="inlineStr">
        <is>
          <t>SE_mysql.Users.Reputation</t>
        </is>
      </c>
      <c r="F275" t="inlineStr">
        <is>
          <t>M</t>
        </is>
      </c>
    </row>
    <row r="276">
      <c r="A276" t="inlineStr">
        <is>
          <t>S054</t>
        </is>
      </c>
      <c r="B276" t="inlineStr">
        <is>
          <t>X1</t>
        </is>
      </c>
      <c r="C276" t="n">
        <v>2</v>
      </c>
      <c r="D276" t="inlineStr">
        <is>
          <t>Attribute</t>
        </is>
      </c>
      <c r="E276" t="inlineStr">
        <is>
          <t>SE_mysql.postes.ViewCount</t>
        </is>
      </c>
      <c r="F276" t="inlineStr">
        <is>
          <t>P</t>
        </is>
      </c>
    </row>
    <row r="277">
      <c r="A277" t="inlineStr">
        <is>
          <t>S054</t>
        </is>
      </c>
      <c r="B277" t="inlineStr">
        <is>
          <t>X1</t>
        </is>
      </c>
      <c r="C277" t="n">
        <v>2</v>
      </c>
      <c r="D277" t="inlineStr">
        <is>
          <t>Attribute</t>
        </is>
      </c>
      <c r="E277" t="inlineStr">
        <is>
          <t>SE_neo4j.Tags.tagname</t>
        </is>
      </c>
      <c r="F277" t="inlineStr">
        <is>
          <t>P</t>
        </is>
      </c>
    </row>
    <row r="278">
      <c r="A278" t="inlineStr">
        <is>
          <t>S055</t>
        </is>
      </c>
      <c r="B278" t="inlineStr">
        <is>
          <t>X1</t>
        </is>
      </c>
      <c r="C278" t="n">
        <v>3</v>
      </c>
      <c r="D278" t="inlineStr">
        <is>
          <t>Dataset</t>
        </is>
      </c>
      <c r="E278" t="inlineStr">
        <is>
          <t>SE_mysql.Users</t>
        </is>
      </c>
      <c r="F278" t="inlineStr">
        <is>
          <t>F</t>
        </is>
      </c>
    </row>
    <row r="279">
      <c r="A279" t="inlineStr">
        <is>
          <t>S055</t>
        </is>
      </c>
      <c r="B279" t="inlineStr">
        <is>
          <t>X1</t>
        </is>
      </c>
      <c r="C279" t="n">
        <v>3</v>
      </c>
      <c r="D279" t="inlineStr">
        <is>
          <t>Dataset</t>
        </is>
      </c>
      <c r="E279" t="inlineStr">
        <is>
          <t>SE_mysql.postes</t>
        </is>
      </c>
      <c r="F279" t="inlineStr">
        <is>
          <t>D</t>
        </is>
      </c>
    </row>
    <row r="280">
      <c r="A280" t="inlineStr">
        <is>
          <t>S055</t>
        </is>
      </c>
      <c r="B280" t="inlineStr">
        <is>
          <t>X1</t>
        </is>
      </c>
      <c r="C280" t="n">
        <v>3</v>
      </c>
      <c r="D280" t="inlineStr">
        <is>
          <t>Dataset</t>
        </is>
      </c>
      <c r="E280" t="inlineStr">
        <is>
          <t>SE_neo4j.Tags</t>
        </is>
      </c>
      <c r="F280" t="inlineStr">
        <is>
          <t>D</t>
        </is>
      </c>
    </row>
    <row r="281">
      <c r="A281" t="inlineStr">
        <is>
          <t>S055</t>
        </is>
      </c>
      <c r="B281" t="inlineStr">
        <is>
          <t>X1</t>
        </is>
      </c>
      <c r="C281" t="n">
        <v>3</v>
      </c>
      <c r="D281" t="inlineStr">
        <is>
          <t>Attribute</t>
        </is>
      </c>
      <c r="E281" t="inlineStr">
        <is>
          <t>SE_mysql.Users.Reputation</t>
        </is>
      </c>
      <c r="F281" t="inlineStr">
        <is>
          <t>M</t>
        </is>
      </c>
    </row>
    <row r="282">
      <c r="A282" t="inlineStr">
        <is>
          <t>S055</t>
        </is>
      </c>
      <c r="B282" t="inlineStr">
        <is>
          <t>X1</t>
        </is>
      </c>
      <c r="C282" t="n">
        <v>3</v>
      </c>
      <c r="D282" t="inlineStr">
        <is>
          <t>Attribute</t>
        </is>
      </c>
      <c r="E282" t="inlineStr">
        <is>
          <t>SE_mysql.postes.ViewCount</t>
        </is>
      </c>
      <c r="F282" t="inlineStr">
        <is>
          <t>P</t>
        </is>
      </c>
    </row>
    <row r="283">
      <c r="A283" t="inlineStr">
        <is>
          <t>S055</t>
        </is>
      </c>
      <c r="B283" t="inlineStr">
        <is>
          <t>X1</t>
        </is>
      </c>
      <c r="C283" t="n">
        <v>3</v>
      </c>
      <c r="D283" t="inlineStr">
        <is>
          <t>Attribute</t>
        </is>
      </c>
      <c r="E283" t="inlineStr">
        <is>
          <t>SE_neo4j.Tags.tagname</t>
        </is>
      </c>
      <c r="F283" t="inlineStr">
        <is>
          <t>P</t>
        </is>
      </c>
    </row>
    <row r="284">
      <c r="A284" t="inlineStr">
        <is>
          <t>S056</t>
        </is>
      </c>
      <c r="B284" t="inlineStr">
        <is>
          <t>X1</t>
        </is>
      </c>
      <c r="C284" t="n">
        <v>4</v>
      </c>
      <c r="D284" t="inlineStr">
        <is>
          <t>Dataset</t>
        </is>
      </c>
      <c r="E284" t="inlineStr">
        <is>
          <t>SE_mysql.Users</t>
        </is>
      </c>
      <c r="F284" t="inlineStr">
        <is>
          <t>F</t>
        </is>
      </c>
    </row>
    <row r="285">
      <c r="A285" t="inlineStr">
        <is>
          <t>S056</t>
        </is>
      </c>
      <c r="B285" t="inlineStr">
        <is>
          <t>X1</t>
        </is>
      </c>
      <c r="C285" t="n">
        <v>4</v>
      </c>
      <c r="D285" t="inlineStr">
        <is>
          <t>Dataset</t>
        </is>
      </c>
      <c r="E285" t="inlineStr">
        <is>
          <t>SE_neo4j.Tags</t>
        </is>
      </c>
      <c r="F285" t="inlineStr">
        <is>
          <t>D</t>
        </is>
      </c>
    </row>
    <row r="286">
      <c r="A286" t="inlineStr">
        <is>
          <t>S056</t>
        </is>
      </c>
      <c r="B286" t="inlineStr">
        <is>
          <t>X1</t>
        </is>
      </c>
      <c r="C286" t="n">
        <v>4</v>
      </c>
      <c r="D286" t="inlineStr">
        <is>
          <t>Dataset</t>
        </is>
      </c>
      <c r="E286" t="inlineStr">
        <is>
          <t>SE_mysql.postes</t>
        </is>
      </c>
      <c r="F286" t="inlineStr">
        <is>
          <t>D</t>
        </is>
      </c>
    </row>
    <row r="287">
      <c r="A287" t="inlineStr">
        <is>
          <t>S056</t>
        </is>
      </c>
      <c r="B287" t="inlineStr">
        <is>
          <t>X1</t>
        </is>
      </c>
      <c r="C287" t="n">
        <v>4</v>
      </c>
      <c r="D287" t="inlineStr">
        <is>
          <t>Attribute</t>
        </is>
      </c>
      <c r="E287" t="inlineStr">
        <is>
          <t>SE_mysql.Users.Reputation</t>
        </is>
      </c>
      <c r="F287" t="inlineStr">
        <is>
          <t>M</t>
        </is>
      </c>
    </row>
    <row r="288">
      <c r="A288" t="inlineStr">
        <is>
          <t>S056</t>
        </is>
      </c>
      <c r="B288" t="inlineStr">
        <is>
          <t>X1</t>
        </is>
      </c>
      <c r="C288" t="n">
        <v>4</v>
      </c>
      <c r="D288" t="inlineStr">
        <is>
          <t>Attribute</t>
        </is>
      </c>
      <c r="E288" t="inlineStr">
        <is>
          <t>SE_neo4j.Tags.tagname</t>
        </is>
      </c>
      <c r="F288" t="inlineStr">
        <is>
          <t>P</t>
        </is>
      </c>
    </row>
    <row r="289">
      <c r="A289" t="inlineStr">
        <is>
          <t>S056</t>
        </is>
      </c>
      <c r="B289" t="inlineStr">
        <is>
          <t>X1</t>
        </is>
      </c>
      <c r="C289" t="n">
        <v>4</v>
      </c>
      <c r="D289" t="inlineStr">
        <is>
          <t>Attribute</t>
        </is>
      </c>
      <c r="E289" t="inlineStr">
        <is>
          <t>SE_mysql.postes.ViewCount</t>
        </is>
      </c>
      <c r="F289" t="inlineStr">
        <is>
          <t>P</t>
        </is>
      </c>
    </row>
    <row r="290">
      <c r="A290" t="inlineStr">
        <is>
          <t>S057</t>
        </is>
      </c>
      <c r="B290" t="inlineStr">
        <is>
          <t>X2</t>
        </is>
      </c>
      <c r="C290" t="n">
        <v>1</v>
      </c>
      <c r="D290" t="inlineStr">
        <is>
          <t>Dataset</t>
        </is>
      </c>
      <c r="E290" t="inlineStr">
        <is>
          <t>SE_mysql.Votes</t>
        </is>
      </c>
      <c r="F290" t="inlineStr">
        <is>
          <t>F</t>
        </is>
      </c>
    </row>
    <row r="291">
      <c r="A291" t="inlineStr">
        <is>
          <t>S057</t>
        </is>
      </c>
      <c r="B291" t="inlineStr">
        <is>
          <t>X2</t>
        </is>
      </c>
      <c r="C291" t="n">
        <v>1</v>
      </c>
      <c r="D291" t="inlineStr">
        <is>
          <t>Dataset</t>
        </is>
      </c>
      <c r="E291" t="inlineStr">
        <is>
          <t>SE_mysql.postes</t>
        </is>
      </c>
      <c r="F291" t="inlineStr">
        <is>
          <t>D</t>
        </is>
      </c>
    </row>
    <row r="292">
      <c r="A292" t="inlineStr">
        <is>
          <t>S057</t>
        </is>
      </c>
      <c r="B292" t="inlineStr">
        <is>
          <t>X2</t>
        </is>
      </c>
      <c r="C292" t="n">
        <v>1</v>
      </c>
      <c r="D292" t="inlineStr">
        <is>
          <t>Attribute</t>
        </is>
      </c>
      <c r="E292" t="inlineStr">
        <is>
          <t>SE_mysql.Votes.BountyAmount</t>
        </is>
      </c>
      <c r="F292" t="inlineStr">
        <is>
          <t>M</t>
        </is>
      </c>
    </row>
    <row r="293">
      <c r="A293" t="inlineStr">
        <is>
          <t>S057</t>
        </is>
      </c>
      <c r="B293" t="inlineStr">
        <is>
          <t>X2</t>
        </is>
      </c>
      <c r="C293" t="n">
        <v>1</v>
      </c>
      <c r="D293" t="inlineStr">
        <is>
          <t>Attribute</t>
        </is>
      </c>
      <c r="E293" t="inlineStr">
        <is>
          <t>SE_mysql.postes.Id</t>
        </is>
      </c>
      <c r="F293" t="inlineStr">
        <is>
          <t>P</t>
        </is>
      </c>
    </row>
    <row r="294">
      <c r="A294" t="inlineStr">
        <is>
          <t>S058</t>
        </is>
      </c>
      <c r="B294" t="inlineStr">
        <is>
          <t>X2</t>
        </is>
      </c>
      <c r="C294" t="n">
        <v>2</v>
      </c>
      <c r="D294" t="inlineStr">
        <is>
          <t>Dataset</t>
        </is>
      </c>
      <c r="E294" t="inlineStr">
        <is>
          <t>SE_mysql.Votes</t>
        </is>
      </c>
      <c r="F294" t="inlineStr">
        <is>
          <t>F</t>
        </is>
      </c>
    </row>
    <row r="295">
      <c r="A295" t="inlineStr">
        <is>
          <t>S058</t>
        </is>
      </c>
      <c r="B295" t="inlineStr">
        <is>
          <t>X2</t>
        </is>
      </c>
      <c r="C295" t="n">
        <v>2</v>
      </c>
      <c r="D295" t="inlineStr">
        <is>
          <t>Dataset</t>
        </is>
      </c>
      <c r="E295" t="inlineStr">
        <is>
          <t>SE_mysql.postes</t>
        </is>
      </c>
      <c r="F295" t="inlineStr">
        <is>
          <t>D</t>
        </is>
      </c>
    </row>
    <row r="296">
      <c r="A296" t="inlineStr">
        <is>
          <t>S058</t>
        </is>
      </c>
      <c r="B296" t="inlineStr">
        <is>
          <t>X2</t>
        </is>
      </c>
      <c r="C296" t="n">
        <v>2</v>
      </c>
      <c r="D296" t="inlineStr">
        <is>
          <t>Dataset</t>
        </is>
      </c>
      <c r="E296" t="inlineStr">
        <is>
          <t>SE_mysql.Flagtypes</t>
        </is>
      </c>
      <c r="F296" t="inlineStr">
        <is>
          <t>D</t>
        </is>
      </c>
    </row>
    <row r="297">
      <c r="A297" t="inlineStr">
        <is>
          <t>S058</t>
        </is>
      </c>
      <c r="B297" t="inlineStr">
        <is>
          <t>X2</t>
        </is>
      </c>
      <c r="C297" t="n">
        <v>2</v>
      </c>
      <c r="D297" t="inlineStr">
        <is>
          <t>Attribute</t>
        </is>
      </c>
      <c r="E297" t="inlineStr">
        <is>
          <t>SE_mysql.Votes.BountyAmount</t>
        </is>
      </c>
      <c r="F297" t="inlineStr">
        <is>
          <t>M</t>
        </is>
      </c>
    </row>
    <row r="298">
      <c r="A298" t="inlineStr">
        <is>
          <t>S058</t>
        </is>
      </c>
      <c r="B298" t="inlineStr">
        <is>
          <t>X2</t>
        </is>
      </c>
      <c r="C298" t="n">
        <v>2</v>
      </c>
      <c r="D298" t="inlineStr">
        <is>
          <t>Attribute</t>
        </is>
      </c>
      <c r="E298" t="inlineStr">
        <is>
          <t>SE_mysql.postes.Id</t>
        </is>
      </c>
      <c r="F298" t="inlineStr">
        <is>
          <t>P</t>
        </is>
      </c>
    </row>
    <row r="299">
      <c r="A299" t="inlineStr">
        <is>
          <t>S058</t>
        </is>
      </c>
      <c r="B299" t="inlineStr">
        <is>
          <t>X2</t>
        </is>
      </c>
      <c r="C299" t="n">
        <v>2</v>
      </c>
      <c r="D299" t="inlineStr">
        <is>
          <t>Attribute</t>
        </is>
      </c>
      <c r="E299" t="inlineStr">
        <is>
          <t>SE_mysql.Flagtypes.Name</t>
        </is>
      </c>
      <c r="F299" t="inlineStr">
        <is>
          <t>P</t>
        </is>
      </c>
    </row>
    <row r="300">
      <c r="A300" t="inlineStr">
        <is>
          <t>S059</t>
        </is>
      </c>
      <c r="B300" t="inlineStr">
        <is>
          <t>X2</t>
        </is>
      </c>
      <c r="C300" t="n">
        <v>3</v>
      </c>
      <c r="D300" t="inlineStr">
        <is>
          <t>Dataset</t>
        </is>
      </c>
      <c r="E300" t="inlineStr">
        <is>
          <t>SE_mysql.Votes</t>
        </is>
      </c>
      <c r="F300" t="inlineStr">
        <is>
          <t>F</t>
        </is>
      </c>
    </row>
    <row r="301">
      <c r="A301" t="inlineStr">
        <is>
          <t>S059</t>
        </is>
      </c>
      <c r="B301" t="inlineStr">
        <is>
          <t>X2</t>
        </is>
      </c>
      <c r="C301" t="n">
        <v>3</v>
      </c>
      <c r="D301" t="inlineStr">
        <is>
          <t>Dataset</t>
        </is>
      </c>
      <c r="E301" t="inlineStr">
        <is>
          <t>SE_mysql.Flagtypes</t>
        </is>
      </c>
      <c r="F301" t="inlineStr">
        <is>
          <t>D</t>
        </is>
      </c>
    </row>
    <row r="302">
      <c r="A302" t="inlineStr">
        <is>
          <t>S059</t>
        </is>
      </c>
      <c r="B302" t="inlineStr">
        <is>
          <t>X2</t>
        </is>
      </c>
      <c r="C302" t="n">
        <v>3</v>
      </c>
      <c r="D302" t="inlineStr">
        <is>
          <t>Dataset</t>
        </is>
      </c>
      <c r="E302" t="inlineStr">
        <is>
          <t>SE_mysql.postes</t>
        </is>
      </c>
      <c r="F302" t="inlineStr">
        <is>
          <t>D</t>
        </is>
      </c>
    </row>
    <row r="303">
      <c r="A303" t="inlineStr">
        <is>
          <t>S059</t>
        </is>
      </c>
      <c r="B303" t="inlineStr">
        <is>
          <t>X2</t>
        </is>
      </c>
      <c r="C303" t="n">
        <v>3</v>
      </c>
      <c r="D303" t="inlineStr">
        <is>
          <t>Attribute</t>
        </is>
      </c>
      <c r="E303" t="inlineStr">
        <is>
          <t>SE_mysql.Votes.BountyAmount</t>
        </is>
      </c>
      <c r="F303" t="inlineStr">
        <is>
          <t>M</t>
        </is>
      </c>
    </row>
    <row r="304">
      <c r="A304" t="inlineStr">
        <is>
          <t>S059</t>
        </is>
      </c>
      <c r="B304" t="inlineStr">
        <is>
          <t>X2</t>
        </is>
      </c>
      <c r="C304" t="n">
        <v>3</v>
      </c>
      <c r="D304" t="inlineStr">
        <is>
          <t>Attribute</t>
        </is>
      </c>
      <c r="E304" t="inlineStr">
        <is>
          <t>SE_mysql.Flagtypes.Name</t>
        </is>
      </c>
      <c r="F304" t="inlineStr">
        <is>
          <t>P</t>
        </is>
      </c>
    </row>
    <row r="305">
      <c r="A305" t="inlineStr">
        <is>
          <t>S059</t>
        </is>
      </c>
      <c r="B305" t="inlineStr">
        <is>
          <t>X2</t>
        </is>
      </c>
      <c r="C305" t="n">
        <v>3</v>
      </c>
      <c r="D305" t="inlineStr">
        <is>
          <t>Attribute</t>
        </is>
      </c>
      <c r="E305" t="inlineStr">
        <is>
          <t>SE_mysql.postes.Id</t>
        </is>
      </c>
      <c r="F305" t="inlineStr">
        <is>
          <t>P</t>
        </is>
      </c>
    </row>
    <row r="306">
      <c r="A306" t="inlineStr">
        <is>
          <t>S060</t>
        </is>
      </c>
      <c r="B306" t="inlineStr">
        <is>
          <t>X2</t>
        </is>
      </c>
      <c r="C306" t="n">
        <v>4</v>
      </c>
      <c r="D306" t="inlineStr">
        <is>
          <t>Dataset</t>
        </is>
      </c>
      <c r="E306" t="inlineStr">
        <is>
          <t>SE_mysql.Votes</t>
        </is>
      </c>
      <c r="F306" t="inlineStr">
        <is>
          <t>F</t>
        </is>
      </c>
    </row>
    <row r="307">
      <c r="A307" t="inlineStr">
        <is>
          <t>S060</t>
        </is>
      </c>
      <c r="B307" t="inlineStr">
        <is>
          <t>X2</t>
        </is>
      </c>
      <c r="C307" t="n">
        <v>4</v>
      </c>
      <c r="D307" t="inlineStr">
        <is>
          <t>Dataset</t>
        </is>
      </c>
      <c r="E307" t="inlineStr">
        <is>
          <t>SE_mysql.Flagtypes</t>
        </is>
      </c>
      <c r="F307" t="inlineStr">
        <is>
          <t>D</t>
        </is>
      </c>
    </row>
    <row r="308">
      <c r="A308" t="inlineStr">
        <is>
          <t>S060</t>
        </is>
      </c>
      <c r="B308" t="inlineStr">
        <is>
          <t>X2</t>
        </is>
      </c>
      <c r="C308" t="n">
        <v>4</v>
      </c>
      <c r="D308" t="inlineStr">
        <is>
          <t>Attribute</t>
        </is>
      </c>
      <c r="E308" t="inlineStr">
        <is>
          <t>SE_mysql.Votes.BountyAmount</t>
        </is>
      </c>
      <c r="F308" t="inlineStr">
        <is>
          <t>M</t>
        </is>
      </c>
    </row>
    <row r="309">
      <c r="A309" t="inlineStr">
        <is>
          <t>S060</t>
        </is>
      </c>
      <c r="B309" t="inlineStr">
        <is>
          <t>X2</t>
        </is>
      </c>
      <c r="C309" t="n">
        <v>4</v>
      </c>
      <c r="D309" t="inlineStr">
        <is>
          <t>Attribute</t>
        </is>
      </c>
      <c r="E309" t="inlineStr">
        <is>
          <t>SE_mysql.Flagtypes.Name</t>
        </is>
      </c>
      <c r="F309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Analyste</t>
        </is>
      </c>
      <c r="B1" s="1" t="inlineStr">
        <is>
          <t>SE_mysql.postes (F)</t>
        </is>
      </c>
      <c r="C1" s="1" t="inlineStr">
        <is>
          <t>SE_mysql.postes (D)</t>
        </is>
      </c>
      <c r="D1" s="1" t="inlineStr">
        <is>
          <t>SE_mysql.Posttypes (F)</t>
        </is>
      </c>
      <c r="E1" s="1" t="inlineStr">
        <is>
          <t>SE_mysql.Posttypes (D)</t>
        </is>
      </c>
      <c r="F1" s="1" t="inlineStr">
        <is>
          <t>SE_mysql.Users (F)</t>
        </is>
      </c>
      <c r="G1" s="1" t="inlineStr">
        <is>
          <t>SE_mysql.Users (D)</t>
        </is>
      </c>
      <c r="H1" s="1" t="inlineStr">
        <is>
          <t>SE_mysql.Flagtypes (F)</t>
        </is>
      </c>
      <c r="I1" s="1" t="inlineStr">
        <is>
          <t>SE_mysql.Flagtypes (D)</t>
        </is>
      </c>
      <c r="J1" s="1" t="inlineStr">
        <is>
          <t>SE_mysql.Votes (F)</t>
        </is>
      </c>
      <c r="K1" s="1" t="inlineStr">
        <is>
          <t>SE_mysql.Votes (D)</t>
        </is>
      </c>
      <c r="L1" s="1" t="inlineStr">
        <is>
          <t>SE_mysql.Votetypes (F)</t>
        </is>
      </c>
      <c r="M1" s="1" t="inlineStr">
        <is>
          <t>SE_mysql.Votetypes (D)</t>
        </is>
      </c>
      <c r="N1" s="1" t="inlineStr">
        <is>
          <t>SE_mongodb.Badges (F)</t>
        </is>
      </c>
      <c r="O1" s="1" t="inlineStr">
        <is>
          <t>SE_mongodb.Badges (D)</t>
        </is>
      </c>
      <c r="P1" s="1" t="inlineStr">
        <is>
          <t>SE_mongodb.Posts (F)</t>
        </is>
      </c>
      <c r="Q1" s="1" t="inlineStr">
        <is>
          <t>SE_mongodb.Posts (D)</t>
        </is>
      </c>
      <c r="R1" s="1" t="inlineStr">
        <is>
          <t>SE_mongodb.Users (F)</t>
        </is>
      </c>
      <c r="S1" s="1" t="inlineStr">
        <is>
          <t>SE_mongodb.Users (D)</t>
        </is>
      </c>
      <c r="T1" s="1" t="inlineStr">
        <is>
          <t>SE_mongodb.Comments (F)</t>
        </is>
      </c>
      <c r="U1" s="1" t="inlineStr">
        <is>
          <t>SE_mongodb.Comments (D)</t>
        </is>
      </c>
      <c r="V1" s="1" t="inlineStr">
        <is>
          <t>SE_neo4j.postlinks (F)</t>
        </is>
      </c>
      <c r="W1" s="1" t="inlineStr">
        <is>
          <t>SE_neo4j.postlinks (D)</t>
        </is>
      </c>
      <c r="X1" s="1" t="inlineStr">
        <is>
          <t>SE_neo4j.Posts (F)</t>
        </is>
      </c>
      <c r="Y1" s="1" t="inlineStr">
        <is>
          <t>SE_neo4j.Posts (D)</t>
        </is>
      </c>
      <c r="Z1" s="1" t="inlineStr">
        <is>
          <t>SE_neo4j.Comments (F)</t>
        </is>
      </c>
      <c r="AA1" s="1" t="inlineStr">
        <is>
          <t>SE_neo4j.Comments (D)</t>
        </is>
      </c>
      <c r="AB1" s="1" t="inlineStr">
        <is>
          <t>SE_neo4j.Users (F)</t>
        </is>
      </c>
      <c r="AC1" s="1" t="inlineStr">
        <is>
          <t>SE_neo4j.Users (D)</t>
        </is>
      </c>
      <c r="AD1" s="1" t="inlineStr">
        <is>
          <t>SE_neo4j.Tags (F)</t>
        </is>
      </c>
      <c r="AE1" s="1" t="inlineStr">
        <is>
          <t>SE_neo4j.Tags (D)</t>
        </is>
      </c>
    </row>
    <row r="2">
      <c r="A2" s="2" t="inlineStr">
        <is>
          <t>A1</t>
        </is>
      </c>
      <c r="B2" s="2">
        <f>COUNTIFS(SessionLog!$B$2:$B$309,$A2,SessionLog!$E$2:$E$309,"SE_mysql.postes",SessionLog!$F$2:$F$309,"F")</f>
        <v/>
      </c>
      <c r="C2" s="2">
        <f>COUNTIFS(SessionLog!$B$2:$B$309,$A2,SessionLog!$E$2:$E$309,"SE_mysql.postes",SessionLog!$F$2:$F$309,"D")</f>
        <v/>
      </c>
      <c r="D2" s="2">
        <f>COUNTIFS(SessionLog!$B$2:$B$309,$A2,SessionLog!$E$2:$E$309,"SE_mysql.Posttypes",SessionLog!$F$2:$F$309,"F")</f>
        <v/>
      </c>
      <c r="E2" s="2">
        <f>COUNTIFS(SessionLog!$B$2:$B$309,$A2,SessionLog!$E$2:$E$309,"SE_mysql.Posttypes",SessionLog!$F$2:$F$309,"D")</f>
        <v/>
      </c>
      <c r="F2" s="2">
        <f>COUNTIFS(SessionLog!$B$2:$B$309,$A2,SessionLog!$E$2:$E$309,"SE_mysql.Users",SessionLog!$F$2:$F$309,"F")</f>
        <v/>
      </c>
      <c r="G2" s="2">
        <f>COUNTIFS(SessionLog!$B$2:$B$309,$A2,SessionLog!$E$2:$E$309,"SE_mysql.Users",SessionLog!$F$2:$F$309,"D")</f>
        <v/>
      </c>
      <c r="H2" s="2">
        <f>COUNTIFS(SessionLog!$B$2:$B$309,$A2,SessionLog!$E$2:$E$309,"SE_mysql.Flagtypes",SessionLog!$F$2:$F$309,"F")</f>
        <v/>
      </c>
      <c r="I2" s="2">
        <f>COUNTIFS(SessionLog!$B$2:$B$309,$A2,SessionLog!$E$2:$E$309,"SE_mysql.Flagtypes",SessionLog!$F$2:$F$309,"D")</f>
        <v/>
      </c>
      <c r="J2" s="2">
        <f>COUNTIFS(SessionLog!$B$2:$B$309,$A2,SessionLog!$E$2:$E$309,"SE_mysql.Votes",SessionLog!$F$2:$F$309,"F")</f>
        <v/>
      </c>
      <c r="K2" s="2">
        <f>COUNTIFS(SessionLog!$B$2:$B$309,$A2,SessionLog!$E$2:$E$309,"SE_mysql.Votes",SessionLog!$F$2:$F$309,"D")</f>
        <v/>
      </c>
      <c r="L2" s="2">
        <f>COUNTIFS(SessionLog!$B$2:$B$309,$A2,SessionLog!$E$2:$E$309,"SE_mysql.Votetypes",SessionLog!$F$2:$F$309,"F")</f>
        <v/>
      </c>
      <c r="M2" s="2">
        <f>COUNTIFS(SessionLog!$B$2:$B$309,$A2,SessionLog!$E$2:$E$309,"SE_mysql.Votetypes",SessionLog!$F$2:$F$309,"D")</f>
        <v/>
      </c>
      <c r="N2" s="2">
        <f>COUNTIFS(SessionLog!$B$2:$B$309,$A2,SessionLog!$E$2:$E$309,"SE_mongodb.Badges",SessionLog!$F$2:$F$309,"F")</f>
        <v/>
      </c>
      <c r="O2" s="2">
        <f>COUNTIFS(SessionLog!$B$2:$B$309,$A2,SessionLog!$E$2:$E$309,"SE_mongodb.Badges",SessionLog!$F$2:$F$309,"D")</f>
        <v/>
      </c>
      <c r="P2" s="2">
        <f>COUNTIFS(SessionLog!$B$2:$B$309,$A2,SessionLog!$E$2:$E$309,"SE_mongodb.Posts",SessionLog!$F$2:$F$309,"F")</f>
        <v/>
      </c>
      <c r="Q2" s="2">
        <f>COUNTIFS(SessionLog!$B$2:$B$309,$A2,SessionLog!$E$2:$E$309,"SE_mongodb.Posts",SessionLog!$F$2:$F$309,"D")</f>
        <v/>
      </c>
      <c r="R2" s="2">
        <f>COUNTIFS(SessionLog!$B$2:$B$309,$A2,SessionLog!$E$2:$E$309,"SE_mongodb.Users",SessionLog!$F$2:$F$309,"F")</f>
        <v/>
      </c>
      <c r="S2" s="2">
        <f>COUNTIFS(SessionLog!$B$2:$B$309,$A2,SessionLog!$E$2:$E$309,"SE_mongodb.Users",SessionLog!$F$2:$F$309,"D")</f>
        <v/>
      </c>
      <c r="T2" s="2">
        <f>COUNTIFS(SessionLog!$B$2:$B$309,$A2,SessionLog!$E$2:$E$309,"SE_mongodb.Comments",SessionLog!$F$2:$F$309,"F")</f>
        <v/>
      </c>
      <c r="U2" s="2">
        <f>COUNTIFS(SessionLog!$B$2:$B$309,$A2,SessionLog!$E$2:$E$309,"SE_mongodb.Comments",SessionLog!$F$2:$F$309,"D")</f>
        <v/>
      </c>
      <c r="V2" s="2">
        <f>COUNTIFS(SessionLog!$B$2:$B$309,$A2,SessionLog!$E$2:$E$309,"SE_neo4j.postlinks",SessionLog!$F$2:$F$309,"F")</f>
        <v/>
      </c>
      <c r="W2" s="2">
        <f>COUNTIFS(SessionLog!$B$2:$B$309,$A2,SessionLog!$E$2:$E$309,"SE_neo4j.postlinks",SessionLog!$F$2:$F$309,"D")</f>
        <v/>
      </c>
      <c r="X2" s="2">
        <f>COUNTIFS(SessionLog!$B$2:$B$309,$A2,SessionLog!$E$2:$E$309,"SE_neo4j.Posts",SessionLog!$F$2:$F$309,"F")</f>
        <v/>
      </c>
      <c r="Y2" s="2">
        <f>COUNTIFS(SessionLog!$B$2:$B$309,$A2,SessionLog!$E$2:$E$309,"SE_neo4j.Posts",SessionLog!$F$2:$F$309,"D")</f>
        <v/>
      </c>
      <c r="Z2" s="2">
        <f>COUNTIFS(SessionLog!$B$2:$B$309,$A2,SessionLog!$E$2:$E$309,"SE_neo4j.Comments",SessionLog!$F$2:$F$309,"F")</f>
        <v/>
      </c>
      <c r="AA2" s="2">
        <f>COUNTIFS(SessionLog!$B$2:$B$309,$A2,SessionLog!$E$2:$E$309,"SE_neo4j.Comments",SessionLog!$F$2:$F$309,"D")</f>
        <v/>
      </c>
      <c r="AB2" s="2">
        <f>COUNTIFS(SessionLog!$B$2:$B$309,$A2,SessionLog!$E$2:$E$309,"SE_neo4j.Users",SessionLog!$F$2:$F$309,"F")</f>
        <v/>
      </c>
      <c r="AC2" s="2">
        <f>COUNTIFS(SessionLog!$B$2:$B$309,$A2,SessionLog!$E$2:$E$309,"SE_neo4j.Users",SessionLog!$F$2:$F$309,"D")</f>
        <v/>
      </c>
      <c r="AD2" s="2">
        <f>COUNTIFS(SessionLog!$B$2:$B$309,$A2,SessionLog!$E$2:$E$309,"SE_neo4j.Tags",SessionLog!$F$2:$F$309,"F")</f>
        <v/>
      </c>
      <c r="AE2" s="2">
        <f>COUNTIFS(SessionLog!$B$2:$B$309,$A2,SessionLog!$E$2:$E$309,"SE_neo4j.Tags",SessionLog!$F$2:$F$309,"D")</f>
        <v/>
      </c>
    </row>
    <row r="3">
      <c r="A3" s="2" t="inlineStr">
        <is>
          <t>A2</t>
        </is>
      </c>
      <c r="B3" s="2">
        <f>COUNTIFS(SessionLog!$B$2:$B$309,$A3,SessionLog!$E$2:$E$309,"SE_mysql.postes",SessionLog!$F$2:$F$309,"F")</f>
        <v/>
      </c>
      <c r="C3" s="2">
        <f>COUNTIFS(SessionLog!$B$2:$B$309,$A3,SessionLog!$E$2:$E$309,"SE_mysql.postes",SessionLog!$F$2:$F$309,"D")</f>
        <v/>
      </c>
      <c r="D3" s="2">
        <f>COUNTIFS(SessionLog!$B$2:$B$309,$A3,SessionLog!$E$2:$E$309,"SE_mysql.Posttypes",SessionLog!$F$2:$F$309,"F")</f>
        <v/>
      </c>
      <c r="E3" s="2">
        <f>COUNTIFS(SessionLog!$B$2:$B$309,$A3,SessionLog!$E$2:$E$309,"SE_mysql.Posttypes",SessionLog!$F$2:$F$309,"D")</f>
        <v/>
      </c>
      <c r="F3" s="2">
        <f>COUNTIFS(SessionLog!$B$2:$B$309,$A3,SessionLog!$E$2:$E$309,"SE_mysql.Users",SessionLog!$F$2:$F$309,"F")</f>
        <v/>
      </c>
      <c r="G3" s="2">
        <f>COUNTIFS(SessionLog!$B$2:$B$309,$A3,SessionLog!$E$2:$E$309,"SE_mysql.Users",SessionLog!$F$2:$F$309,"D")</f>
        <v/>
      </c>
      <c r="H3" s="2">
        <f>COUNTIFS(SessionLog!$B$2:$B$309,$A3,SessionLog!$E$2:$E$309,"SE_mysql.Flagtypes",SessionLog!$F$2:$F$309,"F")</f>
        <v/>
      </c>
      <c r="I3" s="2">
        <f>COUNTIFS(SessionLog!$B$2:$B$309,$A3,SessionLog!$E$2:$E$309,"SE_mysql.Flagtypes",SessionLog!$F$2:$F$309,"D")</f>
        <v/>
      </c>
      <c r="J3" s="2">
        <f>COUNTIFS(SessionLog!$B$2:$B$309,$A3,SessionLog!$E$2:$E$309,"SE_mysql.Votes",SessionLog!$F$2:$F$309,"F")</f>
        <v/>
      </c>
      <c r="K3" s="2">
        <f>COUNTIFS(SessionLog!$B$2:$B$309,$A3,SessionLog!$E$2:$E$309,"SE_mysql.Votes",SessionLog!$F$2:$F$309,"D")</f>
        <v/>
      </c>
      <c r="L3" s="2">
        <f>COUNTIFS(SessionLog!$B$2:$B$309,$A3,SessionLog!$E$2:$E$309,"SE_mysql.Votetypes",SessionLog!$F$2:$F$309,"F")</f>
        <v/>
      </c>
      <c r="M3" s="2">
        <f>COUNTIFS(SessionLog!$B$2:$B$309,$A3,SessionLog!$E$2:$E$309,"SE_mysql.Votetypes",SessionLog!$F$2:$F$309,"D")</f>
        <v/>
      </c>
      <c r="N3" s="2">
        <f>COUNTIFS(SessionLog!$B$2:$B$309,$A3,SessionLog!$E$2:$E$309,"SE_mongodb.Badges",SessionLog!$F$2:$F$309,"F")</f>
        <v/>
      </c>
      <c r="O3" s="2">
        <f>COUNTIFS(SessionLog!$B$2:$B$309,$A3,SessionLog!$E$2:$E$309,"SE_mongodb.Badges",SessionLog!$F$2:$F$309,"D")</f>
        <v/>
      </c>
      <c r="P3" s="2">
        <f>COUNTIFS(SessionLog!$B$2:$B$309,$A3,SessionLog!$E$2:$E$309,"SE_mongodb.Posts",SessionLog!$F$2:$F$309,"F")</f>
        <v/>
      </c>
      <c r="Q3" s="2">
        <f>COUNTIFS(SessionLog!$B$2:$B$309,$A3,SessionLog!$E$2:$E$309,"SE_mongodb.Posts",SessionLog!$F$2:$F$309,"D")</f>
        <v/>
      </c>
      <c r="R3" s="2">
        <f>COUNTIFS(SessionLog!$B$2:$B$309,$A3,SessionLog!$E$2:$E$309,"SE_mongodb.Users",SessionLog!$F$2:$F$309,"F")</f>
        <v/>
      </c>
      <c r="S3" s="2">
        <f>COUNTIFS(SessionLog!$B$2:$B$309,$A3,SessionLog!$E$2:$E$309,"SE_mongodb.Users",SessionLog!$F$2:$F$309,"D")</f>
        <v/>
      </c>
      <c r="T3" s="2">
        <f>COUNTIFS(SessionLog!$B$2:$B$309,$A3,SessionLog!$E$2:$E$309,"SE_mongodb.Comments",SessionLog!$F$2:$F$309,"F")</f>
        <v/>
      </c>
      <c r="U3" s="2">
        <f>COUNTIFS(SessionLog!$B$2:$B$309,$A3,SessionLog!$E$2:$E$309,"SE_mongodb.Comments",SessionLog!$F$2:$F$309,"D")</f>
        <v/>
      </c>
      <c r="V3" s="2">
        <f>COUNTIFS(SessionLog!$B$2:$B$309,$A3,SessionLog!$E$2:$E$309,"SE_neo4j.postlinks",SessionLog!$F$2:$F$309,"F")</f>
        <v/>
      </c>
      <c r="W3" s="2">
        <f>COUNTIFS(SessionLog!$B$2:$B$309,$A3,SessionLog!$E$2:$E$309,"SE_neo4j.postlinks",SessionLog!$F$2:$F$309,"D")</f>
        <v/>
      </c>
      <c r="X3" s="2">
        <f>COUNTIFS(SessionLog!$B$2:$B$309,$A3,SessionLog!$E$2:$E$309,"SE_neo4j.Posts",SessionLog!$F$2:$F$309,"F")</f>
        <v/>
      </c>
      <c r="Y3" s="2">
        <f>COUNTIFS(SessionLog!$B$2:$B$309,$A3,SessionLog!$E$2:$E$309,"SE_neo4j.Posts",SessionLog!$F$2:$F$309,"D")</f>
        <v/>
      </c>
      <c r="Z3" s="2">
        <f>COUNTIFS(SessionLog!$B$2:$B$309,$A3,SessionLog!$E$2:$E$309,"SE_neo4j.Comments",SessionLog!$F$2:$F$309,"F")</f>
        <v/>
      </c>
      <c r="AA3" s="2">
        <f>COUNTIFS(SessionLog!$B$2:$B$309,$A3,SessionLog!$E$2:$E$309,"SE_neo4j.Comments",SessionLog!$F$2:$F$309,"D")</f>
        <v/>
      </c>
      <c r="AB3" s="2">
        <f>COUNTIFS(SessionLog!$B$2:$B$309,$A3,SessionLog!$E$2:$E$309,"SE_neo4j.Users",SessionLog!$F$2:$F$309,"F")</f>
        <v/>
      </c>
      <c r="AC3" s="2">
        <f>COUNTIFS(SessionLog!$B$2:$B$309,$A3,SessionLog!$E$2:$E$309,"SE_neo4j.Users",SessionLog!$F$2:$F$309,"D")</f>
        <v/>
      </c>
      <c r="AD3" s="2">
        <f>COUNTIFS(SessionLog!$B$2:$B$309,$A3,SessionLog!$E$2:$E$309,"SE_neo4j.Tags",SessionLog!$F$2:$F$309,"F")</f>
        <v/>
      </c>
      <c r="AE3" s="2">
        <f>COUNTIFS(SessionLog!$B$2:$B$309,$A3,SessionLog!$E$2:$E$309,"SE_neo4j.Tags",SessionLog!$F$2:$F$309,"D")</f>
        <v/>
      </c>
    </row>
    <row r="4">
      <c r="A4" s="2" t="inlineStr">
        <is>
          <t>A3</t>
        </is>
      </c>
      <c r="B4" s="2">
        <f>COUNTIFS(SessionLog!$B$2:$B$309,$A4,SessionLog!$E$2:$E$309,"SE_mysql.postes",SessionLog!$F$2:$F$309,"F")</f>
        <v/>
      </c>
      <c r="C4" s="2">
        <f>COUNTIFS(SessionLog!$B$2:$B$309,$A4,SessionLog!$E$2:$E$309,"SE_mysql.postes",SessionLog!$F$2:$F$309,"D")</f>
        <v/>
      </c>
      <c r="D4" s="2">
        <f>COUNTIFS(SessionLog!$B$2:$B$309,$A4,SessionLog!$E$2:$E$309,"SE_mysql.Posttypes",SessionLog!$F$2:$F$309,"F")</f>
        <v/>
      </c>
      <c r="E4" s="2">
        <f>COUNTIFS(SessionLog!$B$2:$B$309,$A4,SessionLog!$E$2:$E$309,"SE_mysql.Posttypes",SessionLog!$F$2:$F$309,"D")</f>
        <v/>
      </c>
      <c r="F4" s="2">
        <f>COUNTIFS(SessionLog!$B$2:$B$309,$A4,SessionLog!$E$2:$E$309,"SE_mysql.Users",SessionLog!$F$2:$F$309,"F")</f>
        <v/>
      </c>
      <c r="G4" s="2">
        <f>COUNTIFS(SessionLog!$B$2:$B$309,$A4,SessionLog!$E$2:$E$309,"SE_mysql.Users",SessionLog!$F$2:$F$309,"D")</f>
        <v/>
      </c>
      <c r="H4" s="2">
        <f>COUNTIFS(SessionLog!$B$2:$B$309,$A4,SessionLog!$E$2:$E$309,"SE_mysql.Flagtypes",SessionLog!$F$2:$F$309,"F")</f>
        <v/>
      </c>
      <c r="I4" s="2">
        <f>COUNTIFS(SessionLog!$B$2:$B$309,$A4,SessionLog!$E$2:$E$309,"SE_mysql.Flagtypes",SessionLog!$F$2:$F$309,"D")</f>
        <v/>
      </c>
      <c r="J4" s="2">
        <f>COUNTIFS(SessionLog!$B$2:$B$309,$A4,SessionLog!$E$2:$E$309,"SE_mysql.Votes",SessionLog!$F$2:$F$309,"F")</f>
        <v/>
      </c>
      <c r="K4" s="2">
        <f>COUNTIFS(SessionLog!$B$2:$B$309,$A4,SessionLog!$E$2:$E$309,"SE_mysql.Votes",SessionLog!$F$2:$F$309,"D")</f>
        <v/>
      </c>
      <c r="L4" s="2">
        <f>COUNTIFS(SessionLog!$B$2:$B$309,$A4,SessionLog!$E$2:$E$309,"SE_mysql.Votetypes",SessionLog!$F$2:$F$309,"F")</f>
        <v/>
      </c>
      <c r="M4" s="2">
        <f>COUNTIFS(SessionLog!$B$2:$B$309,$A4,SessionLog!$E$2:$E$309,"SE_mysql.Votetypes",SessionLog!$F$2:$F$309,"D")</f>
        <v/>
      </c>
      <c r="N4" s="2">
        <f>COUNTIFS(SessionLog!$B$2:$B$309,$A4,SessionLog!$E$2:$E$309,"SE_mongodb.Badges",SessionLog!$F$2:$F$309,"F")</f>
        <v/>
      </c>
      <c r="O4" s="2">
        <f>COUNTIFS(SessionLog!$B$2:$B$309,$A4,SessionLog!$E$2:$E$309,"SE_mongodb.Badges",SessionLog!$F$2:$F$309,"D")</f>
        <v/>
      </c>
      <c r="P4" s="2">
        <f>COUNTIFS(SessionLog!$B$2:$B$309,$A4,SessionLog!$E$2:$E$309,"SE_mongodb.Posts",SessionLog!$F$2:$F$309,"F")</f>
        <v/>
      </c>
      <c r="Q4" s="2">
        <f>COUNTIFS(SessionLog!$B$2:$B$309,$A4,SessionLog!$E$2:$E$309,"SE_mongodb.Posts",SessionLog!$F$2:$F$309,"D")</f>
        <v/>
      </c>
      <c r="R4" s="2">
        <f>COUNTIFS(SessionLog!$B$2:$B$309,$A4,SessionLog!$E$2:$E$309,"SE_mongodb.Users",SessionLog!$F$2:$F$309,"F")</f>
        <v/>
      </c>
      <c r="S4" s="2">
        <f>COUNTIFS(SessionLog!$B$2:$B$309,$A4,SessionLog!$E$2:$E$309,"SE_mongodb.Users",SessionLog!$F$2:$F$309,"D")</f>
        <v/>
      </c>
      <c r="T4" s="2">
        <f>COUNTIFS(SessionLog!$B$2:$B$309,$A4,SessionLog!$E$2:$E$309,"SE_mongodb.Comments",SessionLog!$F$2:$F$309,"F")</f>
        <v/>
      </c>
      <c r="U4" s="2">
        <f>COUNTIFS(SessionLog!$B$2:$B$309,$A4,SessionLog!$E$2:$E$309,"SE_mongodb.Comments",SessionLog!$F$2:$F$309,"D")</f>
        <v/>
      </c>
      <c r="V4" s="2">
        <f>COUNTIFS(SessionLog!$B$2:$B$309,$A4,SessionLog!$E$2:$E$309,"SE_neo4j.postlinks",SessionLog!$F$2:$F$309,"F")</f>
        <v/>
      </c>
      <c r="W4" s="2">
        <f>COUNTIFS(SessionLog!$B$2:$B$309,$A4,SessionLog!$E$2:$E$309,"SE_neo4j.postlinks",SessionLog!$F$2:$F$309,"D")</f>
        <v/>
      </c>
      <c r="X4" s="2">
        <f>COUNTIFS(SessionLog!$B$2:$B$309,$A4,SessionLog!$E$2:$E$309,"SE_neo4j.Posts",SessionLog!$F$2:$F$309,"F")</f>
        <v/>
      </c>
      <c r="Y4" s="2">
        <f>COUNTIFS(SessionLog!$B$2:$B$309,$A4,SessionLog!$E$2:$E$309,"SE_neo4j.Posts",SessionLog!$F$2:$F$309,"D")</f>
        <v/>
      </c>
      <c r="Z4" s="2">
        <f>COUNTIFS(SessionLog!$B$2:$B$309,$A4,SessionLog!$E$2:$E$309,"SE_neo4j.Comments",SessionLog!$F$2:$F$309,"F")</f>
        <v/>
      </c>
      <c r="AA4" s="2">
        <f>COUNTIFS(SessionLog!$B$2:$B$309,$A4,SessionLog!$E$2:$E$309,"SE_neo4j.Comments",SessionLog!$F$2:$F$309,"D")</f>
        <v/>
      </c>
      <c r="AB4" s="2">
        <f>COUNTIFS(SessionLog!$B$2:$B$309,$A4,SessionLog!$E$2:$E$309,"SE_neo4j.Users",SessionLog!$F$2:$F$309,"F")</f>
        <v/>
      </c>
      <c r="AC4" s="2">
        <f>COUNTIFS(SessionLog!$B$2:$B$309,$A4,SessionLog!$E$2:$E$309,"SE_neo4j.Users",SessionLog!$F$2:$F$309,"D")</f>
        <v/>
      </c>
      <c r="AD4" s="2">
        <f>COUNTIFS(SessionLog!$B$2:$B$309,$A4,SessionLog!$E$2:$E$309,"SE_neo4j.Tags",SessionLog!$F$2:$F$309,"F")</f>
        <v/>
      </c>
      <c r="AE4" s="2">
        <f>COUNTIFS(SessionLog!$B$2:$B$309,$A4,SessionLog!$E$2:$E$309,"SE_neo4j.Tags",SessionLog!$F$2:$F$309,"D")</f>
        <v/>
      </c>
    </row>
    <row r="5">
      <c r="A5" s="2" t="inlineStr">
        <is>
          <t>B1</t>
        </is>
      </c>
      <c r="B5" s="2">
        <f>COUNTIFS(SessionLog!$B$2:$B$309,$A5,SessionLog!$E$2:$E$309,"SE_mysql.postes",SessionLog!$F$2:$F$309,"F")</f>
        <v/>
      </c>
      <c r="C5" s="2">
        <f>COUNTIFS(SessionLog!$B$2:$B$309,$A5,SessionLog!$E$2:$E$309,"SE_mysql.postes",SessionLog!$F$2:$F$309,"D")</f>
        <v/>
      </c>
      <c r="D5" s="2">
        <f>COUNTIFS(SessionLog!$B$2:$B$309,$A5,SessionLog!$E$2:$E$309,"SE_mysql.Posttypes",SessionLog!$F$2:$F$309,"F")</f>
        <v/>
      </c>
      <c r="E5" s="2">
        <f>COUNTIFS(SessionLog!$B$2:$B$309,$A5,SessionLog!$E$2:$E$309,"SE_mysql.Posttypes",SessionLog!$F$2:$F$309,"D")</f>
        <v/>
      </c>
      <c r="F5" s="2">
        <f>COUNTIFS(SessionLog!$B$2:$B$309,$A5,SessionLog!$E$2:$E$309,"SE_mysql.Users",SessionLog!$F$2:$F$309,"F")</f>
        <v/>
      </c>
      <c r="G5" s="2">
        <f>COUNTIFS(SessionLog!$B$2:$B$309,$A5,SessionLog!$E$2:$E$309,"SE_mysql.Users",SessionLog!$F$2:$F$309,"D")</f>
        <v/>
      </c>
      <c r="H5" s="2">
        <f>COUNTIFS(SessionLog!$B$2:$B$309,$A5,SessionLog!$E$2:$E$309,"SE_mysql.Flagtypes",SessionLog!$F$2:$F$309,"F")</f>
        <v/>
      </c>
      <c r="I5" s="2">
        <f>COUNTIFS(SessionLog!$B$2:$B$309,$A5,SessionLog!$E$2:$E$309,"SE_mysql.Flagtypes",SessionLog!$F$2:$F$309,"D")</f>
        <v/>
      </c>
      <c r="J5" s="2">
        <f>COUNTIFS(SessionLog!$B$2:$B$309,$A5,SessionLog!$E$2:$E$309,"SE_mysql.Votes",SessionLog!$F$2:$F$309,"F")</f>
        <v/>
      </c>
      <c r="K5" s="2">
        <f>COUNTIFS(SessionLog!$B$2:$B$309,$A5,SessionLog!$E$2:$E$309,"SE_mysql.Votes",SessionLog!$F$2:$F$309,"D")</f>
        <v/>
      </c>
      <c r="L5" s="2">
        <f>COUNTIFS(SessionLog!$B$2:$B$309,$A5,SessionLog!$E$2:$E$309,"SE_mysql.Votetypes",SessionLog!$F$2:$F$309,"F")</f>
        <v/>
      </c>
      <c r="M5" s="2">
        <f>COUNTIFS(SessionLog!$B$2:$B$309,$A5,SessionLog!$E$2:$E$309,"SE_mysql.Votetypes",SessionLog!$F$2:$F$309,"D")</f>
        <v/>
      </c>
      <c r="N5" s="2">
        <f>COUNTIFS(SessionLog!$B$2:$B$309,$A5,SessionLog!$E$2:$E$309,"SE_mongodb.Badges",SessionLog!$F$2:$F$309,"F")</f>
        <v/>
      </c>
      <c r="O5" s="2">
        <f>COUNTIFS(SessionLog!$B$2:$B$309,$A5,SessionLog!$E$2:$E$309,"SE_mongodb.Badges",SessionLog!$F$2:$F$309,"D")</f>
        <v/>
      </c>
      <c r="P5" s="2">
        <f>COUNTIFS(SessionLog!$B$2:$B$309,$A5,SessionLog!$E$2:$E$309,"SE_mongodb.Posts",SessionLog!$F$2:$F$309,"F")</f>
        <v/>
      </c>
      <c r="Q5" s="2">
        <f>COUNTIFS(SessionLog!$B$2:$B$309,$A5,SessionLog!$E$2:$E$309,"SE_mongodb.Posts",SessionLog!$F$2:$F$309,"D")</f>
        <v/>
      </c>
      <c r="R5" s="2">
        <f>COUNTIFS(SessionLog!$B$2:$B$309,$A5,SessionLog!$E$2:$E$309,"SE_mongodb.Users",SessionLog!$F$2:$F$309,"F")</f>
        <v/>
      </c>
      <c r="S5" s="2">
        <f>COUNTIFS(SessionLog!$B$2:$B$309,$A5,SessionLog!$E$2:$E$309,"SE_mongodb.Users",SessionLog!$F$2:$F$309,"D")</f>
        <v/>
      </c>
      <c r="T5" s="2">
        <f>COUNTIFS(SessionLog!$B$2:$B$309,$A5,SessionLog!$E$2:$E$309,"SE_mongodb.Comments",SessionLog!$F$2:$F$309,"F")</f>
        <v/>
      </c>
      <c r="U5" s="2">
        <f>COUNTIFS(SessionLog!$B$2:$B$309,$A5,SessionLog!$E$2:$E$309,"SE_mongodb.Comments",SessionLog!$F$2:$F$309,"D")</f>
        <v/>
      </c>
      <c r="V5" s="2">
        <f>COUNTIFS(SessionLog!$B$2:$B$309,$A5,SessionLog!$E$2:$E$309,"SE_neo4j.postlinks",SessionLog!$F$2:$F$309,"F")</f>
        <v/>
      </c>
      <c r="W5" s="2">
        <f>COUNTIFS(SessionLog!$B$2:$B$309,$A5,SessionLog!$E$2:$E$309,"SE_neo4j.postlinks",SessionLog!$F$2:$F$309,"D")</f>
        <v/>
      </c>
      <c r="X5" s="2">
        <f>COUNTIFS(SessionLog!$B$2:$B$309,$A5,SessionLog!$E$2:$E$309,"SE_neo4j.Posts",SessionLog!$F$2:$F$309,"F")</f>
        <v/>
      </c>
      <c r="Y5" s="2">
        <f>COUNTIFS(SessionLog!$B$2:$B$309,$A5,SessionLog!$E$2:$E$309,"SE_neo4j.Posts",SessionLog!$F$2:$F$309,"D")</f>
        <v/>
      </c>
      <c r="Z5" s="2">
        <f>COUNTIFS(SessionLog!$B$2:$B$309,$A5,SessionLog!$E$2:$E$309,"SE_neo4j.Comments",SessionLog!$F$2:$F$309,"F")</f>
        <v/>
      </c>
      <c r="AA5" s="2">
        <f>COUNTIFS(SessionLog!$B$2:$B$309,$A5,SessionLog!$E$2:$E$309,"SE_neo4j.Comments",SessionLog!$F$2:$F$309,"D")</f>
        <v/>
      </c>
      <c r="AB5" s="2">
        <f>COUNTIFS(SessionLog!$B$2:$B$309,$A5,SessionLog!$E$2:$E$309,"SE_neo4j.Users",SessionLog!$F$2:$F$309,"F")</f>
        <v/>
      </c>
      <c r="AC5" s="2">
        <f>COUNTIFS(SessionLog!$B$2:$B$309,$A5,SessionLog!$E$2:$E$309,"SE_neo4j.Users",SessionLog!$F$2:$F$309,"D")</f>
        <v/>
      </c>
      <c r="AD5" s="2">
        <f>COUNTIFS(SessionLog!$B$2:$B$309,$A5,SessionLog!$E$2:$E$309,"SE_neo4j.Tags",SessionLog!$F$2:$F$309,"F")</f>
        <v/>
      </c>
      <c r="AE5" s="2">
        <f>COUNTIFS(SessionLog!$B$2:$B$309,$A5,SessionLog!$E$2:$E$309,"SE_neo4j.Tags",SessionLog!$F$2:$F$309,"D")</f>
        <v/>
      </c>
    </row>
    <row r="6">
      <c r="A6" s="2" t="inlineStr">
        <is>
          <t>B2</t>
        </is>
      </c>
      <c r="B6" s="2">
        <f>COUNTIFS(SessionLog!$B$2:$B$309,$A6,SessionLog!$E$2:$E$309,"SE_mysql.postes",SessionLog!$F$2:$F$309,"F")</f>
        <v/>
      </c>
      <c r="C6" s="2">
        <f>COUNTIFS(SessionLog!$B$2:$B$309,$A6,SessionLog!$E$2:$E$309,"SE_mysql.postes",SessionLog!$F$2:$F$309,"D")</f>
        <v/>
      </c>
      <c r="D6" s="2">
        <f>COUNTIFS(SessionLog!$B$2:$B$309,$A6,SessionLog!$E$2:$E$309,"SE_mysql.Posttypes",SessionLog!$F$2:$F$309,"F")</f>
        <v/>
      </c>
      <c r="E6" s="2">
        <f>COUNTIFS(SessionLog!$B$2:$B$309,$A6,SessionLog!$E$2:$E$309,"SE_mysql.Posttypes",SessionLog!$F$2:$F$309,"D")</f>
        <v/>
      </c>
      <c r="F6" s="2">
        <f>COUNTIFS(SessionLog!$B$2:$B$309,$A6,SessionLog!$E$2:$E$309,"SE_mysql.Users",SessionLog!$F$2:$F$309,"F")</f>
        <v/>
      </c>
      <c r="G6" s="2">
        <f>COUNTIFS(SessionLog!$B$2:$B$309,$A6,SessionLog!$E$2:$E$309,"SE_mysql.Users",SessionLog!$F$2:$F$309,"D")</f>
        <v/>
      </c>
      <c r="H6" s="2">
        <f>COUNTIFS(SessionLog!$B$2:$B$309,$A6,SessionLog!$E$2:$E$309,"SE_mysql.Flagtypes",SessionLog!$F$2:$F$309,"F")</f>
        <v/>
      </c>
      <c r="I6" s="2">
        <f>COUNTIFS(SessionLog!$B$2:$B$309,$A6,SessionLog!$E$2:$E$309,"SE_mysql.Flagtypes",SessionLog!$F$2:$F$309,"D")</f>
        <v/>
      </c>
      <c r="J6" s="2">
        <f>COUNTIFS(SessionLog!$B$2:$B$309,$A6,SessionLog!$E$2:$E$309,"SE_mysql.Votes",SessionLog!$F$2:$F$309,"F")</f>
        <v/>
      </c>
      <c r="K6" s="2">
        <f>COUNTIFS(SessionLog!$B$2:$B$309,$A6,SessionLog!$E$2:$E$309,"SE_mysql.Votes",SessionLog!$F$2:$F$309,"D")</f>
        <v/>
      </c>
      <c r="L6" s="2">
        <f>COUNTIFS(SessionLog!$B$2:$B$309,$A6,SessionLog!$E$2:$E$309,"SE_mysql.Votetypes",SessionLog!$F$2:$F$309,"F")</f>
        <v/>
      </c>
      <c r="M6" s="2">
        <f>COUNTIFS(SessionLog!$B$2:$B$309,$A6,SessionLog!$E$2:$E$309,"SE_mysql.Votetypes",SessionLog!$F$2:$F$309,"D")</f>
        <v/>
      </c>
      <c r="N6" s="2">
        <f>COUNTIFS(SessionLog!$B$2:$B$309,$A6,SessionLog!$E$2:$E$309,"SE_mongodb.Badges",SessionLog!$F$2:$F$309,"F")</f>
        <v/>
      </c>
      <c r="O6" s="2">
        <f>COUNTIFS(SessionLog!$B$2:$B$309,$A6,SessionLog!$E$2:$E$309,"SE_mongodb.Badges",SessionLog!$F$2:$F$309,"D")</f>
        <v/>
      </c>
      <c r="P6" s="2">
        <f>COUNTIFS(SessionLog!$B$2:$B$309,$A6,SessionLog!$E$2:$E$309,"SE_mongodb.Posts",SessionLog!$F$2:$F$309,"F")</f>
        <v/>
      </c>
      <c r="Q6" s="2">
        <f>COUNTIFS(SessionLog!$B$2:$B$309,$A6,SessionLog!$E$2:$E$309,"SE_mongodb.Posts",SessionLog!$F$2:$F$309,"D")</f>
        <v/>
      </c>
      <c r="R6" s="2">
        <f>COUNTIFS(SessionLog!$B$2:$B$309,$A6,SessionLog!$E$2:$E$309,"SE_mongodb.Users",SessionLog!$F$2:$F$309,"F")</f>
        <v/>
      </c>
      <c r="S6" s="2">
        <f>COUNTIFS(SessionLog!$B$2:$B$309,$A6,SessionLog!$E$2:$E$309,"SE_mongodb.Users",SessionLog!$F$2:$F$309,"D")</f>
        <v/>
      </c>
      <c r="T6" s="2">
        <f>COUNTIFS(SessionLog!$B$2:$B$309,$A6,SessionLog!$E$2:$E$309,"SE_mongodb.Comments",SessionLog!$F$2:$F$309,"F")</f>
        <v/>
      </c>
      <c r="U6" s="2">
        <f>COUNTIFS(SessionLog!$B$2:$B$309,$A6,SessionLog!$E$2:$E$309,"SE_mongodb.Comments",SessionLog!$F$2:$F$309,"D")</f>
        <v/>
      </c>
      <c r="V6" s="2">
        <f>COUNTIFS(SessionLog!$B$2:$B$309,$A6,SessionLog!$E$2:$E$309,"SE_neo4j.postlinks",SessionLog!$F$2:$F$309,"F")</f>
        <v/>
      </c>
      <c r="W6" s="2">
        <f>COUNTIFS(SessionLog!$B$2:$B$309,$A6,SessionLog!$E$2:$E$309,"SE_neo4j.postlinks",SessionLog!$F$2:$F$309,"D")</f>
        <v/>
      </c>
      <c r="X6" s="2">
        <f>COUNTIFS(SessionLog!$B$2:$B$309,$A6,SessionLog!$E$2:$E$309,"SE_neo4j.Posts",SessionLog!$F$2:$F$309,"F")</f>
        <v/>
      </c>
      <c r="Y6" s="2">
        <f>COUNTIFS(SessionLog!$B$2:$B$309,$A6,SessionLog!$E$2:$E$309,"SE_neo4j.Posts",SessionLog!$F$2:$F$309,"D")</f>
        <v/>
      </c>
      <c r="Z6" s="2">
        <f>COUNTIFS(SessionLog!$B$2:$B$309,$A6,SessionLog!$E$2:$E$309,"SE_neo4j.Comments",SessionLog!$F$2:$F$309,"F")</f>
        <v/>
      </c>
      <c r="AA6" s="2">
        <f>COUNTIFS(SessionLog!$B$2:$B$309,$A6,SessionLog!$E$2:$E$309,"SE_neo4j.Comments",SessionLog!$F$2:$F$309,"D")</f>
        <v/>
      </c>
      <c r="AB6" s="2">
        <f>COUNTIFS(SessionLog!$B$2:$B$309,$A6,SessionLog!$E$2:$E$309,"SE_neo4j.Users",SessionLog!$F$2:$F$309,"F")</f>
        <v/>
      </c>
      <c r="AC6" s="2">
        <f>COUNTIFS(SessionLog!$B$2:$B$309,$A6,SessionLog!$E$2:$E$309,"SE_neo4j.Users",SessionLog!$F$2:$F$309,"D")</f>
        <v/>
      </c>
      <c r="AD6" s="2">
        <f>COUNTIFS(SessionLog!$B$2:$B$309,$A6,SessionLog!$E$2:$E$309,"SE_neo4j.Tags",SessionLog!$F$2:$F$309,"F")</f>
        <v/>
      </c>
      <c r="AE6" s="2">
        <f>COUNTIFS(SessionLog!$B$2:$B$309,$A6,SessionLog!$E$2:$E$309,"SE_neo4j.Tags",SessionLog!$F$2:$F$309,"D")</f>
        <v/>
      </c>
    </row>
    <row r="7">
      <c r="A7" s="2" t="inlineStr">
        <is>
          <t>B3</t>
        </is>
      </c>
      <c r="B7" s="2">
        <f>COUNTIFS(SessionLog!$B$2:$B$309,$A7,SessionLog!$E$2:$E$309,"SE_mysql.postes",SessionLog!$F$2:$F$309,"F")</f>
        <v/>
      </c>
      <c r="C7" s="2">
        <f>COUNTIFS(SessionLog!$B$2:$B$309,$A7,SessionLog!$E$2:$E$309,"SE_mysql.postes",SessionLog!$F$2:$F$309,"D")</f>
        <v/>
      </c>
      <c r="D7" s="2">
        <f>COUNTIFS(SessionLog!$B$2:$B$309,$A7,SessionLog!$E$2:$E$309,"SE_mysql.Posttypes",SessionLog!$F$2:$F$309,"F")</f>
        <v/>
      </c>
      <c r="E7" s="2">
        <f>COUNTIFS(SessionLog!$B$2:$B$309,$A7,SessionLog!$E$2:$E$309,"SE_mysql.Posttypes",SessionLog!$F$2:$F$309,"D")</f>
        <v/>
      </c>
      <c r="F7" s="2">
        <f>COUNTIFS(SessionLog!$B$2:$B$309,$A7,SessionLog!$E$2:$E$309,"SE_mysql.Users",SessionLog!$F$2:$F$309,"F")</f>
        <v/>
      </c>
      <c r="G7" s="2">
        <f>COUNTIFS(SessionLog!$B$2:$B$309,$A7,SessionLog!$E$2:$E$309,"SE_mysql.Users",SessionLog!$F$2:$F$309,"D")</f>
        <v/>
      </c>
      <c r="H7" s="2">
        <f>COUNTIFS(SessionLog!$B$2:$B$309,$A7,SessionLog!$E$2:$E$309,"SE_mysql.Flagtypes",SessionLog!$F$2:$F$309,"F")</f>
        <v/>
      </c>
      <c r="I7" s="2">
        <f>COUNTIFS(SessionLog!$B$2:$B$309,$A7,SessionLog!$E$2:$E$309,"SE_mysql.Flagtypes",SessionLog!$F$2:$F$309,"D")</f>
        <v/>
      </c>
      <c r="J7" s="2">
        <f>COUNTIFS(SessionLog!$B$2:$B$309,$A7,SessionLog!$E$2:$E$309,"SE_mysql.Votes",SessionLog!$F$2:$F$309,"F")</f>
        <v/>
      </c>
      <c r="K7" s="2">
        <f>COUNTIFS(SessionLog!$B$2:$B$309,$A7,SessionLog!$E$2:$E$309,"SE_mysql.Votes",SessionLog!$F$2:$F$309,"D")</f>
        <v/>
      </c>
      <c r="L7" s="2">
        <f>COUNTIFS(SessionLog!$B$2:$B$309,$A7,SessionLog!$E$2:$E$309,"SE_mysql.Votetypes",SessionLog!$F$2:$F$309,"F")</f>
        <v/>
      </c>
      <c r="M7" s="2">
        <f>COUNTIFS(SessionLog!$B$2:$B$309,$A7,SessionLog!$E$2:$E$309,"SE_mysql.Votetypes",SessionLog!$F$2:$F$309,"D")</f>
        <v/>
      </c>
      <c r="N7" s="2">
        <f>COUNTIFS(SessionLog!$B$2:$B$309,$A7,SessionLog!$E$2:$E$309,"SE_mongodb.Badges",SessionLog!$F$2:$F$309,"F")</f>
        <v/>
      </c>
      <c r="O7" s="2">
        <f>COUNTIFS(SessionLog!$B$2:$B$309,$A7,SessionLog!$E$2:$E$309,"SE_mongodb.Badges",SessionLog!$F$2:$F$309,"D")</f>
        <v/>
      </c>
      <c r="P7" s="2">
        <f>COUNTIFS(SessionLog!$B$2:$B$309,$A7,SessionLog!$E$2:$E$309,"SE_mongodb.Posts",SessionLog!$F$2:$F$309,"F")</f>
        <v/>
      </c>
      <c r="Q7" s="2">
        <f>COUNTIFS(SessionLog!$B$2:$B$309,$A7,SessionLog!$E$2:$E$309,"SE_mongodb.Posts",SessionLog!$F$2:$F$309,"D")</f>
        <v/>
      </c>
      <c r="R7" s="2">
        <f>COUNTIFS(SessionLog!$B$2:$B$309,$A7,SessionLog!$E$2:$E$309,"SE_mongodb.Users",SessionLog!$F$2:$F$309,"F")</f>
        <v/>
      </c>
      <c r="S7" s="2">
        <f>COUNTIFS(SessionLog!$B$2:$B$309,$A7,SessionLog!$E$2:$E$309,"SE_mongodb.Users",SessionLog!$F$2:$F$309,"D")</f>
        <v/>
      </c>
      <c r="T7" s="2">
        <f>COUNTIFS(SessionLog!$B$2:$B$309,$A7,SessionLog!$E$2:$E$309,"SE_mongodb.Comments",SessionLog!$F$2:$F$309,"F")</f>
        <v/>
      </c>
      <c r="U7" s="2">
        <f>COUNTIFS(SessionLog!$B$2:$B$309,$A7,SessionLog!$E$2:$E$309,"SE_mongodb.Comments",SessionLog!$F$2:$F$309,"D")</f>
        <v/>
      </c>
      <c r="V7" s="2">
        <f>COUNTIFS(SessionLog!$B$2:$B$309,$A7,SessionLog!$E$2:$E$309,"SE_neo4j.postlinks",SessionLog!$F$2:$F$309,"F")</f>
        <v/>
      </c>
      <c r="W7" s="2">
        <f>COUNTIFS(SessionLog!$B$2:$B$309,$A7,SessionLog!$E$2:$E$309,"SE_neo4j.postlinks",SessionLog!$F$2:$F$309,"D")</f>
        <v/>
      </c>
      <c r="X7" s="2">
        <f>COUNTIFS(SessionLog!$B$2:$B$309,$A7,SessionLog!$E$2:$E$309,"SE_neo4j.Posts",SessionLog!$F$2:$F$309,"F")</f>
        <v/>
      </c>
      <c r="Y7" s="2">
        <f>COUNTIFS(SessionLog!$B$2:$B$309,$A7,SessionLog!$E$2:$E$309,"SE_neo4j.Posts",SessionLog!$F$2:$F$309,"D")</f>
        <v/>
      </c>
      <c r="Z7" s="2">
        <f>COUNTIFS(SessionLog!$B$2:$B$309,$A7,SessionLog!$E$2:$E$309,"SE_neo4j.Comments",SessionLog!$F$2:$F$309,"F")</f>
        <v/>
      </c>
      <c r="AA7" s="2">
        <f>COUNTIFS(SessionLog!$B$2:$B$309,$A7,SessionLog!$E$2:$E$309,"SE_neo4j.Comments",SessionLog!$F$2:$F$309,"D")</f>
        <v/>
      </c>
      <c r="AB7" s="2">
        <f>COUNTIFS(SessionLog!$B$2:$B$309,$A7,SessionLog!$E$2:$E$309,"SE_neo4j.Users",SessionLog!$F$2:$F$309,"F")</f>
        <v/>
      </c>
      <c r="AC7" s="2">
        <f>COUNTIFS(SessionLog!$B$2:$B$309,$A7,SessionLog!$E$2:$E$309,"SE_neo4j.Users",SessionLog!$F$2:$F$309,"D")</f>
        <v/>
      </c>
      <c r="AD7" s="2">
        <f>COUNTIFS(SessionLog!$B$2:$B$309,$A7,SessionLog!$E$2:$E$309,"SE_neo4j.Tags",SessionLog!$F$2:$F$309,"F")</f>
        <v/>
      </c>
      <c r="AE7" s="2">
        <f>COUNTIFS(SessionLog!$B$2:$B$309,$A7,SessionLog!$E$2:$E$309,"SE_neo4j.Tags",SessionLog!$F$2:$F$309,"D")</f>
        <v/>
      </c>
    </row>
    <row r="8">
      <c r="A8" s="2" t="inlineStr">
        <is>
          <t>C1</t>
        </is>
      </c>
      <c r="B8" s="2">
        <f>COUNTIFS(SessionLog!$B$2:$B$309,$A8,SessionLog!$E$2:$E$309,"SE_mysql.postes",SessionLog!$F$2:$F$309,"F")</f>
        <v/>
      </c>
      <c r="C8" s="2">
        <f>COUNTIFS(SessionLog!$B$2:$B$309,$A8,SessionLog!$E$2:$E$309,"SE_mysql.postes",SessionLog!$F$2:$F$309,"D")</f>
        <v/>
      </c>
      <c r="D8" s="2">
        <f>COUNTIFS(SessionLog!$B$2:$B$309,$A8,SessionLog!$E$2:$E$309,"SE_mysql.Posttypes",SessionLog!$F$2:$F$309,"F")</f>
        <v/>
      </c>
      <c r="E8" s="2">
        <f>COUNTIFS(SessionLog!$B$2:$B$309,$A8,SessionLog!$E$2:$E$309,"SE_mysql.Posttypes",SessionLog!$F$2:$F$309,"D")</f>
        <v/>
      </c>
      <c r="F8" s="2">
        <f>COUNTIFS(SessionLog!$B$2:$B$309,$A8,SessionLog!$E$2:$E$309,"SE_mysql.Users",SessionLog!$F$2:$F$309,"F")</f>
        <v/>
      </c>
      <c r="G8" s="2">
        <f>COUNTIFS(SessionLog!$B$2:$B$309,$A8,SessionLog!$E$2:$E$309,"SE_mysql.Users",SessionLog!$F$2:$F$309,"D")</f>
        <v/>
      </c>
      <c r="H8" s="2">
        <f>COUNTIFS(SessionLog!$B$2:$B$309,$A8,SessionLog!$E$2:$E$309,"SE_mysql.Flagtypes",SessionLog!$F$2:$F$309,"F")</f>
        <v/>
      </c>
      <c r="I8" s="2">
        <f>COUNTIFS(SessionLog!$B$2:$B$309,$A8,SessionLog!$E$2:$E$309,"SE_mysql.Flagtypes",SessionLog!$F$2:$F$309,"D")</f>
        <v/>
      </c>
      <c r="J8" s="2">
        <f>COUNTIFS(SessionLog!$B$2:$B$309,$A8,SessionLog!$E$2:$E$309,"SE_mysql.Votes",SessionLog!$F$2:$F$309,"F")</f>
        <v/>
      </c>
      <c r="K8" s="2">
        <f>COUNTIFS(SessionLog!$B$2:$B$309,$A8,SessionLog!$E$2:$E$309,"SE_mysql.Votes",SessionLog!$F$2:$F$309,"D")</f>
        <v/>
      </c>
      <c r="L8" s="2">
        <f>COUNTIFS(SessionLog!$B$2:$B$309,$A8,SessionLog!$E$2:$E$309,"SE_mysql.Votetypes",SessionLog!$F$2:$F$309,"F")</f>
        <v/>
      </c>
      <c r="M8" s="2">
        <f>COUNTIFS(SessionLog!$B$2:$B$309,$A8,SessionLog!$E$2:$E$309,"SE_mysql.Votetypes",SessionLog!$F$2:$F$309,"D")</f>
        <v/>
      </c>
      <c r="N8" s="2">
        <f>COUNTIFS(SessionLog!$B$2:$B$309,$A8,SessionLog!$E$2:$E$309,"SE_mongodb.Badges",SessionLog!$F$2:$F$309,"F")</f>
        <v/>
      </c>
      <c r="O8" s="2">
        <f>COUNTIFS(SessionLog!$B$2:$B$309,$A8,SessionLog!$E$2:$E$309,"SE_mongodb.Badges",SessionLog!$F$2:$F$309,"D")</f>
        <v/>
      </c>
      <c r="P8" s="2">
        <f>COUNTIFS(SessionLog!$B$2:$B$309,$A8,SessionLog!$E$2:$E$309,"SE_mongodb.Posts",SessionLog!$F$2:$F$309,"F")</f>
        <v/>
      </c>
      <c r="Q8" s="2">
        <f>COUNTIFS(SessionLog!$B$2:$B$309,$A8,SessionLog!$E$2:$E$309,"SE_mongodb.Posts",SessionLog!$F$2:$F$309,"D")</f>
        <v/>
      </c>
      <c r="R8" s="2">
        <f>COUNTIFS(SessionLog!$B$2:$B$309,$A8,SessionLog!$E$2:$E$309,"SE_mongodb.Users",SessionLog!$F$2:$F$309,"F")</f>
        <v/>
      </c>
      <c r="S8" s="2">
        <f>COUNTIFS(SessionLog!$B$2:$B$309,$A8,SessionLog!$E$2:$E$309,"SE_mongodb.Users",SessionLog!$F$2:$F$309,"D")</f>
        <v/>
      </c>
      <c r="T8" s="2">
        <f>COUNTIFS(SessionLog!$B$2:$B$309,$A8,SessionLog!$E$2:$E$309,"SE_mongodb.Comments",SessionLog!$F$2:$F$309,"F")</f>
        <v/>
      </c>
      <c r="U8" s="2">
        <f>COUNTIFS(SessionLog!$B$2:$B$309,$A8,SessionLog!$E$2:$E$309,"SE_mongodb.Comments",SessionLog!$F$2:$F$309,"D")</f>
        <v/>
      </c>
      <c r="V8" s="2">
        <f>COUNTIFS(SessionLog!$B$2:$B$309,$A8,SessionLog!$E$2:$E$309,"SE_neo4j.postlinks",SessionLog!$F$2:$F$309,"F")</f>
        <v/>
      </c>
      <c r="W8" s="2">
        <f>COUNTIFS(SessionLog!$B$2:$B$309,$A8,SessionLog!$E$2:$E$309,"SE_neo4j.postlinks",SessionLog!$F$2:$F$309,"D")</f>
        <v/>
      </c>
      <c r="X8" s="2">
        <f>COUNTIFS(SessionLog!$B$2:$B$309,$A8,SessionLog!$E$2:$E$309,"SE_neo4j.Posts",SessionLog!$F$2:$F$309,"F")</f>
        <v/>
      </c>
      <c r="Y8" s="2">
        <f>COUNTIFS(SessionLog!$B$2:$B$309,$A8,SessionLog!$E$2:$E$309,"SE_neo4j.Posts",SessionLog!$F$2:$F$309,"D")</f>
        <v/>
      </c>
      <c r="Z8" s="2">
        <f>COUNTIFS(SessionLog!$B$2:$B$309,$A8,SessionLog!$E$2:$E$309,"SE_neo4j.Comments",SessionLog!$F$2:$F$309,"F")</f>
        <v/>
      </c>
      <c r="AA8" s="2">
        <f>COUNTIFS(SessionLog!$B$2:$B$309,$A8,SessionLog!$E$2:$E$309,"SE_neo4j.Comments",SessionLog!$F$2:$F$309,"D")</f>
        <v/>
      </c>
      <c r="AB8" s="2">
        <f>COUNTIFS(SessionLog!$B$2:$B$309,$A8,SessionLog!$E$2:$E$309,"SE_neo4j.Users",SessionLog!$F$2:$F$309,"F")</f>
        <v/>
      </c>
      <c r="AC8" s="2">
        <f>COUNTIFS(SessionLog!$B$2:$B$309,$A8,SessionLog!$E$2:$E$309,"SE_neo4j.Users",SessionLog!$F$2:$F$309,"D")</f>
        <v/>
      </c>
      <c r="AD8" s="2">
        <f>COUNTIFS(SessionLog!$B$2:$B$309,$A8,SessionLog!$E$2:$E$309,"SE_neo4j.Tags",SessionLog!$F$2:$F$309,"F")</f>
        <v/>
      </c>
      <c r="AE8" s="2">
        <f>COUNTIFS(SessionLog!$B$2:$B$309,$A8,SessionLog!$E$2:$E$309,"SE_neo4j.Tags",SessionLog!$F$2:$F$309,"D")</f>
        <v/>
      </c>
    </row>
    <row r="9">
      <c r="A9" s="2" t="inlineStr">
        <is>
          <t>C2</t>
        </is>
      </c>
      <c r="B9" s="2">
        <f>COUNTIFS(SessionLog!$B$2:$B$309,$A9,SessionLog!$E$2:$E$309,"SE_mysql.postes",SessionLog!$F$2:$F$309,"F")</f>
        <v/>
      </c>
      <c r="C9" s="2">
        <f>COUNTIFS(SessionLog!$B$2:$B$309,$A9,SessionLog!$E$2:$E$309,"SE_mysql.postes",SessionLog!$F$2:$F$309,"D")</f>
        <v/>
      </c>
      <c r="D9" s="2">
        <f>COUNTIFS(SessionLog!$B$2:$B$309,$A9,SessionLog!$E$2:$E$309,"SE_mysql.Posttypes",SessionLog!$F$2:$F$309,"F")</f>
        <v/>
      </c>
      <c r="E9" s="2">
        <f>COUNTIFS(SessionLog!$B$2:$B$309,$A9,SessionLog!$E$2:$E$309,"SE_mysql.Posttypes",SessionLog!$F$2:$F$309,"D")</f>
        <v/>
      </c>
      <c r="F9" s="2">
        <f>COUNTIFS(SessionLog!$B$2:$B$309,$A9,SessionLog!$E$2:$E$309,"SE_mysql.Users",SessionLog!$F$2:$F$309,"F")</f>
        <v/>
      </c>
      <c r="G9" s="2">
        <f>COUNTIFS(SessionLog!$B$2:$B$309,$A9,SessionLog!$E$2:$E$309,"SE_mysql.Users",SessionLog!$F$2:$F$309,"D")</f>
        <v/>
      </c>
      <c r="H9" s="2">
        <f>COUNTIFS(SessionLog!$B$2:$B$309,$A9,SessionLog!$E$2:$E$309,"SE_mysql.Flagtypes",SessionLog!$F$2:$F$309,"F")</f>
        <v/>
      </c>
      <c r="I9" s="2">
        <f>COUNTIFS(SessionLog!$B$2:$B$309,$A9,SessionLog!$E$2:$E$309,"SE_mysql.Flagtypes",SessionLog!$F$2:$F$309,"D")</f>
        <v/>
      </c>
      <c r="J9" s="2">
        <f>COUNTIFS(SessionLog!$B$2:$B$309,$A9,SessionLog!$E$2:$E$309,"SE_mysql.Votes",SessionLog!$F$2:$F$309,"F")</f>
        <v/>
      </c>
      <c r="K9" s="2">
        <f>COUNTIFS(SessionLog!$B$2:$B$309,$A9,SessionLog!$E$2:$E$309,"SE_mysql.Votes",SessionLog!$F$2:$F$309,"D")</f>
        <v/>
      </c>
      <c r="L9" s="2">
        <f>COUNTIFS(SessionLog!$B$2:$B$309,$A9,SessionLog!$E$2:$E$309,"SE_mysql.Votetypes",SessionLog!$F$2:$F$309,"F")</f>
        <v/>
      </c>
      <c r="M9" s="2">
        <f>COUNTIFS(SessionLog!$B$2:$B$309,$A9,SessionLog!$E$2:$E$309,"SE_mysql.Votetypes",SessionLog!$F$2:$F$309,"D")</f>
        <v/>
      </c>
      <c r="N9" s="2">
        <f>COUNTIFS(SessionLog!$B$2:$B$309,$A9,SessionLog!$E$2:$E$309,"SE_mongodb.Badges",SessionLog!$F$2:$F$309,"F")</f>
        <v/>
      </c>
      <c r="O9" s="2">
        <f>COUNTIFS(SessionLog!$B$2:$B$309,$A9,SessionLog!$E$2:$E$309,"SE_mongodb.Badges",SessionLog!$F$2:$F$309,"D")</f>
        <v/>
      </c>
      <c r="P9" s="2">
        <f>COUNTIFS(SessionLog!$B$2:$B$309,$A9,SessionLog!$E$2:$E$309,"SE_mongodb.Posts",SessionLog!$F$2:$F$309,"F")</f>
        <v/>
      </c>
      <c r="Q9" s="2">
        <f>COUNTIFS(SessionLog!$B$2:$B$309,$A9,SessionLog!$E$2:$E$309,"SE_mongodb.Posts",SessionLog!$F$2:$F$309,"D")</f>
        <v/>
      </c>
      <c r="R9" s="2">
        <f>COUNTIFS(SessionLog!$B$2:$B$309,$A9,SessionLog!$E$2:$E$309,"SE_mongodb.Users",SessionLog!$F$2:$F$309,"F")</f>
        <v/>
      </c>
      <c r="S9" s="2">
        <f>COUNTIFS(SessionLog!$B$2:$B$309,$A9,SessionLog!$E$2:$E$309,"SE_mongodb.Users",SessionLog!$F$2:$F$309,"D")</f>
        <v/>
      </c>
      <c r="T9" s="2">
        <f>COUNTIFS(SessionLog!$B$2:$B$309,$A9,SessionLog!$E$2:$E$309,"SE_mongodb.Comments",SessionLog!$F$2:$F$309,"F")</f>
        <v/>
      </c>
      <c r="U9" s="2">
        <f>COUNTIFS(SessionLog!$B$2:$B$309,$A9,SessionLog!$E$2:$E$309,"SE_mongodb.Comments",SessionLog!$F$2:$F$309,"D")</f>
        <v/>
      </c>
      <c r="V9" s="2">
        <f>COUNTIFS(SessionLog!$B$2:$B$309,$A9,SessionLog!$E$2:$E$309,"SE_neo4j.postlinks",SessionLog!$F$2:$F$309,"F")</f>
        <v/>
      </c>
      <c r="W9" s="2">
        <f>COUNTIFS(SessionLog!$B$2:$B$309,$A9,SessionLog!$E$2:$E$309,"SE_neo4j.postlinks",SessionLog!$F$2:$F$309,"D")</f>
        <v/>
      </c>
      <c r="X9" s="2">
        <f>COUNTIFS(SessionLog!$B$2:$B$309,$A9,SessionLog!$E$2:$E$309,"SE_neo4j.Posts",SessionLog!$F$2:$F$309,"F")</f>
        <v/>
      </c>
      <c r="Y9" s="2">
        <f>COUNTIFS(SessionLog!$B$2:$B$309,$A9,SessionLog!$E$2:$E$309,"SE_neo4j.Posts",SessionLog!$F$2:$F$309,"D")</f>
        <v/>
      </c>
      <c r="Z9" s="2">
        <f>COUNTIFS(SessionLog!$B$2:$B$309,$A9,SessionLog!$E$2:$E$309,"SE_neo4j.Comments",SessionLog!$F$2:$F$309,"F")</f>
        <v/>
      </c>
      <c r="AA9" s="2">
        <f>COUNTIFS(SessionLog!$B$2:$B$309,$A9,SessionLog!$E$2:$E$309,"SE_neo4j.Comments",SessionLog!$F$2:$F$309,"D")</f>
        <v/>
      </c>
      <c r="AB9" s="2">
        <f>COUNTIFS(SessionLog!$B$2:$B$309,$A9,SessionLog!$E$2:$E$309,"SE_neo4j.Users",SessionLog!$F$2:$F$309,"F")</f>
        <v/>
      </c>
      <c r="AC9" s="2">
        <f>COUNTIFS(SessionLog!$B$2:$B$309,$A9,SessionLog!$E$2:$E$309,"SE_neo4j.Users",SessionLog!$F$2:$F$309,"D")</f>
        <v/>
      </c>
      <c r="AD9" s="2">
        <f>COUNTIFS(SessionLog!$B$2:$B$309,$A9,SessionLog!$E$2:$E$309,"SE_neo4j.Tags",SessionLog!$F$2:$F$309,"F")</f>
        <v/>
      </c>
      <c r="AE9" s="2">
        <f>COUNTIFS(SessionLog!$B$2:$B$309,$A9,SessionLog!$E$2:$E$309,"SE_neo4j.Tags",SessionLog!$F$2:$F$309,"D")</f>
        <v/>
      </c>
    </row>
    <row r="10">
      <c r="A10" s="2" t="inlineStr">
        <is>
          <t>C3</t>
        </is>
      </c>
      <c r="B10" s="2">
        <f>COUNTIFS(SessionLog!$B$2:$B$309,$A10,SessionLog!$E$2:$E$309,"SE_mysql.postes",SessionLog!$F$2:$F$309,"F")</f>
        <v/>
      </c>
      <c r="C10" s="2">
        <f>COUNTIFS(SessionLog!$B$2:$B$309,$A10,SessionLog!$E$2:$E$309,"SE_mysql.postes",SessionLog!$F$2:$F$309,"D")</f>
        <v/>
      </c>
      <c r="D10" s="2">
        <f>COUNTIFS(SessionLog!$B$2:$B$309,$A10,SessionLog!$E$2:$E$309,"SE_mysql.Posttypes",SessionLog!$F$2:$F$309,"F")</f>
        <v/>
      </c>
      <c r="E10" s="2">
        <f>COUNTIFS(SessionLog!$B$2:$B$309,$A10,SessionLog!$E$2:$E$309,"SE_mysql.Posttypes",SessionLog!$F$2:$F$309,"D")</f>
        <v/>
      </c>
      <c r="F10" s="2">
        <f>COUNTIFS(SessionLog!$B$2:$B$309,$A10,SessionLog!$E$2:$E$309,"SE_mysql.Users",SessionLog!$F$2:$F$309,"F")</f>
        <v/>
      </c>
      <c r="G10" s="2">
        <f>COUNTIFS(SessionLog!$B$2:$B$309,$A10,SessionLog!$E$2:$E$309,"SE_mysql.Users",SessionLog!$F$2:$F$309,"D")</f>
        <v/>
      </c>
      <c r="H10" s="2">
        <f>COUNTIFS(SessionLog!$B$2:$B$309,$A10,SessionLog!$E$2:$E$309,"SE_mysql.Flagtypes",SessionLog!$F$2:$F$309,"F")</f>
        <v/>
      </c>
      <c r="I10" s="2">
        <f>COUNTIFS(SessionLog!$B$2:$B$309,$A10,SessionLog!$E$2:$E$309,"SE_mysql.Flagtypes",SessionLog!$F$2:$F$309,"D")</f>
        <v/>
      </c>
      <c r="J10" s="2">
        <f>COUNTIFS(SessionLog!$B$2:$B$309,$A10,SessionLog!$E$2:$E$309,"SE_mysql.Votes",SessionLog!$F$2:$F$309,"F")</f>
        <v/>
      </c>
      <c r="K10" s="2">
        <f>COUNTIFS(SessionLog!$B$2:$B$309,$A10,SessionLog!$E$2:$E$309,"SE_mysql.Votes",SessionLog!$F$2:$F$309,"D")</f>
        <v/>
      </c>
      <c r="L10" s="2">
        <f>COUNTIFS(SessionLog!$B$2:$B$309,$A10,SessionLog!$E$2:$E$309,"SE_mysql.Votetypes",SessionLog!$F$2:$F$309,"F")</f>
        <v/>
      </c>
      <c r="M10" s="2">
        <f>COUNTIFS(SessionLog!$B$2:$B$309,$A10,SessionLog!$E$2:$E$309,"SE_mysql.Votetypes",SessionLog!$F$2:$F$309,"D")</f>
        <v/>
      </c>
      <c r="N10" s="2">
        <f>COUNTIFS(SessionLog!$B$2:$B$309,$A10,SessionLog!$E$2:$E$309,"SE_mongodb.Badges",SessionLog!$F$2:$F$309,"F")</f>
        <v/>
      </c>
      <c r="O10" s="2">
        <f>COUNTIFS(SessionLog!$B$2:$B$309,$A10,SessionLog!$E$2:$E$309,"SE_mongodb.Badges",SessionLog!$F$2:$F$309,"D")</f>
        <v/>
      </c>
      <c r="P10" s="2">
        <f>COUNTIFS(SessionLog!$B$2:$B$309,$A10,SessionLog!$E$2:$E$309,"SE_mongodb.Posts",SessionLog!$F$2:$F$309,"F")</f>
        <v/>
      </c>
      <c r="Q10" s="2">
        <f>COUNTIFS(SessionLog!$B$2:$B$309,$A10,SessionLog!$E$2:$E$309,"SE_mongodb.Posts",SessionLog!$F$2:$F$309,"D")</f>
        <v/>
      </c>
      <c r="R10" s="2">
        <f>COUNTIFS(SessionLog!$B$2:$B$309,$A10,SessionLog!$E$2:$E$309,"SE_mongodb.Users",SessionLog!$F$2:$F$309,"F")</f>
        <v/>
      </c>
      <c r="S10" s="2">
        <f>COUNTIFS(SessionLog!$B$2:$B$309,$A10,SessionLog!$E$2:$E$309,"SE_mongodb.Users",SessionLog!$F$2:$F$309,"D")</f>
        <v/>
      </c>
      <c r="T10" s="2">
        <f>COUNTIFS(SessionLog!$B$2:$B$309,$A10,SessionLog!$E$2:$E$309,"SE_mongodb.Comments",SessionLog!$F$2:$F$309,"F")</f>
        <v/>
      </c>
      <c r="U10" s="2">
        <f>COUNTIFS(SessionLog!$B$2:$B$309,$A10,SessionLog!$E$2:$E$309,"SE_mongodb.Comments",SessionLog!$F$2:$F$309,"D")</f>
        <v/>
      </c>
      <c r="V10" s="2">
        <f>COUNTIFS(SessionLog!$B$2:$B$309,$A10,SessionLog!$E$2:$E$309,"SE_neo4j.postlinks",SessionLog!$F$2:$F$309,"F")</f>
        <v/>
      </c>
      <c r="W10" s="2">
        <f>COUNTIFS(SessionLog!$B$2:$B$309,$A10,SessionLog!$E$2:$E$309,"SE_neo4j.postlinks",SessionLog!$F$2:$F$309,"D")</f>
        <v/>
      </c>
      <c r="X10" s="2">
        <f>COUNTIFS(SessionLog!$B$2:$B$309,$A10,SessionLog!$E$2:$E$309,"SE_neo4j.Posts",SessionLog!$F$2:$F$309,"F")</f>
        <v/>
      </c>
      <c r="Y10" s="2">
        <f>COUNTIFS(SessionLog!$B$2:$B$309,$A10,SessionLog!$E$2:$E$309,"SE_neo4j.Posts",SessionLog!$F$2:$F$309,"D")</f>
        <v/>
      </c>
      <c r="Z10" s="2">
        <f>COUNTIFS(SessionLog!$B$2:$B$309,$A10,SessionLog!$E$2:$E$309,"SE_neo4j.Comments",SessionLog!$F$2:$F$309,"F")</f>
        <v/>
      </c>
      <c r="AA10" s="2">
        <f>COUNTIFS(SessionLog!$B$2:$B$309,$A10,SessionLog!$E$2:$E$309,"SE_neo4j.Comments",SessionLog!$F$2:$F$309,"D")</f>
        <v/>
      </c>
      <c r="AB10" s="2">
        <f>COUNTIFS(SessionLog!$B$2:$B$309,$A10,SessionLog!$E$2:$E$309,"SE_neo4j.Users",SessionLog!$F$2:$F$309,"F")</f>
        <v/>
      </c>
      <c r="AC10" s="2">
        <f>COUNTIFS(SessionLog!$B$2:$B$309,$A10,SessionLog!$E$2:$E$309,"SE_neo4j.Users",SessionLog!$F$2:$F$309,"D")</f>
        <v/>
      </c>
      <c r="AD10" s="2">
        <f>COUNTIFS(SessionLog!$B$2:$B$309,$A10,SessionLog!$E$2:$E$309,"SE_neo4j.Tags",SessionLog!$F$2:$F$309,"F")</f>
        <v/>
      </c>
      <c r="AE10" s="2">
        <f>COUNTIFS(SessionLog!$B$2:$B$309,$A10,SessionLog!$E$2:$E$309,"SE_neo4j.Tags",SessionLog!$F$2:$F$309,"D")</f>
        <v/>
      </c>
    </row>
    <row r="11">
      <c r="A11" s="2" t="inlineStr">
        <is>
          <t>D1</t>
        </is>
      </c>
      <c r="B11" s="2">
        <f>COUNTIFS(SessionLog!$B$2:$B$309,$A11,SessionLog!$E$2:$E$309,"SE_mysql.postes",SessionLog!$F$2:$F$309,"F")</f>
        <v/>
      </c>
      <c r="C11" s="2">
        <f>COUNTIFS(SessionLog!$B$2:$B$309,$A11,SessionLog!$E$2:$E$309,"SE_mysql.postes",SessionLog!$F$2:$F$309,"D")</f>
        <v/>
      </c>
      <c r="D11" s="2">
        <f>COUNTIFS(SessionLog!$B$2:$B$309,$A11,SessionLog!$E$2:$E$309,"SE_mysql.Posttypes",SessionLog!$F$2:$F$309,"F")</f>
        <v/>
      </c>
      <c r="E11" s="2">
        <f>COUNTIFS(SessionLog!$B$2:$B$309,$A11,SessionLog!$E$2:$E$309,"SE_mysql.Posttypes",SessionLog!$F$2:$F$309,"D")</f>
        <v/>
      </c>
      <c r="F11" s="2">
        <f>COUNTIFS(SessionLog!$B$2:$B$309,$A11,SessionLog!$E$2:$E$309,"SE_mysql.Users",SessionLog!$F$2:$F$309,"F")</f>
        <v/>
      </c>
      <c r="G11" s="2">
        <f>COUNTIFS(SessionLog!$B$2:$B$309,$A11,SessionLog!$E$2:$E$309,"SE_mysql.Users",SessionLog!$F$2:$F$309,"D")</f>
        <v/>
      </c>
      <c r="H11" s="2">
        <f>COUNTIFS(SessionLog!$B$2:$B$309,$A11,SessionLog!$E$2:$E$309,"SE_mysql.Flagtypes",SessionLog!$F$2:$F$309,"F")</f>
        <v/>
      </c>
      <c r="I11" s="2">
        <f>COUNTIFS(SessionLog!$B$2:$B$309,$A11,SessionLog!$E$2:$E$309,"SE_mysql.Flagtypes",SessionLog!$F$2:$F$309,"D")</f>
        <v/>
      </c>
      <c r="J11" s="2">
        <f>COUNTIFS(SessionLog!$B$2:$B$309,$A11,SessionLog!$E$2:$E$309,"SE_mysql.Votes",SessionLog!$F$2:$F$309,"F")</f>
        <v/>
      </c>
      <c r="K11" s="2">
        <f>COUNTIFS(SessionLog!$B$2:$B$309,$A11,SessionLog!$E$2:$E$309,"SE_mysql.Votes",SessionLog!$F$2:$F$309,"D")</f>
        <v/>
      </c>
      <c r="L11" s="2">
        <f>COUNTIFS(SessionLog!$B$2:$B$309,$A11,SessionLog!$E$2:$E$309,"SE_mysql.Votetypes",SessionLog!$F$2:$F$309,"F")</f>
        <v/>
      </c>
      <c r="M11" s="2">
        <f>COUNTIFS(SessionLog!$B$2:$B$309,$A11,SessionLog!$E$2:$E$309,"SE_mysql.Votetypes",SessionLog!$F$2:$F$309,"D")</f>
        <v/>
      </c>
      <c r="N11" s="2">
        <f>COUNTIFS(SessionLog!$B$2:$B$309,$A11,SessionLog!$E$2:$E$309,"SE_mongodb.Badges",SessionLog!$F$2:$F$309,"F")</f>
        <v/>
      </c>
      <c r="O11" s="2">
        <f>COUNTIFS(SessionLog!$B$2:$B$309,$A11,SessionLog!$E$2:$E$309,"SE_mongodb.Badges",SessionLog!$F$2:$F$309,"D")</f>
        <v/>
      </c>
      <c r="P11" s="2">
        <f>COUNTIFS(SessionLog!$B$2:$B$309,$A11,SessionLog!$E$2:$E$309,"SE_mongodb.Posts",SessionLog!$F$2:$F$309,"F")</f>
        <v/>
      </c>
      <c r="Q11" s="2">
        <f>COUNTIFS(SessionLog!$B$2:$B$309,$A11,SessionLog!$E$2:$E$309,"SE_mongodb.Posts",SessionLog!$F$2:$F$309,"D")</f>
        <v/>
      </c>
      <c r="R11" s="2">
        <f>COUNTIFS(SessionLog!$B$2:$B$309,$A11,SessionLog!$E$2:$E$309,"SE_mongodb.Users",SessionLog!$F$2:$F$309,"F")</f>
        <v/>
      </c>
      <c r="S11" s="2">
        <f>COUNTIFS(SessionLog!$B$2:$B$309,$A11,SessionLog!$E$2:$E$309,"SE_mongodb.Users",SessionLog!$F$2:$F$309,"D")</f>
        <v/>
      </c>
      <c r="T11" s="2">
        <f>COUNTIFS(SessionLog!$B$2:$B$309,$A11,SessionLog!$E$2:$E$309,"SE_mongodb.Comments",SessionLog!$F$2:$F$309,"F")</f>
        <v/>
      </c>
      <c r="U11" s="2">
        <f>COUNTIFS(SessionLog!$B$2:$B$309,$A11,SessionLog!$E$2:$E$309,"SE_mongodb.Comments",SessionLog!$F$2:$F$309,"D")</f>
        <v/>
      </c>
      <c r="V11" s="2">
        <f>COUNTIFS(SessionLog!$B$2:$B$309,$A11,SessionLog!$E$2:$E$309,"SE_neo4j.postlinks",SessionLog!$F$2:$F$309,"F")</f>
        <v/>
      </c>
      <c r="W11" s="2">
        <f>COUNTIFS(SessionLog!$B$2:$B$309,$A11,SessionLog!$E$2:$E$309,"SE_neo4j.postlinks",SessionLog!$F$2:$F$309,"D")</f>
        <v/>
      </c>
      <c r="X11" s="2">
        <f>COUNTIFS(SessionLog!$B$2:$B$309,$A11,SessionLog!$E$2:$E$309,"SE_neo4j.Posts",SessionLog!$F$2:$F$309,"F")</f>
        <v/>
      </c>
      <c r="Y11" s="2">
        <f>COUNTIFS(SessionLog!$B$2:$B$309,$A11,SessionLog!$E$2:$E$309,"SE_neo4j.Posts",SessionLog!$F$2:$F$309,"D")</f>
        <v/>
      </c>
      <c r="Z11" s="2">
        <f>COUNTIFS(SessionLog!$B$2:$B$309,$A11,SessionLog!$E$2:$E$309,"SE_neo4j.Comments",SessionLog!$F$2:$F$309,"F")</f>
        <v/>
      </c>
      <c r="AA11" s="2">
        <f>COUNTIFS(SessionLog!$B$2:$B$309,$A11,SessionLog!$E$2:$E$309,"SE_neo4j.Comments",SessionLog!$F$2:$F$309,"D")</f>
        <v/>
      </c>
      <c r="AB11" s="2">
        <f>COUNTIFS(SessionLog!$B$2:$B$309,$A11,SessionLog!$E$2:$E$309,"SE_neo4j.Users",SessionLog!$F$2:$F$309,"F")</f>
        <v/>
      </c>
      <c r="AC11" s="2">
        <f>COUNTIFS(SessionLog!$B$2:$B$309,$A11,SessionLog!$E$2:$E$309,"SE_neo4j.Users",SessionLog!$F$2:$F$309,"D")</f>
        <v/>
      </c>
      <c r="AD11" s="2">
        <f>COUNTIFS(SessionLog!$B$2:$B$309,$A11,SessionLog!$E$2:$E$309,"SE_neo4j.Tags",SessionLog!$F$2:$F$309,"F")</f>
        <v/>
      </c>
      <c r="AE11" s="2">
        <f>COUNTIFS(SessionLog!$B$2:$B$309,$A11,SessionLog!$E$2:$E$309,"SE_neo4j.Tags",SessionLog!$F$2:$F$309,"D")</f>
        <v/>
      </c>
    </row>
    <row r="12">
      <c r="A12" s="2" t="inlineStr">
        <is>
          <t>D2</t>
        </is>
      </c>
      <c r="B12" s="2">
        <f>COUNTIFS(SessionLog!$B$2:$B$309,$A12,SessionLog!$E$2:$E$309,"SE_mysql.postes",SessionLog!$F$2:$F$309,"F")</f>
        <v/>
      </c>
      <c r="C12" s="2">
        <f>COUNTIFS(SessionLog!$B$2:$B$309,$A12,SessionLog!$E$2:$E$309,"SE_mysql.postes",SessionLog!$F$2:$F$309,"D")</f>
        <v/>
      </c>
      <c r="D12" s="2">
        <f>COUNTIFS(SessionLog!$B$2:$B$309,$A12,SessionLog!$E$2:$E$309,"SE_mysql.Posttypes",SessionLog!$F$2:$F$309,"F")</f>
        <v/>
      </c>
      <c r="E12" s="2">
        <f>COUNTIFS(SessionLog!$B$2:$B$309,$A12,SessionLog!$E$2:$E$309,"SE_mysql.Posttypes",SessionLog!$F$2:$F$309,"D")</f>
        <v/>
      </c>
      <c r="F12" s="2">
        <f>COUNTIFS(SessionLog!$B$2:$B$309,$A12,SessionLog!$E$2:$E$309,"SE_mysql.Users",SessionLog!$F$2:$F$309,"F")</f>
        <v/>
      </c>
      <c r="G12" s="2">
        <f>COUNTIFS(SessionLog!$B$2:$B$309,$A12,SessionLog!$E$2:$E$309,"SE_mysql.Users",SessionLog!$F$2:$F$309,"D")</f>
        <v/>
      </c>
      <c r="H12" s="2">
        <f>COUNTIFS(SessionLog!$B$2:$B$309,$A12,SessionLog!$E$2:$E$309,"SE_mysql.Flagtypes",SessionLog!$F$2:$F$309,"F")</f>
        <v/>
      </c>
      <c r="I12" s="2">
        <f>COUNTIFS(SessionLog!$B$2:$B$309,$A12,SessionLog!$E$2:$E$309,"SE_mysql.Flagtypes",SessionLog!$F$2:$F$309,"D")</f>
        <v/>
      </c>
      <c r="J12" s="2">
        <f>COUNTIFS(SessionLog!$B$2:$B$309,$A12,SessionLog!$E$2:$E$309,"SE_mysql.Votes",SessionLog!$F$2:$F$309,"F")</f>
        <v/>
      </c>
      <c r="K12" s="2">
        <f>COUNTIFS(SessionLog!$B$2:$B$309,$A12,SessionLog!$E$2:$E$309,"SE_mysql.Votes",SessionLog!$F$2:$F$309,"D")</f>
        <v/>
      </c>
      <c r="L12" s="2">
        <f>COUNTIFS(SessionLog!$B$2:$B$309,$A12,SessionLog!$E$2:$E$309,"SE_mysql.Votetypes",SessionLog!$F$2:$F$309,"F")</f>
        <v/>
      </c>
      <c r="M12" s="2">
        <f>COUNTIFS(SessionLog!$B$2:$B$309,$A12,SessionLog!$E$2:$E$309,"SE_mysql.Votetypes",SessionLog!$F$2:$F$309,"D")</f>
        <v/>
      </c>
      <c r="N12" s="2">
        <f>COUNTIFS(SessionLog!$B$2:$B$309,$A12,SessionLog!$E$2:$E$309,"SE_mongodb.Badges",SessionLog!$F$2:$F$309,"F")</f>
        <v/>
      </c>
      <c r="O12" s="2">
        <f>COUNTIFS(SessionLog!$B$2:$B$309,$A12,SessionLog!$E$2:$E$309,"SE_mongodb.Badges",SessionLog!$F$2:$F$309,"D")</f>
        <v/>
      </c>
      <c r="P12" s="2">
        <f>COUNTIFS(SessionLog!$B$2:$B$309,$A12,SessionLog!$E$2:$E$309,"SE_mongodb.Posts",SessionLog!$F$2:$F$309,"F")</f>
        <v/>
      </c>
      <c r="Q12" s="2">
        <f>COUNTIFS(SessionLog!$B$2:$B$309,$A12,SessionLog!$E$2:$E$309,"SE_mongodb.Posts",SessionLog!$F$2:$F$309,"D")</f>
        <v/>
      </c>
      <c r="R12" s="2">
        <f>COUNTIFS(SessionLog!$B$2:$B$309,$A12,SessionLog!$E$2:$E$309,"SE_mongodb.Users",SessionLog!$F$2:$F$309,"F")</f>
        <v/>
      </c>
      <c r="S12" s="2">
        <f>COUNTIFS(SessionLog!$B$2:$B$309,$A12,SessionLog!$E$2:$E$309,"SE_mongodb.Users",SessionLog!$F$2:$F$309,"D")</f>
        <v/>
      </c>
      <c r="T12" s="2">
        <f>COUNTIFS(SessionLog!$B$2:$B$309,$A12,SessionLog!$E$2:$E$309,"SE_mongodb.Comments",SessionLog!$F$2:$F$309,"F")</f>
        <v/>
      </c>
      <c r="U12" s="2">
        <f>COUNTIFS(SessionLog!$B$2:$B$309,$A12,SessionLog!$E$2:$E$309,"SE_mongodb.Comments",SessionLog!$F$2:$F$309,"D")</f>
        <v/>
      </c>
      <c r="V12" s="2">
        <f>COUNTIFS(SessionLog!$B$2:$B$309,$A12,SessionLog!$E$2:$E$309,"SE_neo4j.postlinks",SessionLog!$F$2:$F$309,"F")</f>
        <v/>
      </c>
      <c r="W12" s="2">
        <f>COUNTIFS(SessionLog!$B$2:$B$309,$A12,SessionLog!$E$2:$E$309,"SE_neo4j.postlinks",SessionLog!$F$2:$F$309,"D")</f>
        <v/>
      </c>
      <c r="X12" s="2">
        <f>COUNTIFS(SessionLog!$B$2:$B$309,$A12,SessionLog!$E$2:$E$309,"SE_neo4j.Posts",SessionLog!$F$2:$F$309,"F")</f>
        <v/>
      </c>
      <c r="Y12" s="2">
        <f>COUNTIFS(SessionLog!$B$2:$B$309,$A12,SessionLog!$E$2:$E$309,"SE_neo4j.Posts",SessionLog!$F$2:$F$309,"D")</f>
        <v/>
      </c>
      <c r="Z12" s="2">
        <f>COUNTIFS(SessionLog!$B$2:$B$309,$A12,SessionLog!$E$2:$E$309,"SE_neo4j.Comments",SessionLog!$F$2:$F$309,"F")</f>
        <v/>
      </c>
      <c r="AA12" s="2">
        <f>COUNTIFS(SessionLog!$B$2:$B$309,$A12,SessionLog!$E$2:$E$309,"SE_neo4j.Comments",SessionLog!$F$2:$F$309,"D")</f>
        <v/>
      </c>
      <c r="AB12" s="2">
        <f>COUNTIFS(SessionLog!$B$2:$B$309,$A12,SessionLog!$E$2:$E$309,"SE_neo4j.Users",SessionLog!$F$2:$F$309,"F")</f>
        <v/>
      </c>
      <c r="AC12" s="2">
        <f>COUNTIFS(SessionLog!$B$2:$B$309,$A12,SessionLog!$E$2:$E$309,"SE_neo4j.Users",SessionLog!$F$2:$F$309,"D")</f>
        <v/>
      </c>
      <c r="AD12" s="2">
        <f>COUNTIFS(SessionLog!$B$2:$B$309,$A12,SessionLog!$E$2:$E$309,"SE_neo4j.Tags",SessionLog!$F$2:$F$309,"F")</f>
        <v/>
      </c>
      <c r="AE12" s="2">
        <f>COUNTIFS(SessionLog!$B$2:$B$309,$A12,SessionLog!$E$2:$E$309,"SE_neo4j.Tags",SessionLog!$F$2:$F$309,"D")</f>
        <v/>
      </c>
    </row>
    <row r="13">
      <c r="A13" s="2" t="inlineStr">
        <is>
          <t>E1</t>
        </is>
      </c>
      <c r="B13" s="2">
        <f>COUNTIFS(SessionLog!$B$2:$B$309,$A13,SessionLog!$E$2:$E$309,"SE_mysql.postes",SessionLog!$F$2:$F$309,"F")</f>
        <v/>
      </c>
      <c r="C13" s="2">
        <f>COUNTIFS(SessionLog!$B$2:$B$309,$A13,SessionLog!$E$2:$E$309,"SE_mysql.postes",SessionLog!$F$2:$F$309,"D")</f>
        <v/>
      </c>
      <c r="D13" s="2">
        <f>COUNTIFS(SessionLog!$B$2:$B$309,$A13,SessionLog!$E$2:$E$309,"SE_mysql.Posttypes",SessionLog!$F$2:$F$309,"F")</f>
        <v/>
      </c>
      <c r="E13" s="2">
        <f>COUNTIFS(SessionLog!$B$2:$B$309,$A13,SessionLog!$E$2:$E$309,"SE_mysql.Posttypes",SessionLog!$F$2:$F$309,"D")</f>
        <v/>
      </c>
      <c r="F13" s="2">
        <f>COUNTIFS(SessionLog!$B$2:$B$309,$A13,SessionLog!$E$2:$E$309,"SE_mysql.Users",SessionLog!$F$2:$F$309,"F")</f>
        <v/>
      </c>
      <c r="G13" s="2">
        <f>COUNTIFS(SessionLog!$B$2:$B$309,$A13,SessionLog!$E$2:$E$309,"SE_mysql.Users",SessionLog!$F$2:$F$309,"D")</f>
        <v/>
      </c>
      <c r="H13" s="2">
        <f>COUNTIFS(SessionLog!$B$2:$B$309,$A13,SessionLog!$E$2:$E$309,"SE_mysql.Flagtypes",SessionLog!$F$2:$F$309,"F")</f>
        <v/>
      </c>
      <c r="I13" s="2">
        <f>COUNTIFS(SessionLog!$B$2:$B$309,$A13,SessionLog!$E$2:$E$309,"SE_mysql.Flagtypes",SessionLog!$F$2:$F$309,"D")</f>
        <v/>
      </c>
      <c r="J13" s="2">
        <f>COUNTIFS(SessionLog!$B$2:$B$309,$A13,SessionLog!$E$2:$E$309,"SE_mysql.Votes",SessionLog!$F$2:$F$309,"F")</f>
        <v/>
      </c>
      <c r="K13" s="2">
        <f>COUNTIFS(SessionLog!$B$2:$B$309,$A13,SessionLog!$E$2:$E$309,"SE_mysql.Votes",SessionLog!$F$2:$F$309,"D")</f>
        <v/>
      </c>
      <c r="L13" s="2">
        <f>COUNTIFS(SessionLog!$B$2:$B$309,$A13,SessionLog!$E$2:$E$309,"SE_mysql.Votetypes",SessionLog!$F$2:$F$309,"F")</f>
        <v/>
      </c>
      <c r="M13" s="2">
        <f>COUNTIFS(SessionLog!$B$2:$B$309,$A13,SessionLog!$E$2:$E$309,"SE_mysql.Votetypes",SessionLog!$F$2:$F$309,"D")</f>
        <v/>
      </c>
      <c r="N13" s="2">
        <f>COUNTIFS(SessionLog!$B$2:$B$309,$A13,SessionLog!$E$2:$E$309,"SE_mongodb.Badges",SessionLog!$F$2:$F$309,"F")</f>
        <v/>
      </c>
      <c r="O13" s="2">
        <f>COUNTIFS(SessionLog!$B$2:$B$309,$A13,SessionLog!$E$2:$E$309,"SE_mongodb.Badges",SessionLog!$F$2:$F$309,"D")</f>
        <v/>
      </c>
      <c r="P13" s="2">
        <f>COUNTIFS(SessionLog!$B$2:$B$309,$A13,SessionLog!$E$2:$E$309,"SE_mongodb.Posts",SessionLog!$F$2:$F$309,"F")</f>
        <v/>
      </c>
      <c r="Q13" s="2">
        <f>COUNTIFS(SessionLog!$B$2:$B$309,$A13,SessionLog!$E$2:$E$309,"SE_mongodb.Posts",SessionLog!$F$2:$F$309,"D")</f>
        <v/>
      </c>
      <c r="R13" s="2">
        <f>COUNTIFS(SessionLog!$B$2:$B$309,$A13,SessionLog!$E$2:$E$309,"SE_mongodb.Users",SessionLog!$F$2:$F$309,"F")</f>
        <v/>
      </c>
      <c r="S13" s="2">
        <f>COUNTIFS(SessionLog!$B$2:$B$309,$A13,SessionLog!$E$2:$E$309,"SE_mongodb.Users",SessionLog!$F$2:$F$309,"D")</f>
        <v/>
      </c>
      <c r="T13" s="2">
        <f>COUNTIFS(SessionLog!$B$2:$B$309,$A13,SessionLog!$E$2:$E$309,"SE_mongodb.Comments",SessionLog!$F$2:$F$309,"F")</f>
        <v/>
      </c>
      <c r="U13" s="2">
        <f>COUNTIFS(SessionLog!$B$2:$B$309,$A13,SessionLog!$E$2:$E$309,"SE_mongodb.Comments",SessionLog!$F$2:$F$309,"D")</f>
        <v/>
      </c>
      <c r="V13" s="2">
        <f>COUNTIFS(SessionLog!$B$2:$B$309,$A13,SessionLog!$E$2:$E$309,"SE_neo4j.postlinks",SessionLog!$F$2:$F$309,"F")</f>
        <v/>
      </c>
      <c r="W13" s="2">
        <f>COUNTIFS(SessionLog!$B$2:$B$309,$A13,SessionLog!$E$2:$E$309,"SE_neo4j.postlinks",SessionLog!$F$2:$F$309,"D")</f>
        <v/>
      </c>
      <c r="X13" s="2">
        <f>COUNTIFS(SessionLog!$B$2:$B$309,$A13,SessionLog!$E$2:$E$309,"SE_neo4j.Posts",SessionLog!$F$2:$F$309,"F")</f>
        <v/>
      </c>
      <c r="Y13" s="2">
        <f>COUNTIFS(SessionLog!$B$2:$B$309,$A13,SessionLog!$E$2:$E$309,"SE_neo4j.Posts",SessionLog!$F$2:$F$309,"D")</f>
        <v/>
      </c>
      <c r="Z13" s="2">
        <f>COUNTIFS(SessionLog!$B$2:$B$309,$A13,SessionLog!$E$2:$E$309,"SE_neo4j.Comments",SessionLog!$F$2:$F$309,"F")</f>
        <v/>
      </c>
      <c r="AA13" s="2">
        <f>COUNTIFS(SessionLog!$B$2:$B$309,$A13,SessionLog!$E$2:$E$309,"SE_neo4j.Comments",SessionLog!$F$2:$F$309,"D")</f>
        <v/>
      </c>
      <c r="AB13" s="2">
        <f>COUNTIFS(SessionLog!$B$2:$B$309,$A13,SessionLog!$E$2:$E$309,"SE_neo4j.Users",SessionLog!$F$2:$F$309,"F")</f>
        <v/>
      </c>
      <c r="AC13" s="2">
        <f>COUNTIFS(SessionLog!$B$2:$B$309,$A13,SessionLog!$E$2:$E$309,"SE_neo4j.Users",SessionLog!$F$2:$F$309,"D")</f>
        <v/>
      </c>
      <c r="AD13" s="2">
        <f>COUNTIFS(SessionLog!$B$2:$B$309,$A13,SessionLog!$E$2:$E$309,"SE_neo4j.Tags",SessionLog!$F$2:$F$309,"F")</f>
        <v/>
      </c>
      <c r="AE13" s="2">
        <f>COUNTIFS(SessionLog!$B$2:$B$309,$A13,SessionLog!$E$2:$E$309,"SE_neo4j.Tags",SessionLog!$F$2:$F$309,"D")</f>
        <v/>
      </c>
    </row>
    <row r="14">
      <c r="A14" s="2" t="inlineStr">
        <is>
          <t>E2</t>
        </is>
      </c>
      <c r="B14" s="2">
        <f>COUNTIFS(SessionLog!$B$2:$B$309,$A14,SessionLog!$E$2:$E$309,"SE_mysql.postes",SessionLog!$F$2:$F$309,"F")</f>
        <v/>
      </c>
      <c r="C14" s="2">
        <f>COUNTIFS(SessionLog!$B$2:$B$309,$A14,SessionLog!$E$2:$E$309,"SE_mysql.postes",SessionLog!$F$2:$F$309,"D")</f>
        <v/>
      </c>
      <c r="D14" s="2">
        <f>COUNTIFS(SessionLog!$B$2:$B$309,$A14,SessionLog!$E$2:$E$309,"SE_mysql.Posttypes",SessionLog!$F$2:$F$309,"F")</f>
        <v/>
      </c>
      <c r="E14" s="2">
        <f>COUNTIFS(SessionLog!$B$2:$B$309,$A14,SessionLog!$E$2:$E$309,"SE_mysql.Posttypes",SessionLog!$F$2:$F$309,"D")</f>
        <v/>
      </c>
      <c r="F14" s="2">
        <f>COUNTIFS(SessionLog!$B$2:$B$309,$A14,SessionLog!$E$2:$E$309,"SE_mysql.Users",SessionLog!$F$2:$F$309,"F")</f>
        <v/>
      </c>
      <c r="G14" s="2">
        <f>COUNTIFS(SessionLog!$B$2:$B$309,$A14,SessionLog!$E$2:$E$309,"SE_mysql.Users",SessionLog!$F$2:$F$309,"D")</f>
        <v/>
      </c>
      <c r="H14" s="2">
        <f>COUNTIFS(SessionLog!$B$2:$B$309,$A14,SessionLog!$E$2:$E$309,"SE_mysql.Flagtypes",SessionLog!$F$2:$F$309,"F")</f>
        <v/>
      </c>
      <c r="I14" s="2">
        <f>COUNTIFS(SessionLog!$B$2:$B$309,$A14,SessionLog!$E$2:$E$309,"SE_mysql.Flagtypes",SessionLog!$F$2:$F$309,"D")</f>
        <v/>
      </c>
      <c r="J14" s="2">
        <f>COUNTIFS(SessionLog!$B$2:$B$309,$A14,SessionLog!$E$2:$E$309,"SE_mysql.Votes",SessionLog!$F$2:$F$309,"F")</f>
        <v/>
      </c>
      <c r="K14" s="2">
        <f>COUNTIFS(SessionLog!$B$2:$B$309,$A14,SessionLog!$E$2:$E$309,"SE_mysql.Votes",SessionLog!$F$2:$F$309,"D")</f>
        <v/>
      </c>
      <c r="L14" s="2">
        <f>COUNTIFS(SessionLog!$B$2:$B$309,$A14,SessionLog!$E$2:$E$309,"SE_mysql.Votetypes",SessionLog!$F$2:$F$309,"F")</f>
        <v/>
      </c>
      <c r="M14" s="2">
        <f>COUNTIFS(SessionLog!$B$2:$B$309,$A14,SessionLog!$E$2:$E$309,"SE_mysql.Votetypes",SessionLog!$F$2:$F$309,"D")</f>
        <v/>
      </c>
      <c r="N14" s="2">
        <f>COUNTIFS(SessionLog!$B$2:$B$309,$A14,SessionLog!$E$2:$E$309,"SE_mongodb.Badges",SessionLog!$F$2:$F$309,"F")</f>
        <v/>
      </c>
      <c r="O14" s="2">
        <f>COUNTIFS(SessionLog!$B$2:$B$309,$A14,SessionLog!$E$2:$E$309,"SE_mongodb.Badges",SessionLog!$F$2:$F$309,"D")</f>
        <v/>
      </c>
      <c r="P14" s="2">
        <f>COUNTIFS(SessionLog!$B$2:$B$309,$A14,SessionLog!$E$2:$E$309,"SE_mongodb.Posts",SessionLog!$F$2:$F$309,"F")</f>
        <v/>
      </c>
      <c r="Q14" s="2">
        <f>COUNTIFS(SessionLog!$B$2:$B$309,$A14,SessionLog!$E$2:$E$309,"SE_mongodb.Posts",SessionLog!$F$2:$F$309,"D")</f>
        <v/>
      </c>
      <c r="R14" s="2">
        <f>COUNTIFS(SessionLog!$B$2:$B$309,$A14,SessionLog!$E$2:$E$309,"SE_mongodb.Users",SessionLog!$F$2:$F$309,"F")</f>
        <v/>
      </c>
      <c r="S14" s="2">
        <f>COUNTIFS(SessionLog!$B$2:$B$309,$A14,SessionLog!$E$2:$E$309,"SE_mongodb.Users",SessionLog!$F$2:$F$309,"D")</f>
        <v/>
      </c>
      <c r="T14" s="2">
        <f>COUNTIFS(SessionLog!$B$2:$B$309,$A14,SessionLog!$E$2:$E$309,"SE_mongodb.Comments",SessionLog!$F$2:$F$309,"F")</f>
        <v/>
      </c>
      <c r="U14" s="2">
        <f>COUNTIFS(SessionLog!$B$2:$B$309,$A14,SessionLog!$E$2:$E$309,"SE_mongodb.Comments",SessionLog!$F$2:$F$309,"D")</f>
        <v/>
      </c>
      <c r="V14" s="2">
        <f>COUNTIFS(SessionLog!$B$2:$B$309,$A14,SessionLog!$E$2:$E$309,"SE_neo4j.postlinks",SessionLog!$F$2:$F$309,"F")</f>
        <v/>
      </c>
      <c r="W14" s="2">
        <f>COUNTIFS(SessionLog!$B$2:$B$309,$A14,SessionLog!$E$2:$E$309,"SE_neo4j.postlinks",SessionLog!$F$2:$F$309,"D")</f>
        <v/>
      </c>
      <c r="X14" s="2">
        <f>COUNTIFS(SessionLog!$B$2:$B$309,$A14,SessionLog!$E$2:$E$309,"SE_neo4j.Posts",SessionLog!$F$2:$F$309,"F")</f>
        <v/>
      </c>
      <c r="Y14" s="2">
        <f>COUNTIFS(SessionLog!$B$2:$B$309,$A14,SessionLog!$E$2:$E$309,"SE_neo4j.Posts",SessionLog!$F$2:$F$309,"D")</f>
        <v/>
      </c>
      <c r="Z14" s="2">
        <f>COUNTIFS(SessionLog!$B$2:$B$309,$A14,SessionLog!$E$2:$E$309,"SE_neo4j.Comments",SessionLog!$F$2:$F$309,"F")</f>
        <v/>
      </c>
      <c r="AA14" s="2">
        <f>COUNTIFS(SessionLog!$B$2:$B$309,$A14,SessionLog!$E$2:$E$309,"SE_neo4j.Comments",SessionLog!$F$2:$F$309,"D")</f>
        <v/>
      </c>
      <c r="AB14" s="2">
        <f>COUNTIFS(SessionLog!$B$2:$B$309,$A14,SessionLog!$E$2:$E$309,"SE_neo4j.Users",SessionLog!$F$2:$F$309,"F")</f>
        <v/>
      </c>
      <c r="AC14" s="2">
        <f>COUNTIFS(SessionLog!$B$2:$B$309,$A14,SessionLog!$E$2:$E$309,"SE_neo4j.Users",SessionLog!$F$2:$F$309,"D")</f>
        <v/>
      </c>
      <c r="AD14" s="2">
        <f>COUNTIFS(SessionLog!$B$2:$B$309,$A14,SessionLog!$E$2:$E$309,"SE_neo4j.Tags",SessionLog!$F$2:$F$309,"F")</f>
        <v/>
      </c>
      <c r="AE14" s="2">
        <f>COUNTIFS(SessionLog!$B$2:$B$309,$A14,SessionLog!$E$2:$E$309,"SE_neo4j.Tags",SessionLog!$F$2:$F$309,"D")</f>
        <v/>
      </c>
    </row>
    <row r="15">
      <c r="A15" s="2" t="inlineStr">
        <is>
          <t>X1</t>
        </is>
      </c>
      <c r="B15" s="2">
        <f>COUNTIFS(SessionLog!$B$2:$B$309,$A15,SessionLog!$E$2:$E$309,"SE_mysql.postes",SessionLog!$F$2:$F$309,"F")</f>
        <v/>
      </c>
      <c r="C15" s="2">
        <f>COUNTIFS(SessionLog!$B$2:$B$309,$A15,SessionLog!$E$2:$E$309,"SE_mysql.postes",SessionLog!$F$2:$F$309,"D")</f>
        <v/>
      </c>
      <c r="D15" s="2">
        <f>COUNTIFS(SessionLog!$B$2:$B$309,$A15,SessionLog!$E$2:$E$309,"SE_mysql.Posttypes",SessionLog!$F$2:$F$309,"F")</f>
        <v/>
      </c>
      <c r="E15" s="2">
        <f>COUNTIFS(SessionLog!$B$2:$B$309,$A15,SessionLog!$E$2:$E$309,"SE_mysql.Posttypes",SessionLog!$F$2:$F$309,"D")</f>
        <v/>
      </c>
      <c r="F15" s="2">
        <f>COUNTIFS(SessionLog!$B$2:$B$309,$A15,SessionLog!$E$2:$E$309,"SE_mysql.Users",SessionLog!$F$2:$F$309,"F")</f>
        <v/>
      </c>
      <c r="G15" s="2">
        <f>COUNTIFS(SessionLog!$B$2:$B$309,$A15,SessionLog!$E$2:$E$309,"SE_mysql.Users",SessionLog!$F$2:$F$309,"D")</f>
        <v/>
      </c>
      <c r="H15" s="2">
        <f>COUNTIFS(SessionLog!$B$2:$B$309,$A15,SessionLog!$E$2:$E$309,"SE_mysql.Flagtypes",SessionLog!$F$2:$F$309,"F")</f>
        <v/>
      </c>
      <c r="I15" s="2">
        <f>COUNTIFS(SessionLog!$B$2:$B$309,$A15,SessionLog!$E$2:$E$309,"SE_mysql.Flagtypes",SessionLog!$F$2:$F$309,"D")</f>
        <v/>
      </c>
      <c r="J15" s="2">
        <f>COUNTIFS(SessionLog!$B$2:$B$309,$A15,SessionLog!$E$2:$E$309,"SE_mysql.Votes",SessionLog!$F$2:$F$309,"F")</f>
        <v/>
      </c>
      <c r="K15" s="2">
        <f>COUNTIFS(SessionLog!$B$2:$B$309,$A15,SessionLog!$E$2:$E$309,"SE_mysql.Votes",SessionLog!$F$2:$F$309,"D")</f>
        <v/>
      </c>
      <c r="L15" s="2">
        <f>COUNTIFS(SessionLog!$B$2:$B$309,$A15,SessionLog!$E$2:$E$309,"SE_mysql.Votetypes",SessionLog!$F$2:$F$309,"F")</f>
        <v/>
      </c>
      <c r="M15" s="2">
        <f>COUNTIFS(SessionLog!$B$2:$B$309,$A15,SessionLog!$E$2:$E$309,"SE_mysql.Votetypes",SessionLog!$F$2:$F$309,"D")</f>
        <v/>
      </c>
      <c r="N15" s="2">
        <f>COUNTIFS(SessionLog!$B$2:$B$309,$A15,SessionLog!$E$2:$E$309,"SE_mongodb.Badges",SessionLog!$F$2:$F$309,"F")</f>
        <v/>
      </c>
      <c r="O15" s="2">
        <f>COUNTIFS(SessionLog!$B$2:$B$309,$A15,SessionLog!$E$2:$E$309,"SE_mongodb.Badges",SessionLog!$F$2:$F$309,"D")</f>
        <v/>
      </c>
      <c r="P15" s="2">
        <f>COUNTIFS(SessionLog!$B$2:$B$309,$A15,SessionLog!$E$2:$E$309,"SE_mongodb.Posts",SessionLog!$F$2:$F$309,"F")</f>
        <v/>
      </c>
      <c r="Q15" s="2">
        <f>COUNTIFS(SessionLog!$B$2:$B$309,$A15,SessionLog!$E$2:$E$309,"SE_mongodb.Posts",SessionLog!$F$2:$F$309,"D")</f>
        <v/>
      </c>
      <c r="R15" s="2">
        <f>COUNTIFS(SessionLog!$B$2:$B$309,$A15,SessionLog!$E$2:$E$309,"SE_mongodb.Users",SessionLog!$F$2:$F$309,"F")</f>
        <v/>
      </c>
      <c r="S15" s="2">
        <f>COUNTIFS(SessionLog!$B$2:$B$309,$A15,SessionLog!$E$2:$E$309,"SE_mongodb.Users",SessionLog!$F$2:$F$309,"D")</f>
        <v/>
      </c>
      <c r="T15" s="2">
        <f>COUNTIFS(SessionLog!$B$2:$B$309,$A15,SessionLog!$E$2:$E$309,"SE_mongodb.Comments",SessionLog!$F$2:$F$309,"F")</f>
        <v/>
      </c>
      <c r="U15" s="2">
        <f>COUNTIFS(SessionLog!$B$2:$B$309,$A15,SessionLog!$E$2:$E$309,"SE_mongodb.Comments",SessionLog!$F$2:$F$309,"D")</f>
        <v/>
      </c>
      <c r="V15" s="2">
        <f>COUNTIFS(SessionLog!$B$2:$B$309,$A15,SessionLog!$E$2:$E$309,"SE_neo4j.postlinks",SessionLog!$F$2:$F$309,"F")</f>
        <v/>
      </c>
      <c r="W15" s="2">
        <f>COUNTIFS(SessionLog!$B$2:$B$309,$A15,SessionLog!$E$2:$E$309,"SE_neo4j.postlinks",SessionLog!$F$2:$F$309,"D")</f>
        <v/>
      </c>
      <c r="X15" s="2">
        <f>COUNTIFS(SessionLog!$B$2:$B$309,$A15,SessionLog!$E$2:$E$309,"SE_neo4j.Posts",SessionLog!$F$2:$F$309,"F")</f>
        <v/>
      </c>
      <c r="Y15" s="2">
        <f>COUNTIFS(SessionLog!$B$2:$B$309,$A15,SessionLog!$E$2:$E$309,"SE_neo4j.Posts",SessionLog!$F$2:$F$309,"D")</f>
        <v/>
      </c>
      <c r="Z15" s="2">
        <f>COUNTIFS(SessionLog!$B$2:$B$309,$A15,SessionLog!$E$2:$E$309,"SE_neo4j.Comments",SessionLog!$F$2:$F$309,"F")</f>
        <v/>
      </c>
      <c r="AA15" s="2">
        <f>COUNTIFS(SessionLog!$B$2:$B$309,$A15,SessionLog!$E$2:$E$309,"SE_neo4j.Comments",SessionLog!$F$2:$F$309,"D")</f>
        <v/>
      </c>
      <c r="AB15" s="2">
        <f>COUNTIFS(SessionLog!$B$2:$B$309,$A15,SessionLog!$E$2:$E$309,"SE_neo4j.Users",SessionLog!$F$2:$F$309,"F")</f>
        <v/>
      </c>
      <c r="AC15" s="2">
        <f>COUNTIFS(SessionLog!$B$2:$B$309,$A15,SessionLog!$E$2:$E$309,"SE_neo4j.Users",SessionLog!$F$2:$F$309,"D")</f>
        <v/>
      </c>
      <c r="AD15" s="2">
        <f>COUNTIFS(SessionLog!$B$2:$B$309,$A15,SessionLog!$E$2:$E$309,"SE_neo4j.Tags",SessionLog!$F$2:$F$309,"F")</f>
        <v/>
      </c>
      <c r="AE15" s="2">
        <f>COUNTIFS(SessionLog!$B$2:$B$309,$A15,SessionLog!$E$2:$E$309,"SE_neo4j.Tags",SessionLog!$F$2:$F$309,"D")</f>
        <v/>
      </c>
    </row>
    <row r="16">
      <c r="A16" s="2" t="inlineStr">
        <is>
          <t>X2</t>
        </is>
      </c>
      <c r="B16" s="2">
        <f>COUNTIFS(SessionLog!$B$2:$B$309,$A16,SessionLog!$E$2:$E$309,"SE_mysql.postes",SessionLog!$F$2:$F$309,"F")</f>
        <v/>
      </c>
      <c r="C16" s="2">
        <f>COUNTIFS(SessionLog!$B$2:$B$309,$A16,SessionLog!$E$2:$E$309,"SE_mysql.postes",SessionLog!$F$2:$F$309,"D")</f>
        <v/>
      </c>
      <c r="D16" s="2">
        <f>COUNTIFS(SessionLog!$B$2:$B$309,$A16,SessionLog!$E$2:$E$309,"SE_mysql.Posttypes",SessionLog!$F$2:$F$309,"F")</f>
        <v/>
      </c>
      <c r="E16" s="2">
        <f>COUNTIFS(SessionLog!$B$2:$B$309,$A16,SessionLog!$E$2:$E$309,"SE_mysql.Posttypes",SessionLog!$F$2:$F$309,"D")</f>
        <v/>
      </c>
      <c r="F16" s="2">
        <f>COUNTIFS(SessionLog!$B$2:$B$309,$A16,SessionLog!$E$2:$E$309,"SE_mysql.Users",SessionLog!$F$2:$F$309,"F")</f>
        <v/>
      </c>
      <c r="G16" s="2">
        <f>COUNTIFS(SessionLog!$B$2:$B$309,$A16,SessionLog!$E$2:$E$309,"SE_mysql.Users",SessionLog!$F$2:$F$309,"D")</f>
        <v/>
      </c>
      <c r="H16" s="2">
        <f>COUNTIFS(SessionLog!$B$2:$B$309,$A16,SessionLog!$E$2:$E$309,"SE_mysql.Flagtypes",SessionLog!$F$2:$F$309,"F")</f>
        <v/>
      </c>
      <c r="I16" s="2">
        <f>COUNTIFS(SessionLog!$B$2:$B$309,$A16,SessionLog!$E$2:$E$309,"SE_mysql.Flagtypes",SessionLog!$F$2:$F$309,"D")</f>
        <v/>
      </c>
      <c r="J16" s="2">
        <f>COUNTIFS(SessionLog!$B$2:$B$309,$A16,SessionLog!$E$2:$E$309,"SE_mysql.Votes",SessionLog!$F$2:$F$309,"F")</f>
        <v/>
      </c>
      <c r="K16" s="2">
        <f>COUNTIFS(SessionLog!$B$2:$B$309,$A16,SessionLog!$E$2:$E$309,"SE_mysql.Votes",SessionLog!$F$2:$F$309,"D")</f>
        <v/>
      </c>
      <c r="L16" s="2">
        <f>COUNTIFS(SessionLog!$B$2:$B$309,$A16,SessionLog!$E$2:$E$309,"SE_mysql.Votetypes",SessionLog!$F$2:$F$309,"F")</f>
        <v/>
      </c>
      <c r="M16" s="2">
        <f>COUNTIFS(SessionLog!$B$2:$B$309,$A16,SessionLog!$E$2:$E$309,"SE_mysql.Votetypes",SessionLog!$F$2:$F$309,"D")</f>
        <v/>
      </c>
      <c r="N16" s="2">
        <f>COUNTIFS(SessionLog!$B$2:$B$309,$A16,SessionLog!$E$2:$E$309,"SE_mongodb.Badges",SessionLog!$F$2:$F$309,"F")</f>
        <v/>
      </c>
      <c r="O16" s="2">
        <f>COUNTIFS(SessionLog!$B$2:$B$309,$A16,SessionLog!$E$2:$E$309,"SE_mongodb.Badges",SessionLog!$F$2:$F$309,"D")</f>
        <v/>
      </c>
      <c r="P16" s="2">
        <f>COUNTIFS(SessionLog!$B$2:$B$309,$A16,SessionLog!$E$2:$E$309,"SE_mongodb.Posts",SessionLog!$F$2:$F$309,"F")</f>
        <v/>
      </c>
      <c r="Q16" s="2">
        <f>COUNTIFS(SessionLog!$B$2:$B$309,$A16,SessionLog!$E$2:$E$309,"SE_mongodb.Posts",SessionLog!$F$2:$F$309,"D")</f>
        <v/>
      </c>
      <c r="R16" s="2">
        <f>COUNTIFS(SessionLog!$B$2:$B$309,$A16,SessionLog!$E$2:$E$309,"SE_mongodb.Users",SessionLog!$F$2:$F$309,"F")</f>
        <v/>
      </c>
      <c r="S16" s="2">
        <f>COUNTIFS(SessionLog!$B$2:$B$309,$A16,SessionLog!$E$2:$E$309,"SE_mongodb.Users",SessionLog!$F$2:$F$309,"D")</f>
        <v/>
      </c>
      <c r="T16" s="2">
        <f>COUNTIFS(SessionLog!$B$2:$B$309,$A16,SessionLog!$E$2:$E$309,"SE_mongodb.Comments",SessionLog!$F$2:$F$309,"F")</f>
        <v/>
      </c>
      <c r="U16" s="2">
        <f>COUNTIFS(SessionLog!$B$2:$B$309,$A16,SessionLog!$E$2:$E$309,"SE_mongodb.Comments",SessionLog!$F$2:$F$309,"D")</f>
        <v/>
      </c>
      <c r="V16" s="2">
        <f>COUNTIFS(SessionLog!$B$2:$B$309,$A16,SessionLog!$E$2:$E$309,"SE_neo4j.postlinks",SessionLog!$F$2:$F$309,"F")</f>
        <v/>
      </c>
      <c r="W16" s="2">
        <f>COUNTIFS(SessionLog!$B$2:$B$309,$A16,SessionLog!$E$2:$E$309,"SE_neo4j.postlinks",SessionLog!$F$2:$F$309,"D")</f>
        <v/>
      </c>
      <c r="X16" s="2">
        <f>COUNTIFS(SessionLog!$B$2:$B$309,$A16,SessionLog!$E$2:$E$309,"SE_neo4j.Posts",SessionLog!$F$2:$F$309,"F")</f>
        <v/>
      </c>
      <c r="Y16" s="2">
        <f>COUNTIFS(SessionLog!$B$2:$B$309,$A16,SessionLog!$E$2:$E$309,"SE_neo4j.Posts",SessionLog!$F$2:$F$309,"D")</f>
        <v/>
      </c>
      <c r="Z16" s="2">
        <f>COUNTIFS(SessionLog!$B$2:$B$309,$A16,SessionLog!$E$2:$E$309,"SE_neo4j.Comments",SessionLog!$F$2:$F$309,"F")</f>
        <v/>
      </c>
      <c r="AA16" s="2">
        <f>COUNTIFS(SessionLog!$B$2:$B$309,$A16,SessionLog!$E$2:$E$309,"SE_neo4j.Comments",SessionLog!$F$2:$F$309,"D")</f>
        <v/>
      </c>
      <c r="AB16" s="2">
        <f>COUNTIFS(SessionLog!$B$2:$B$309,$A16,SessionLog!$E$2:$E$309,"SE_neo4j.Users",SessionLog!$F$2:$F$309,"F")</f>
        <v/>
      </c>
      <c r="AC16" s="2">
        <f>COUNTIFS(SessionLog!$B$2:$B$309,$A16,SessionLog!$E$2:$E$309,"SE_neo4j.Users",SessionLog!$F$2:$F$309,"D")</f>
        <v/>
      </c>
      <c r="AD16" s="2">
        <f>COUNTIFS(SessionLog!$B$2:$B$309,$A16,SessionLog!$E$2:$E$309,"SE_neo4j.Tags",SessionLog!$F$2:$F$309,"F")</f>
        <v/>
      </c>
      <c r="AE16" s="2">
        <f>COUNTIFS(SessionLog!$B$2:$B$309,$A16,SessionLog!$E$2:$E$309,"SE_neo4j.Tags",SessionLog!$F$2:$F$309,"D")</f>
        <v/>
      </c>
    </row>
    <row r="17">
      <c r="A17" s="2" t="inlineStr">
        <is>
          <t>COLD1</t>
        </is>
      </c>
      <c r="B17" s="2">
        <f>COUNTIFS(SessionLog!$B$2:$B$309,$A17,SessionLog!$E$2:$E$309,"SE_mysql.postes",SessionLog!$F$2:$F$309,"F")</f>
        <v/>
      </c>
      <c r="C17" s="2">
        <f>COUNTIFS(SessionLog!$B$2:$B$309,$A17,SessionLog!$E$2:$E$309,"SE_mysql.postes",SessionLog!$F$2:$F$309,"D")</f>
        <v/>
      </c>
      <c r="D17" s="2">
        <f>COUNTIFS(SessionLog!$B$2:$B$309,$A17,SessionLog!$E$2:$E$309,"SE_mysql.Posttypes",SessionLog!$F$2:$F$309,"F")</f>
        <v/>
      </c>
      <c r="E17" s="2">
        <f>COUNTIFS(SessionLog!$B$2:$B$309,$A17,SessionLog!$E$2:$E$309,"SE_mysql.Posttypes",SessionLog!$F$2:$F$309,"D")</f>
        <v/>
      </c>
      <c r="F17" s="2">
        <f>COUNTIFS(SessionLog!$B$2:$B$309,$A17,SessionLog!$E$2:$E$309,"SE_mysql.Users",SessionLog!$F$2:$F$309,"F")</f>
        <v/>
      </c>
      <c r="G17" s="2">
        <f>COUNTIFS(SessionLog!$B$2:$B$309,$A17,SessionLog!$E$2:$E$309,"SE_mysql.Users",SessionLog!$F$2:$F$309,"D")</f>
        <v/>
      </c>
      <c r="H17" s="2">
        <f>COUNTIFS(SessionLog!$B$2:$B$309,$A17,SessionLog!$E$2:$E$309,"SE_mysql.Flagtypes",SessionLog!$F$2:$F$309,"F")</f>
        <v/>
      </c>
      <c r="I17" s="2">
        <f>COUNTIFS(SessionLog!$B$2:$B$309,$A17,SessionLog!$E$2:$E$309,"SE_mysql.Flagtypes",SessionLog!$F$2:$F$309,"D")</f>
        <v/>
      </c>
      <c r="J17" s="2">
        <f>COUNTIFS(SessionLog!$B$2:$B$309,$A17,SessionLog!$E$2:$E$309,"SE_mysql.Votes",SessionLog!$F$2:$F$309,"F")</f>
        <v/>
      </c>
      <c r="K17" s="2">
        <f>COUNTIFS(SessionLog!$B$2:$B$309,$A17,SessionLog!$E$2:$E$309,"SE_mysql.Votes",SessionLog!$F$2:$F$309,"D")</f>
        <v/>
      </c>
      <c r="L17" s="2">
        <f>COUNTIFS(SessionLog!$B$2:$B$309,$A17,SessionLog!$E$2:$E$309,"SE_mysql.Votetypes",SessionLog!$F$2:$F$309,"F")</f>
        <v/>
      </c>
      <c r="M17" s="2">
        <f>COUNTIFS(SessionLog!$B$2:$B$309,$A17,SessionLog!$E$2:$E$309,"SE_mysql.Votetypes",SessionLog!$F$2:$F$309,"D")</f>
        <v/>
      </c>
      <c r="N17" s="2">
        <f>COUNTIFS(SessionLog!$B$2:$B$309,$A17,SessionLog!$E$2:$E$309,"SE_mongodb.Badges",SessionLog!$F$2:$F$309,"F")</f>
        <v/>
      </c>
      <c r="O17" s="2">
        <f>COUNTIFS(SessionLog!$B$2:$B$309,$A17,SessionLog!$E$2:$E$309,"SE_mongodb.Badges",SessionLog!$F$2:$F$309,"D")</f>
        <v/>
      </c>
      <c r="P17" s="2">
        <f>COUNTIFS(SessionLog!$B$2:$B$309,$A17,SessionLog!$E$2:$E$309,"SE_mongodb.Posts",SessionLog!$F$2:$F$309,"F")</f>
        <v/>
      </c>
      <c r="Q17" s="2">
        <f>COUNTIFS(SessionLog!$B$2:$B$309,$A17,SessionLog!$E$2:$E$309,"SE_mongodb.Posts",SessionLog!$F$2:$F$309,"D")</f>
        <v/>
      </c>
      <c r="R17" s="2">
        <f>COUNTIFS(SessionLog!$B$2:$B$309,$A17,SessionLog!$E$2:$E$309,"SE_mongodb.Users",SessionLog!$F$2:$F$309,"F")</f>
        <v/>
      </c>
      <c r="S17" s="2">
        <f>COUNTIFS(SessionLog!$B$2:$B$309,$A17,SessionLog!$E$2:$E$309,"SE_mongodb.Users",SessionLog!$F$2:$F$309,"D")</f>
        <v/>
      </c>
      <c r="T17" s="2">
        <f>COUNTIFS(SessionLog!$B$2:$B$309,$A17,SessionLog!$E$2:$E$309,"SE_mongodb.Comments",SessionLog!$F$2:$F$309,"F")</f>
        <v/>
      </c>
      <c r="U17" s="2">
        <f>COUNTIFS(SessionLog!$B$2:$B$309,$A17,SessionLog!$E$2:$E$309,"SE_mongodb.Comments",SessionLog!$F$2:$F$309,"D")</f>
        <v/>
      </c>
      <c r="V17" s="2">
        <f>COUNTIFS(SessionLog!$B$2:$B$309,$A17,SessionLog!$E$2:$E$309,"SE_neo4j.postlinks",SessionLog!$F$2:$F$309,"F")</f>
        <v/>
      </c>
      <c r="W17" s="2">
        <f>COUNTIFS(SessionLog!$B$2:$B$309,$A17,SessionLog!$E$2:$E$309,"SE_neo4j.postlinks",SessionLog!$F$2:$F$309,"D")</f>
        <v/>
      </c>
      <c r="X17" s="2">
        <f>COUNTIFS(SessionLog!$B$2:$B$309,$A17,SessionLog!$E$2:$E$309,"SE_neo4j.Posts",SessionLog!$F$2:$F$309,"F")</f>
        <v/>
      </c>
      <c r="Y17" s="2">
        <f>COUNTIFS(SessionLog!$B$2:$B$309,$A17,SessionLog!$E$2:$E$309,"SE_neo4j.Posts",SessionLog!$F$2:$F$309,"D")</f>
        <v/>
      </c>
      <c r="Z17" s="2">
        <f>COUNTIFS(SessionLog!$B$2:$B$309,$A17,SessionLog!$E$2:$E$309,"SE_neo4j.Comments",SessionLog!$F$2:$F$309,"F")</f>
        <v/>
      </c>
      <c r="AA17" s="2">
        <f>COUNTIFS(SessionLog!$B$2:$B$309,$A17,SessionLog!$E$2:$E$309,"SE_neo4j.Comments",SessionLog!$F$2:$F$309,"D")</f>
        <v/>
      </c>
      <c r="AB17" s="2">
        <f>COUNTIFS(SessionLog!$B$2:$B$309,$A17,SessionLog!$E$2:$E$309,"SE_neo4j.Users",SessionLog!$F$2:$F$309,"F")</f>
        <v/>
      </c>
      <c r="AC17" s="2">
        <f>COUNTIFS(SessionLog!$B$2:$B$309,$A17,SessionLog!$E$2:$E$309,"SE_neo4j.Users",SessionLog!$F$2:$F$309,"D")</f>
        <v/>
      </c>
      <c r="AD17" s="2">
        <f>COUNTIFS(SessionLog!$B$2:$B$309,$A17,SessionLog!$E$2:$E$309,"SE_neo4j.Tags",SessionLog!$F$2:$F$309,"F")</f>
        <v/>
      </c>
      <c r="AE17" s="2">
        <f>COUNTIFS(SessionLog!$B$2:$B$309,$A17,SessionLog!$E$2:$E$309,"SE_neo4j.Tags",SessionLog!$F$2:$F$309,"D")</f>
        <v/>
      </c>
    </row>
    <row r="18">
      <c r="A18" s="2" t="inlineStr">
        <is>
          <t>COLD2</t>
        </is>
      </c>
      <c r="B18" s="2">
        <f>COUNTIFS(SessionLog!$B$2:$B$309,$A18,SessionLog!$E$2:$E$309,"SE_mysql.postes",SessionLog!$F$2:$F$309,"F")</f>
        <v/>
      </c>
      <c r="C18" s="2">
        <f>COUNTIFS(SessionLog!$B$2:$B$309,$A18,SessionLog!$E$2:$E$309,"SE_mysql.postes",SessionLog!$F$2:$F$309,"D")</f>
        <v/>
      </c>
      <c r="D18" s="2">
        <f>COUNTIFS(SessionLog!$B$2:$B$309,$A18,SessionLog!$E$2:$E$309,"SE_mysql.Posttypes",SessionLog!$F$2:$F$309,"F")</f>
        <v/>
      </c>
      <c r="E18" s="2">
        <f>COUNTIFS(SessionLog!$B$2:$B$309,$A18,SessionLog!$E$2:$E$309,"SE_mysql.Posttypes",SessionLog!$F$2:$F$309,"D")</f>
        <v/>
      </c>
      <c r="F18" s="2">
        <f>COUNTIFS(SessionLog!$B$2:$B$309,$A18,SessionLog!$E$2:$E$309,"SE_mysql.Users",SessionLog!$F$2:$F$309,"F")</f>
        <v/>
      </c>
      <c r="G18" s="2">
        <f>COUNTIFS(SessionLog!$B$2:$B$309,$A18,SessionLog!$E$2:$E$309,"SE_mysql.Users",SessionLog!$F$2:$F$309,"D")</f>
        <v/>
      </c>
      <c r="H18" s="2">
        <f>COUNTIFS(SessionLog!$B$2:$B$309,$A18,SessionLog!$E$2:$E$309,"SE_mysql.Flagtypes",SessionLog!$F$2:$F$309,"F")</f>
        <v/>
      </c>
      <c r="I18" s="2">
        <f>COUNTIFS(SessionLog!$B$2:$B$309,$A18,SessionLog!$E$2:$E$309,"SE_mysql.Flagtypes",SessionLog!$F$2:$F$309,"D")</f>
        <v/>
      </c>
      <c r="J18" s="2">
        <f>COUNTIFS(SessionLog!$B$2:$B$309,$A18,SessionLog!$E$2:$E$309,"SE_mysql.Votes",SessionLog!$F$2:$F$309,"F")</f>
        <v/>
      </c>
      <c r="K18" s="2">
        <f>COUNTIFS(SessionLog!$B$2:$B$309,$A18,SessionLog!$E$2:$E$309,"SE_mysql.Votes",SessionLog!$F$2:$F$309,"D")</f>
        <v/>
      </c>
      <c r="L18" s="2">
        <f>COUNTIFS(SessionLog!$B$2:$B$309,$A18,SessionLog!$E$2:$E$309,"SE_mysql.Votetypes",SessionLog!$F$2:$F$309,"F")</f>
        <v/>
      </c>
      <c r="M18" s="2">
        <f>COUNTIFS(SessionLog!$B$2:$B$309,$A18,SessionLog!$E$2:$E$309,"SE_mysql.Votetypes",SessionLog!$F$2:$F$309,"D")</f>
        <v/>
      </c>
      <c r="N18" s="2">
        <f>COUNTIFS(SessionLog!$B$2:$B$309,$A18,SessionLog!$E$2:$E$309,"SE_mongodb.Badges",SessionLog!$F$2:$F$309,"F")</f>
        <v/>
      </c>
      <c r="O18" s="2">
        <f>COUNTIFS(SessionLog!$B$2:$B$309,$A18,SessionLog!$E$2:$E$309,"SE_mongodb.Badges",SessionLog!$F$2:$F$309,"D")</f>
        <v/>
      </c>
      <c r="P18" s="2">
        <f>COUNTIFS(SessionLog!$B$2:$B$309,$A18,SessionLog!$E$2:$E$309,"SE_mongodb.Posts",SessionLog!$F$2:$F$309,"F")</f>
        <v/>
      </c>
      <c r="Q18" s="2">
        <f>COUNTIFS(SessionLog!$B$2:$B$309,$A18,SessionLog!$E$2:$E$309,"SE_mongodb.Posts",SessionLog!$F$2:$F$309,"D")</f>
        <v/>
      </c>
      <c r="R18" s="2">
        <f>COUNTIFS(SessionLog!$B$2:$B$309,$A18,SessionLog!$E$2:$E$309,"SE_mongodb.Users",SessionLog!$F$2:$F$309,"F")</f>
        <v/>
      </c>
      <c r="S18" s="2">
        <f>COUNTIFS(SessionLog!$B$2:$B$309,$A18,SessionLog!$E$2:$E$309,"SE_mongodb.Users",SessionLog!$F$2:$F$309,"D")</f>
        <v/>
      </c>
      <c r="T18" s="2">
        <f>COUNTIFS(SessionLog!$B$2:$B$309,$A18,SessionLog!$E$2:$E$309,"SE_mongodb.Comments",SessionLog!$F$2:$F$309,"F")</f>
        <v/>
      </c>
      <c r="U18" s="2">
        <f>COUNTIFS(SessionLog!$B$2:$B$309,$A18,SessionLog!$E$2:$E$309,"SE_mongodb.Comments",SessionLog!$F$2:$F$309,"D")</f>
        <v/>
      </c>
      <c r="V18" s="2">
        <f>COUNTIFS(SessionLog!$B$2:$B$309,$A18,SessionLog!$E$2:$E$309,"SE_neo4j.postlinks",SessionLog!$F$2:$F$309,"F")</f>
        <v/>
      </c>
      <c r="W18" s="2">
        <f>COUNTIFS(SessionLog!$B$2:$B$309,$A18,SessionLog!$E$2:$E$309,"SE_neo4j.postlinks",SessionLog!$F$2:$F$309,"D")</f>
        <v/>
      </c>
      <c r="X18" s="2">
        <f>COUNTIFS(SessionLog!$B$2:$B$309,$A18,SessionLog!$E$2:$E$309,"SE_neo4j.Posts",SessionLog!$F$2:$F$309,"F")</f>
        <v/>
      </c>
      <c r="Y18" s="2">
        <f>COUNTIFS(SessionLog!$B$2:$B$309,$A18,SessionLog!$E$2:$E$309,"SE_neo4j.Posts",SessionLog!$F$2:$F$309,"D")</f>
        <v/>
      </c>
      <c r="Z18" s="2">
        <f>COUNTIFS(SessionLog!$B$2:$B$309,$A18,SessionLog!$E$2:$E$309,"SE_neo4j.Comments",SessionLog!$F$2:$F$309,"F")</f>
        <v/>
      </c>
      <c r="AA18" s="2">
        <f>COUNTIFS(SessionLog!$B$2:$B$309,$A18,SessionLog!$E$2:$E$309,"SE_neo4j.Comments",SessionLog!$F$2:$F$309,"D")</f>
        <v/>
      </c>
      <c r="AB18" s="2">
        <f>COUNTIFS(SessionLog!$B$2:$B$309,$A18,SessionLog!$E$2:$E$309,"SE_neo4j.Users",SessionLog!$F$2:$F$309,"F")</f>
        <v/>
      </c>
      <c r="AC18" s="2">
        <f>COUNTIFS(SessionLog!$B$2:$B$309,$A18,SessionLog!$E$2:$E$309,"SE_neo4j.Users",SessionLog!$F$2:$F$309,"D")</f>
        <v/>
      </c>
      <c r="AD18" s="2">
        <f>COUNTIFS(SessionLog!$B$2:$B$309,$A18,SessionLog!$E$2:$E$309,"SE_neo4j.Tags",SessionLog!$F$2:$F$309,"F")</f>
        <v/>
      </c>
      <c r="AE18" s="2">
        <f>COUNTIFS(SessionLog!$B$2:$B$309,$A18,SessionLog!$E$2:$E$309,"SE_neo4j.Tags",SessionLog!$F$2:$F$309,"D")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>
      <c r="A1" s="1" t="inlineStr">
        <is>
          <t>Analyste</t>
        </is>
      </c>
      <c r="B1" s="1" t="inlineStr">
        <is>
          <t>SE_mysql.postes.Id (M)</t>
        </is>
      </c>
      <c r="C1" s="1" t="inlineStr">
        <is>
          <t>SE_mysql.postes.Id (P)</t>
        </is>
      </c>
      <c r="D1" s="1" t="inlineStr">
        <is>
          <t>SE_mysql.postes.PostTypeId (M)</t>
        </is>
      </c>
      <c r="E1" s="1" t="inlineStr">
        <is>
          <t>SE_mysql.postes.PostTypeId (P)</t>
        </is>
      </c>
      <c r="F1" s="1" t="inlineStr">
        <is>
          <t>SE_mysql.postes.Title (M)</t>
        </is>
      </c>
      <c r="G1" s="1" t="inlineStr">
        <is>
          <t>SE_mysql.postes.Title (P)</t>
        </is>
      </c>
      <c r="H1" s="1" t="inlineStr">
        <is>
          <t>SE_mysql.postes.OwnerUserId (M)</t>
        </is>
      </c>
      <c r="I1" s="1" t="inlineStr">
        <is>
          <t>SE_mysql.postes.OwnerUserId (P)</t>
        </is>
      </c>
      <c r="J1" s="1" t="inlineStr">
        <is>
          <t>SE_mysql.postes.ViewCount (M)</t>
        </is>
      </c>
      <c r="K1" s="1" t="inlineStr">
        <is>
          <t>SE_mysql.postes.ViewCount (P)</t>
        </is>
      </c>
      <c r="L1" s="1" t="inlineStr">
        <is>
          <t>SE_mysql.postes.LastEditDate (M)</t>
        </is>
      </c>
      <c r="M1" s="1" t="inlineStr">
        <is>
          <t>SE_mysql.postes.LastEditDate (P)</t>
        </is>
      </c>
      <c r="N1" s="1" t="inlineStr">
        <is>
          <t>SE_mysql.postes.LastEditorUserId (M)</t>
        </is>
      </c>
      <c r="O1" s="1" t="inlineStr">
        <is>
          <t>SE_mysql.postes.LastEditorUserId (P)</t>
        </is>
      </c>
      <c r="P1" s="1" t="inlineStr">
        <is>
          <t>SE_mysql.postes.CreationDate (M)</t>
        </is>
      </c>
      <c r="Q1" s="1" t="inlineStr">
        <is>
          <t>SE_mysql.postes.CreationDate (P)</t>
        </is>
      </c>
      <c r="R1" s="1" t="inlineStr">
        <is>
          <t>SE_mysql.Posttypes.Id (M)</t>
        </is>
      </c>
      <c r="S1" s="1" t="inlineStr">
        <is>
          <t>SE_mysql.Posttypes.Id (P)</t>
        </is>
      </c>
      <c r="T1" s="1" t="inlineStr">
        <is>
          <t>SE_mysql.Posttypes.Name (M)</t>
        </is>
      </c>
      <c r="U1" s="1" t="inlineStr">
        <is>
          <t>SE_mysql.Posttypes.Name (P)</t>
        </is>
      </c>
      <c r="V1" s="1" t="inlineStr">
        <is>
          <t>SE_mysql.Users.Id (M)</t>
        </is>
      </c>
      <c r="W1" s="1" t="inlineStr">
        <is>
          <t>SE_mysql.Users.Id (P)</t>
        </is>
      </c>
      <c r="X1" s="1" t="inlineStr">
        <is>
          <t>SE_mysql.Users.Views (M)</t>
        </is>
      </c>
      <c r="Y1" s="1" t="inlineStr">
        <is>
          <t>SE_mysql.Users.Views (P)</t>
        </is>
      </c>
      <c r="Z1" s="1" t="inlineStr">
        <is>
          <t>SE_mysql.Users.UpVotes (M)</t>
        </is>
      </c>
      <c r="AA1" s="1" t="inlineStr">
        <is>
          <t>SE_mysql.Users.UpVotes (P)</t>
        </is>
      </c>
      <c r="AB1" s="1" t="inlineStr">
        <is>
          <t>SE_mysql.Users.DisplayName (M)</t>
        </is>
      </c>
      <c r="AC1" s="1" t="inlineStr">
        <is>
          <t>SE_mysql.Users.DisplayName (P)</t>
        </is>
      </c>
      <c r="AD1" s="1" t="inlineStr">
        <is>
          <t>SE_mysql.Users.DownVotes (M)</t>
        </is>
      </c>
      <c r="AE1" s="1" t="inlineStr">
        <is>
          <t>SE_mysql.Users.DownVotes (P)</t>
        </is>
      </c>
      <c r="AF1" s="1" t="inlineStr">
        <is>
          <t>SE_mysql.Users.LastAccessDate (M)</t>
        </is>
      </c>
      <c r="AG1" s="1" t="inlineStr">
        <is>
          <t>SE_mysql.Users.LastAccessDate (P)</t>
        </is>
      </c>
      <c r="AH1" s="1" t="inlineStr">
        <is>
          <t>SE_mysql.Users.Reputation (M)</t>
        </is>
      </c>
      <c r="AI1" s="1" t="inlineStr">
        <is>
          <t>SE_mysql.Users.Reputation (P)</t>
        </is>
      </c>
      <c r="AJ1" s="1" t="inlineStr">
        <is>
          <t>SE_mysql.Flagtypes.Id (M)</t>
        </is>
      </c>
      <c r="AK1" s="1" t="inlineStr">
        <is>
          <t>SE_mysql.Flagtypes.Id (P)</t>
        </is>
      </c>
      <c r="AL1" s="1" t="inlineStr">
        <is>
          <t>SE_mysql.Flagtypes.Name (M)</t>
        </is>
      </c>
      <c r="AM1" s="1" t="inlineStr">
        <is>
          <t>SE_mysql.Flagtypes.Name (P)</t>
        </is>
      </c>
      <c r="AN1" s="1" t="inlineStr">
        <is>
          <t>SE_mysql.Votes.Id (M)</t>
        </is>
      </c>
      <c r="AO1" s="1" t="inlineStr">
        <is>
          <t>SE_mysql.Votes.Id (P)</t>
        </is>
      </c>
      <c r="AP1" s="1" t="inlineStr">
        <is>
          <t>SE_mysql.Votes.UserId (M)</t>
        </is>
      </c>
      <c r="AQ1" s="1" t="inlineStr">
        <is>
          <t>SE_mysql.Votes.UserId (P)</t>
        </is>
      </c>
      <c r="AR1" s="1" t="inlineStr">
        <is>
          <t>SE_mysql.Votes.BountyAmount (M)</t>
        </is>
      </c>
      <c r="AS1" s="1" t="inlineStr">
        <is>
          <t>SE_mysql.Votes.BountyAmount (P)</t>
        </is>
      </c>
      <c r="AT1" s="1" t="inlineStr">
        <is>
          <t>SE_mysql.Votes.CreationDate (M)</t>
        </is>
      </c>
      <c r="AU1" s="1" t="inlineStr">
        <is>
          <t>SE_mysql.Votes.CreationDate (P)</t>
        </is>
      </c>
      <c r="AV1" s="1" t="inlineStr">
        <is>
          <t>SE_mysql.Votes.PostId (M)</t>
        </is>
      </c>
      <c r="AW1" s="1" t="inlineStr">
        <is>
          <t>SE_mysql.Votes.PostId (P)</t>
        </is>
      </c>
      <c r="AX1" s="1" t="inlineStr">
        <is>
          <t>SE_mysql.Votes.VoteTypeId (M)</t>
        </is>
      </c>
      <c r="AY1" s="1" t="inlineStr">
        <is>
          <t>SE_mysql.Votes.VoteTypeId (P)</t>
        </is>
      </c>
      <c r="AZ1" s="1" t="inlineStr">
        <is>
          <t>SE_mysql.Votetypes.Id (M)</t>
        </is>
      </c>
      <c r="BA1" s="1" t="inlineStr">
        <is>
          <t>SE_mysql.Votetypes.Id (P)</t>
        </is>
      </c>
      <c r="BB1" s="1" t="inlineStr">
        <is>
          <t>SE_mysql.Votetypes.Name (M)</t>
        </is>
      </c>
      <c r="BC1" s="1" t="inlineStr">
        <is>
          <t>SE_mysql.Votetypes.Name (P)</t>
        </is>
      </c>
      <c r="BD1" s="1" t="inlineStr">
        <is>
          <t>SE_mongodb.Badges.Id (M)</t>
        </is>
      </c>
      <c r="BE1" s="1" t="inlineStr">
        <is>
          <t>SE_mongodb.Badges.Id (P)</t>
        </is>
      </c>
      <c r="BF1" s="1" t="inlineStr">
        <is>
          <t>SE_mongodb.Badges.UserId (M)</t>
        </is>
      </c>
      <c r="BG1" s="1" t="inlineStr">
        <is>
          <t>SE_mongodb.Badges.UserId (P)</t>
        </is>
      </c>
      <c r="BH1" s="1" t="inlineStr">
        <is>
          <t>SE_mongodb.Badges.Name (M)</t>
        </is>
      </c>
      <c r="BI1" s="1" t="inlineStr">
        <is>
          <t>SE_mongodb.Badges.Name (P)</t>
        </is>
      </c>
      <c r="BJ1" s="1" t="inlineStr">
        <is>
          <t>SE_mongodb.Badges.Date (M)</t>
        </is>
      </c>
      <c r="BK1" s="1" t="inlineStr">
        <is>
          <t>SE_mongodb.Badges.Date (P)</t>
        </is>
      </c>
      <c r="BL1" s="1" t="inlineStr">
        <is>
          <t>SE_mongodb.Posts.Id (M)</t>
        </is>
      </c>
      <c r="BM1" s="1" t="inlineStr">
        <is>
          <t>SE_mongodb.Posts.Id (P)</t>
        </is>
      </c>
      <c r="BN1" s="1" t="inlineStr">
        <is>
          <t>SE_mongodb.Posts.Tags (M)</t>
        </is>
      </c>
      <c r="BO1" s="1" t="inlineStr">
        <is>
          <t>SE_mongodb.Posts.Tags (P)</t>
        </is>
      </c>
      <c r="BP1" s="1" t="inlineStr">
        <is>
          <t>SE_mongodb.Posts.Body (M)</t>
        </is>
      </c>
      <c r="BQ1" s="1" t="inlineStr">
        <is>
          <t>SE_mongodb.Posts.Body (P)</t>
        </is>
      </c>
      <c r="BR1" s="1" t="inlineStr">
        <is>
          <t>SE_mongodb.Users.Id (M)</t>
        </is>
      </c>
      <c r="BS1" s="1" t="inlineStr">
        <is>
          <t>SE_mongodb.Users.Id (P)</t>
        </is>
      </c>
      <c r="BT1" s="1" t="inlineStr">
        <is>
          <t>SE_mongodb.Users.DisplayName (M)</t>
        </is>
      </c>
      <c r="BU1" s="1" t="inlineStr">
        <is>
          <t>SE_mongodb.Users.DisplayName (P)</t>
        </is>
      </c>
      <c r="BV1" s="1" t="inlineStr">
        <is>
          <t>SE_mongodb.Users.AboutMe (M)</t>
        </is>
      </c>
      <c r="BW1" s="1" t="inlineStr">
        <is>
          <t>SE_mongodb.Users.AboutMe (P)</t>
        </is>
      </c>
      <c r="BX1" s="1" t="inlineStr">
        <is>
          <t>SE_mongodb.Comments.Id (M)</t>
        </is>
      </c>
      <c r="BY1" s="1" t="inlineStr">
        <is>
          <t>SE_mongodb.Comments.Id (P)</t>
        </is>
      </c>
      <c r="BZ1" s="1" t="inlineStr">
        <is>
          <t>SE_mongodb.Comments.UserId (M)</t>
        </is>
      </c>
      <c r="CA1" s="1" t="inlineStr">
        <is>
          <t>SE_mongodb.Comments.UserId (P)</t>
        </is>
      </c>
      <c r="CB1" s="1" t="inlineStr">
        <is>
          <t>SE_mongodb.Comments.Text (M)</t>
        </is>
      </c>
      <c r="CC1" s="1" t="inlineStr">
        <is>
          <t>SE_mongodb.Comments.Text (P)</t>
        </is>
      </c>
      <c r="CD1" s="1" t="inlineStr">
        <is>
          <t>SE_mongodb.Comments.PostId (M)</t>
        </is>
      </c>
      <c r="CE1" s="1" t="inlineStr">
        <is>
          <t>SE_mongodb.Comments.PostId (P)</t>
        </is>
      </c>
      <c r="CF1" s="1" t="inlineStr">
        <is>
          <t>SE_neo4j.postlinks.id (M)</t>
        </is>
      </c>
      <c r="CG1" s="1" t="inlineStr">
        <is>
          <t>SE_neo4j.postlinks.id (P)</t>
        </is>
      </c>
      <c r="CH1" s="1" t="inlineStr">
        <is>
          <t>SE_neo4j.postlinks.LinkTypeId (M)</t>
        </is>
      </c>
      <c r="CI1" s="1" t="inlineStr">
        <is>
          <t>SE_neo4j.postlinks.LinkTypeId (P)</t>
        </is>
      </c>
      <c r="CJ1" s="1" t="inlineStr">
        <is>
          <t>SE_neo4j.postlinks.RelatedPostId (M)</t>
        </is>
      </c>
      <c r="CK1" s="1" t="inlineStr">
        <is>
          <t>SE_neo4j.postlinks.RelatedPostId (P)</t>
        </is>
      </c>
      <c r="CL1" s="1" t="inlineStr">
        <is>
          <t>SE_neo4j.postlinks.PostIdd (M)</t>
        </is>
      </c>
      <c r="CM1" s="1" t="inlineStr">
        <is>
          <t>SE_neo4j.postlinks.PostIdd (P)</t>
        </is>
      </c>
      <c r="CN1" s="1" t="inlineStr">
        <is>
          <t>SE_neo4j.postlinks.CreationDate (M)</t>
        </is>
      </c>
      <c r="CO1" s="1" t="inlineStr">
        <is>
          <t>SE_neo4j.postlinks.CreationDate (P)</t>
        </is>
      </c>
      <c r="CP1" s="1" t="inlineStr">
        <is>
          <t>SE_neo4j.Posts.id (M)</t>
        </is>
      </c>
      <c r="CQ1" s="1" t="inlineStr">
        <is>
          <t>SE_neo4j.Posts.id (P)</t>
        </is>
      </c>
      <c r="CR1" s="1" t="inlineStr">
        <is>
          <t>SE_neo4j.Posts.posttypeid (M)</t>
        </is>
      </c>
      <c r="CS1" s="1" t="inlineStr">
        <is>
          <t>SE_neo4j.Posts.posttypeid (P)</t>
        </is>
      </c>
      <c r="CT1" s="1" t="inlineStr">
        <is>
          <t>SE_neo4j.Posts.parentid (M)</t>
        </is>
      </c>
      <c r="CU1" s="1" t="inlineStr">
        <is>
          <t>SE_neo4j.Posts.parentid (P)</t>
        </is>
      </c>
      <c r="CV1" s="1" t="inlineStr">
        <is>
          <t>SE_neo4j.Posts.owneruserid (M)</t>
        </is>
      </c>
      <c r="CW1" s="1" t="inlineStr">
        <is>
          <t>SE_neo4j.Posts.owneruserid (P)</t>
        </is>
      </c>
      <c r="CX1" s="1" t="inlineStr">
        <is>
          <t>SE_neo4j.Posts.acceptedanswerid (M)</t>
        </is>
      </c>
      <c r="CY1" s="1" t="inlineStr">
        <is>
          <t>SE_neo4j.Posts.acceptedanswerid (P)</t>
        </is>
      </c>
      <c r="CZ1" s="1" t="inlineStr">
        <is>
          <t>SE_neo4j.Comments.id (M)</t>
        </is>
      </c>
      <c r="DA1" s="1" t="inlineStr">
        <is>
          <t>SE_neo4j.Comments.id (P)</t>
        </is>
      </c>
      <c r="DB1" s="1" t="inlineStr">
        <is>
          <t>SE_neo4j.Comments.creationdate (M)</t>
        </is>
      </c>
      <c r="DC1" s="1" t="inlineStr">
        <is>
          <t>SE_neo4j.Comments.creationdate (P)</t>
        </is>
      </c>
      <c r="DD1" s="1" t="inlineStr">
        <is>
          <t>SE_neo4j.Comments.score (M)</t>
        </is>
      </c>
      <c r="DE1" s="1" t="inlineStr">
        <is>
          <t>SE_neo4j.Comments.score (P)</t>
        </is>
      </c>
      <c r="DF1" s="1" t="inlineStr">
        <is>
          <t>SE_neo4j.Users.id (M)</t>
        </is>
      </c>
      <c r="DG1" s="1" t="inlineStr">
        <is>
          <t>SE_neo4j.Users.id (P)</t>
        </is>
      </c>
      <c r="DH1" s="1" t="inlineStr">
        <is>
          <t>SE_neo4j.Users.accountid (M)</t>
        </is>
      </c>
      <c r="DI1" s="1" t="inlineStr">
        <is>
          <t>SE_neo4j.Users.accountid (P)</t>
        </is>
      </c>
      <c r="DJ1" s="1" t="inlineStr">
        <is>
          <t>SE_neo4j.Users.displayname (M)</t>
        </is>
      </c>
      <c r="DK1" s="1" t="inlineStr">
        <is>
          <t>SE_neo4j.Users.displayname (P)</t>
        </is>
      </c>
      <c r="DL1" s="1" t="inlineStr">
        <is>
          <t>SE_neo4j.Users.creationdate (M)</t>
        </is>
      </c>
      <c r="DM1" s="1" t="inlineStr">
        <is>
          <t>SE_neo4j.Users.creationdate (P)</t>
        </is>
      </c>
      <c r="DN1" s="1" t="inlineStr">
        <is>
          <t>SE_neo4j.Tags.id (M)</t>
        </is>
      </c>
      <c r="DO1" s="1" t="inlineStr">
        <is>
          <t>SE_neo4j.Tags.id (P)</t>
        </is>
      </c>
      <c r="DP1" s="1" t="inlineStr">
        <is>
          <t>SE_neo4j.Tags.count (M)</t>
        </is>
      </c>
      <c r="DQ1" s="1" t="inlineStr">
        <is>
          <t>SE_neo4j.Tags.count (P)</t>
        </is>
      </c>
      <c r="DR1" s="1" t="inlineStr">
        <is>
          <t>SE_neo4j.Tags.wikipostid (M)</t>
        </is>
      </c>
      <c r="DS1" s="1" t="inlineStr">
        <is>
          <t>SE_neo4j.Tags.wikipostid (P)</t>
        </is>
      </c>
      <c r="DT1" s="1" t="inlineStr">
        <is>
          <t>SE_neo4j.Tags.tagname (M)</t>
        </is>
      </c>
      <c r="DU1" s="1" t="inlineStr">
        <is>
          <t>SE_neo4j.Tags.tagname (P)</t>
        </is>
      </c>
      <c r="DV1" s="1" t="inlineStr">
        <is>
          <t>SE_neo4j.Tags.excerptpostid (M)</t>
        </is>
      </c>
      <c r="DW1" s="1" t="inlineStr">
        <is>
          <t>SE_neo4j.Tags.excerptpostid (P)</t>
        </is>
      </c>
    </row>
    <row r="2">
      <c r="A2" s="2" t="inlineStr">
        <is>
          <t>A1</t>
        </is>
      </c>
      <c r="B2" s="2">
        <f>COUNTIFS(SessionLog!$B$2:$B$309,$A2,SessionLog!$E$2:$E$309,"SE_mysql.postes.Id",SessionLog!$F$2:$F$309,"M")</f>
        <v/>
      </c>
      <c r="C2" s="2">
        <f>COUNTIFS(SessionLog!$B$2:$B$309,$A2,SessionLog!$E$2:$E$309,"SE_mysql.postes.Id",SessionLog!$F$2:$F$309,"P")</f>
        <v/>
      </c>
      <c r="D2" s="2">
        <f>COUNTIFS(SessionLog!$B$2:$B$309,$A2,SessionLog!$E$2:$E$309,"SE_mysql.postes.PostTypeId",SessionLog!$F$2:$F$309,"M")</f>
        <v/>
      </c>
      <c r="E2" s="2">
        <f>COUNTIFS(SessionLog!$B$2:$B$309,$A2,SessionLog!$E$2:$E$309,"SE_mysql.postes.PostTypeId",SessionLog!$F$2:$F$309,"P")</f>
        <v/>
      </c>
      <c r="F2" s="2">
        <f>COUNTIFS(SessionLog!$B$2:$B$309,$A2,SessionLog!$E$2:$E$309,"SE_mysql.postes.Title",SessionLog!$F$2:$F$309,"M")</f>
        <v/>
      </c>
      <c r="G2" s="2">
        <f>COUNTIFS(SessionLog!$B$2:$B$309,$A2,SessionLog!$E$2:$E$309,"SE_mysql.postes.Title",SessionLog!$F$2:$F$309,"P")</f>
        <v/>
      </c>
      <c r="H2" s="2">
        <f>COUNTIFS(SessionLog!$B$2:$B$309,$A2,SessionLog!$E$2:$E$309,"SE_mysql.postes.OwnerUserId",SessionLog!$F$2:$F$309,"M")</f>
        <v/>
      </c>
      <c r="I2" s="2">
        <f>COUNTIFS(SessionLog!$B$2:$B$309,$A2,SessionLog!$E$2:$E$309,"SE_mysql.postes.OwnerUserId",SessionLog!$F$2:$F$309,"P")</f>
        <v/>
      </c>
      <c r="J2" s="2">
        <f>COUNTIFS(SessionLog!$B$2:$B$309,$A2,SessionLog!$E$2:$E$309,"SE_mysql.postes.ViewCount",SessionLog!$F$2:$F$309,"M")</f>
        <v/>
      </c>
      <c r="K2" s="2">
        <f>COUNTIFS(SessionLog!$B$2:$B$309,$A2,SessionLog!$E$2:$E$309,"SE_mysql.postes.ViewCount",SessionLog!$F$2:$F$309,"P")</f>
        <v/>
      </c>
      <c r="L2" s="2">
        <f>COUNTIFS(SessionLog!$B$2:$B$309,$A2,SessionLog!$E$2:$E$309,"SE_mysql.postes.LastEditDate",SessionLog!$F$2:$F$309,"M")</f>
        <v/>
      </c>
      <c r="M2" s="2">
        <f>COUNTIFS(SessionLog!$B$2:$B$309,$A2,SessionLog!$E$2:$E$309,"SE_mysql.postes.LastEditDate",SessionLog!$F$2:$F$309,"P")</f>
        <v/>
      </c>
      <c r="N2" s="2">
        <f>COUNTIFS(SessionLog!$B$2:$B$309,$A2,SessionLog!$E$2:$E$309,"SE_mysql.postes.LastEditorUserId",SessionLog!$F$2:$F$309,"M")</f>
        <v/>
      </c>
      <c r="O2" s="2">
        <f>COUNTIFS(SessionLog!$B$2:$B$309,$A2,SessionLog!$E$2:$E$309,"SE_mysql.postes.LastEditorUserId",SessionLog!$F$2:$F$309,"P")</f>
        <v/>
      </c>
      <c r="P2" s="2">
        <f>COUNTIFS(SessionLog!$B$2:$B$309,$A2,SessionLog!$E$2:$E$309,"SE_mysql.postes.CreationDate",SessionLog!$F$2:$F$309,"M")</f>
        <v/>
      </c>
      <c r="Q2" s="2">
        <f>COUNTIFS(SessionLog!$B$2:$B$309,$A2,SessionLog!$E$2:$E$309,"SE_mysql.postes.CreationDate",SessionLog!$F$2:$F$309,"P")</f>
        <v/>
      </c>
      <c r="R2" s="2">
        <f>COUNTIFS(SessionLog!$B$2:$B$309,$A2,SessionLog!$E$2:$E$309,"SE_mysql.Posttypes.Id",SessionLog!$F$2:$F$309,"M")</f>
        <v/>
      </c>
      <c r="S2" s="2">
        <f>COUNTIFS(SessionLog!$B$2:$B$309,$A2,SessionLog!$E$2:$E$309,"SE_mysql.Posttypes.Id",SessionLog!$F$2:$F$309,"P")</f>
        <v/>
      </c>
      <c r="T2" s="2">
        <f>COUNTIFS(SessionLog!$B$2:$B$309,$A2,SessionLog!$E$2:$E$309,"SE_mysql.Posttypes.Name",SessionLog!$F$2:$F$309,"M")</f>
        <v/>
      </c>
      <c r="U2" s="2">
        <f>COUNTIFS(SessionLog!$B$2:$B$309,$A2,SessionLog!$E$2:$E$309,"SE_mysql.Posttypes.Name",SessionLog!$F$2:$F$309,"P")</f>
        <v/>
      </c>
      <c r="V2" s="2">
        <f>COUNTIFS(SessionLog!$B$2:$B$309,$A2,SessionLog!$E$2:$E$309,"SE_mysql.Users.Id",SessionLog!$F$2:$F$309,"M")</f>
        <v/>
      </c>
      <c r="W2" s="2">
        <f>COUNTIFS(SessionLog!$B$2:$B$309,$A2,SessionLog!$E$2:$E$309,"SE_mysql.Users.Id",SessionLog!$F$2:$F$309,"P")</f>
        <v/>
      </c>
      <c r="X2" s="2">
        <f>COUNTIFS(SessionLog!$B$2:$B$309,$A2,SessionLog!$E$2:$E$309,"SE_mysql.Users.Views",SessionLog!$F$2:$F$309,"M")</f>
        <v/>
      </c>
      <c r="Y2" s="2">
        <f>COUNTIFS(SessionLog!$B$2:$B$309,$A2,SessionLog!$E$2:$E$309,"SE_mysql.Users.Views",SessionLog!$F$2:$F$309,"P")</f>
        <v/>
      </c>
      <c r="Z2" s="2">
        <f>COUNTIFS(SessionLog!$B$2:$B$309,$A2,SessionLog!$E$2:$E$309,"SE_mysql.Users.UpVotes",SessionLog!$F$2:$F$309,"M")</f>
        <v/>
      </c>
      <c r="AA2" s="2">
        <f>COUNTIFS(SessionLog!$B$2:$B$309,$A2,SessionLog!$E$2:$E$309,"SE_mysql.Users.UpVotes",SessionLog!$F$2:$F$309,"P")</f>
        <v/>
      </c>
      <c r="AB2" s="2">
        <f>COUNTIFS(SessionLog!$B$2:$B$309,$A2,SessionLog!$E$2:$E$309,"SE_mysql.Users.DisplayName",SessionLog!$F$2:$F$309,"M")</f>
        <v/>
      </c>
      <c r="AC2" s="2">
        <f>COUNTIFS(SessionLog!$B$2:$B$309,$A2,SessionLog!$E$2:$E$309,"SE_mysql.Users.DisplayName",SessionLog!$F$2:$F$309,"P")</f>
        <v/>
      </c>
      <c r="AD2" s="2">
        <f>COUNTIFS(SessionLog!$B$2:$B$309,$A2,SessionLog!$E$2:$E$309,"SE_mysql.Users.DownVotes",SessionLog!$F$2:$F$309,"M")</f>
        <v/>
      </c>
      <c r="AE2" s="2">
        <f>COUNTIFS(SessionLog!$B$2:$B$309,$A2,SessionLog!$E$2:$E$309,"SE_mysql.Users.DownVotes",SessionLog!$F$2:$F$309,"P")</f>
        <v/>
      </c>
      <c r="AF2" s="2">
        <f>COUNTIFS(SessionLog!$B$2:$B$309,$A2,SessionLog!$E$2:$E$309,"SE_mysql.Users.LastAccessDate",SessionLog!$F$2:$F$309,"M")</f>
        <v/>
      </c>
      <c r="AG2" s="2">
        <f>COUNTIFS(SessionLog!$B$2:$B$309,$A2,SessionLog!$E$2:$E$309,"SE_mysql.Users.LastAccessDate",SessionLog!$F$2:$F$309,"P")</f>
        <v/>
      </c>
      <c r="AH2" s="2">
        <f>COUNTIFS(SessionLog!$B$2:$B$309,$A2,SessionLog!$E$2:$E$309,"SE_mysql.Users.Reputation",SessionLog!$F$2:$F$309,"M")</f>
        <v/>
      </c>
      <c r="AI2" s="2">
        <f>COUNTIFS(SessionLog!$B$2:$B$309,$A2,SessionLog!$E$2:$E$309,"SE_mysql.Users.Reputation",SessionLog!$F$2:$F$309,"P")</f>
        <v/>
      </c>
      <c r="AJ2" s="2">
        <f>COUNTIFS(SessionLog!$B$2:$B$309,$A2,SessionLog!$E$2:$E$309,"SE_mysql.Flagtypes.Id",SessionLog!$F$2:$F$309,"M")</f>
        <v/>
      </c>
      <c r="AK2" s="2">
        <f>COUNTIFS(SessionLog!$B$2:$B$309,$A2,SessionLog!$E$2:$E$309,"SE_mysql.Flagtypes.Id",SessionLog!$F$2:$F$309,"P")</f>
        <v/>
      </c>
      <c r="AL2" s="2">
        <f>COUNTIFS(SessionLog!$B$2:$B$309,$A2,SessionLog!$E$2:$E$309,"SE_mysql.Flagtypes.Name",SessionLog!$F$2:$F$309,"M")</f>
        <v/>
      </c>
      <c r="AM2" s="2">
        <f>COUNTIFS(SessionLog!$B$2:$B$309,$A2,SessionLog!$E$2:$E$309,"SE_mysql.Flagtypes.Name",SessionLog!$F$2:$F$309,"P")</f>
        <v/>
      </c>
      <c r="AN2" s="2">
        <f>COUNTIFS(SessionLog!$B$2:$B$309,$A2,SessionLog!$E$2:$E$309,"SE_mysql.Votes.Id",SessionLog!$F$2:$F$309,"M")</f>
        <v/>
      </c>
      <c r="AO2" s="2">
        <f>COUNTIFS(SessionLog!$B$2:$B$309,$A2,SessionLog!$E$2:$E$309,"SE_mysql.Votes.Id",SessionLog!$F$2:$F$309,"P")</f>
        <v/>
      </c>
      <c r="AP2" s="2">
        <f>COUNTIFS(SessionLog!$B$2:$B$309,$A2,SessionLog!$E$2:$E$309,"SE_mysql.Votes.UserId",SessionLog!$F$2:$F$309,"M")</f>
        <v/>
      </c>
      <c r="AQ2" s="2">
        <f>COUNTIFS(SessionLog!$B$2:$B$309,$A2,SessionLog!$E$2:$E$309,"SE_mysql.Votes.UserId",SessionLog!$F$2:$F$309,"P")</f>
        <v/>
      </c>
      <c r="AR2" s="2">
        <f>COUNTIFS(SessionLog!$B$2:$B$309,$A2,SessionLog!$E$2:$E$309,"SE_mysql.Votes.BountyAmount",SessionLog!$F$2:$F$309,"M")</f>
        <v/>
      </c>
      <c r="AS2" s="2">
        <f>COUNTIFS(SessionLog!$B$2:$B$309,$A2,SessionLog!$E$2:$E$309,"SE_mysql.Votes.BountyAmount",SessionLog!$F$2:$F$309,"P")</f>
        <v/>
      </c>
      <c r="AT2" s="2">
        <f>COUNTIFS(SessionLog!$B$2:$B$309,$A2,SessionLog!$E$2:$E$309,"SE_mysql.Votes.CreationDate",SessionLog!$F$2:$F$309,"M")</f>
        <v/>
      </c>
      <c r="AU2" s="2">
        <f>COUNTIFS(SessionLog!$B$2:$B$309,$A2,SessionLog!$E$2:$E$309,"SE_mysql.Votes.CreationDate",SessionLog!$F$2:$F$309,"P")</f>
        <v/>
      </c>
      <c r="AV2" s="2">
        <f>COUNTIFS(SessionLog!$B$2:$B$309,$A2,SessionLog!$E$2:$E$309,"SE_mysql.Votes.PostId",SessionLog!$F$2:$F$309,"M")</f>
        <v/>
      </c>
      <c r="AW2" s="2">
        <f>COUNTIFS(SessionLog!$B$2:$B$309,$A2,SessionLog!$E$2:$E$309,"SE_mysql.Votes.PostId",SessionLog!$F$2:$F$309,"P")</f>
        <v/>
      </c>
      <c r="AX2" s="2">
        <f>COUNTIFS(SessionLog!$B$2:$B$309,$A2,SessionLog!$E$2:$E$309,"SE_mysql.Votes.VoteTypeId",SessionLog!$F$2:$F$309,"M")</f>
        <v/>
      </c>
      <c r="AY2" s="2">
        <f>COUNTIFS(SessionLog!$B$2:$B$309,$A2,SessionLog!$E$2:$E$309,"SE_mysql.Votes.VoteTypeId",SessionLog!$F$2:$F$309,"P")</f>
        <v/>
      </c>
      <c r="AZ2" s="2">
        <f>COUNTIFS(SessionLog!$B$2:$B$309,$A2,SessionLog!$E$2:$E$309,"SE_mysql.Votetypes.Id",SessionLog!$F$2:$F$309,"M")</f>
        <v/>
      </c>
      <c r="BA2" s="2">
        <f>COUNTIFS(SessionLog!$B$2:$B$309,$A2,SessionLog!$E$2:$E$309,"SE_mysql.Votetypes.Id",SessionLog!$F$2:$F$309,"P")</f>
        <v/>
      </c>
      <c r="BB2" s="2">
        <f>COUNTIFS(SessionLog!$B$2:$B$309,$A2,SessionLog!$E$2:$E$309,"SE_mysql.Votetypes.Name",SessionLog!$F$2:$F$309,"M")</f>
        <v/>
      </c>
      <c r="BC2" s="2">
        <f>COUNTIFS(SessionLog!$B$2:$B$309,$A2,SessionLog!$E$2:$E$309,"SE_mysql.Votetypes.Name",SessionLog!$F$2:$F$309,"P")</f>
        <v/>
      </c>
      <c r="BD2" s="2">
        <f>COUNTIFS(SessionLog!$B$2:$B$309,$A2,SessionLog!$E$2:$E$309,"SE_mongodb.Badges.Id",SessionLog!$F$2:$F$309,"M")</f>
        <v/>
      </c>
      <c r="BE2" s="2">
        <f>COUNTIFS(SessionLog!$B$2:$B$309,$A2,SessionLog!$E$2:$E$309,"SE_mongodb.Badges.Id",SessionLog!$F$2:$F$309,"P")</f>
        <v/>
      </c>
      <c r="BF2" s="2">
        <f>COUNTIFS(SessionLog!$B$2:$B$309,$A2,SessionLog!$E$2:$E$309,"SE_mongodb.Badges.UserId",SessionLog!$F$2:$F$309,"M")</f>
        <v/>
      </c>
      <c r="BG2" s="2">
        <f>COUNTIFS(SessionLog!$B$2:$B$309,$A2,SessionLog!$E$2:$E$309,"SE_mongodb.Badges.UserId",SessionLog!$F$2:$F$309,"P")</f>
        <v/>
      </c>
      <c r="BH2" s="2">
        <f>COUNTIFS(SessionLog!$B$2:$B$309,$A2,SessionLog!$E$2:$E$309,"SE_mongodb.Badges.Name",SessionLog!$F$2:$F$309,"M")</f>
        <v/>
      </c>
      <c r="BI2" s="2">
        <f>COUNTIFS(SessionLog!$B$2:$B$309,$A2,SessionLog!$E$2:$E$309,"SE_mongodb.Badges.Name",SessionLog!$F$2:$F$309,"P")</f>
        <v/>
      </c>
      <c r="BJ2" s="2">
        <f>COUNTIFS(SessionLog!$B$2:$B$309,$A2,SessionLog!$E$2:$E$309,"SE_mongodb.Badges.Date",SessionLog!$F$2:$F$309,"M")</f>
        <v/>
      </c>
      <c r="BK2" s="2">
        <f>COUNTIFS(SessionLog!$B$2:$B$309,$A2,SessionLog!$E$2:$E$309,"SE_mongodb.Badges.Date",SessionLog!$F$2:$F$309,"P")</f>
        <v/>
      </c>
      <c r="BL2" s="2">
        <f>COUNTIFS(SessionLog!$B$2:$B$309,$A2,SessionLog!$E$2:$E$309,"SE_mongodb.Posts.Id",SessionLog!$F$2:$F$309,"M")</f>
        <v/>
      </c>
      <c r="BM2" s="2">
        <f>COUNTIFS(SessionLog!$B$2:$B$309,$A2,SessionLog!$E$2:$E$309,"SE_mongodb.Posts.Id",SessionLog!$F$2:$F$309,"P")</f>
        <v/>
      </c>
      <c r="BN2" s="2">
        <f>COUNTIFS(SessionLog!$B$2:$B$309,$A2,SessionLog!$E$2:$E$309,"SE_mongodb.Posts.Tags",SessionLog!$F$2:$F$309,"M")</f>
        <v/>
      </c>
      <c r="BO2" s="2">
        <f>COUNTIFS(SessionLog!$B$2:$B$309,$A2,SessionLog!$E$2:$E$309,"SE_mongodb.Posts.Tags",SessionLog!$F$2:$F$309,"P")</f>
        <v/>
      </c>
      <c r="BP2" s="2">
        <f>COUNTIFS(SessionLog!$B$2:$B$309,$A2,SessionLog!$E$2:$E$309,"SE_mongodb.Posts.Body",SessionLog!$F$2:$F$309,"M")</f>
        <v/>
      </c>
      <c r="BQ2" s="2">
        <f>COUNTIFS(SessionLog!$B$2:$B$309,$A2,SessionLog!$E$2:$E$309,"SE_mongodb.Posts.Body",SessionLog!$F$2:$F$309,"P")</f>
        <v/>
      </c>
      <c r="BR2" s="2">
        <f>COUNTIFS(SessionLog!$B$2:$B$309,$A2,SessionLog!$E$2:$E$309,"SE_mongodb.Users.Id",SessionLog!$F$2:$F$309,"M")</f>
        <v/>
      </c>
      <c r="BS2" s="2">
        <f>COUNTIFS(SessionLog!$B$2:$B$309,$A2,SessionLog!$E$2:$E$309,"SE_mongodb.Users.Id",SessionLog!$F$2:$F$309,"P")</f>
        <v/>
      </c>
      <c r="BT2" s="2">
        <f>COUNTIFS(SessionLog!$B$2:$B$309,$A2,SessionLog!$E$2:$E$309,"SE_mongodb.Users.DisplayName",SessionLog!$F$2:$F$309,"M")</f>
        <v/>
      </c>
      <c r="BU2" s="2">
        <f>COUNTIFS(SessionLog!$B$2:$B$309,$A2,SessionLog!$E$2:$E$309,"SE_mongodb.Users.DisplayName",SessionLog!$F$2:$F$309,"P")</f>
        <v/>
      </c>
      <c r="BV2" s="2">
        <f>COUNTIFS(SessionLog!$B$2:$B$309,$A2,SessionLog!$E$2:$E$309,"SE_mongodb.Users.AboutMe",SessionLog!$F$2:$F$309,"M")</f>
        <v/>
      </c>
      <c r="BW2" s="2">
        <f>COUNTIFS(SessionLog!$B$2:$B$309,$A2,SessionLog!$E$2:$E$309,"SE_mongodb.Users.AboutMe",SessionLog!$F$2:$F$309,"P")</f>
        <v/>
      </c>
      <c r="BX2" s="2">
        <f>COUNTIFS(SessionLog!$B$2:$B$309,$A2,SessionLog!$E$2:$E$309,"SE_mongodb.Comments.Id",SessionLog!$F$2:$F$309,"M")</f>
        <v/>
      </c>
      <c r="BY2" s="2">
        <f>COUNTIFS(SessionLog!$B$2:$B$309,$A2,SessionLog!$E$2:$E$309,"SE_mongodb.Comments.Id",SessionLog!$F$2:$F$309,"P")</f>
        <v/>
      </c>
      <c r="BZ2" s="2">
        <f>COUNTIFS(SessionLog!$B$2:$B$309,$A2,SessionLog!$E$2:$E$309,"SE_mongodb.Comments.UserId",SessionLog!$F$2:$F$309,"M")</f>
        <v/>
      </c>
      <c r="CA2" s="2">
        <f>COUNTIFS(SessionLog!$B$2:$B$309,$A2,SessionLog!$E$2:$E$309,"SE_mongodb.Comments.UserId",SessionLog!$F$2:$F$309,"P")</f>
        <v/>
      </c>
      <c r="CB2" s="2">
        <f>COUNTIFS(SessionLog!$B$2:$B$309,$A2,SessionLog!$E$2:$E$309,"SE_mongodb.Comments.Text",SessionLog!$F$2:$F$309,"M")</f>
        <v/>
      </c>
      <c r="CC2" s="2">
        <f>COUNTIFS(SessionLog!$B$2:$B$309,$A2,SessionLog!$E$2:$E$309,"SE_mongodb.Comments.Text",SessionLog!$F$2:$F$309,"P")</f>
        <v/>
      </c>
      <c r="CD2" s="2">
        <f>COUNTIFS(SessionLog!$B$2:$B$309,$A2,SessionLog!$E$2:$E$309,"SE_mongodb.Comments.PostId",SessionLog!$F$2:$F$309,"M")</f>
        <v/>
      </c>
      <c r="CE2" s="2">
        <f>COUNTIFS(SessionLog!$B$2:$B$309,$A2,SessionLog!$E$2:$E$309,"SE_mongodb.Comments.PostId",SessionLog!$F$2:$F$309,"P")</f>
        <v/>
      </c>
      <c r="CF2" s="2">
        <f>COUNTIFS(SessionLog!$B$2:$B$309,$A2,SessionLog!$E$2:$E$309,"SE_neo4j.postlinks.id",SessionLog!$F$2:$F$309,"M")</f>
        <v/>
      </c>
      <c r="CG2" s="2">
        <f>COUNTIFS(SessionLog!$B$2:$B$309,$A2,SessionLog!$E$2:$E$309,"SE_neo4j.postlinks.id",SessionLog!$F$2:$F$309,"P")</f>
        <v/>
      </c>
      <c r="CH2" s="2">
        <f>COUNTIFS(SessionLog!$B$2:$B$309,$A2,SessionLog!$E$2:$E$309,"SE_neo4j.postlinks.LinkTypeId",SessionLog!$F$2:$F$309,"M")</f>
        <v/>
      </c>
      <c r="CI2" s="2">
        <f>COUNTIFS(SessionLog!$B$2:$B$309,$A2,SessionLog!$E$2:$E$309,"SE_neo4j.postlinks.LinkTypeId",SessionLog!$F$2:$F$309,"P")</f>
        <v/>
      </c>
      <c r="CJ2" s="2">
        <f>COUNTIFS(SessionLog!$B$2:$B$309,$A2,SessionLog!$E$2:$E$309,"SE_neo4j.postlinks.RelatedPostId",SessionLog!$F$2:$F$309,"M")</f>
        <v/>
      </c>
      <c r="CK2" s="2">
        <f>COUNTIFS(SessionLog!$B$2:$B$309,$A2,SessionLog!$E$2:$E$309,"SE_neo4j.postlinks.RelatedPostId",SessionLog!$F$2:$F$309,"P")</f>
        <v/>
      </c>
      <c r="CL2" s="2">
        <f>COUNTIFS(SessionLog!$B$2:$B$309,$A2,SessionLog!$E$2:$E$309,"SE_neo4j.postlinks.PostIdd",SessionLog!$F$2:$F$309,"M")</f>
        <v/>
      </c>
      <c r="CM2" s="2">
        <f>COUNTIFS(SessionLog!$B$2:$B$309,$A2,SessionLog!$E$2:$E$309,"SE_neo4j.postlinks.PostIdd",SessionLog!$F$2:$F$309,"P")</f>
        <v/>
      </c>
      <c r="CN2" s="2">
        <f>COUNTIFS(SessionLog!$B$2:$B$309,$A2,SessionLog!$E$2:$E$309,"SE_neo4j.postlinks.CreationDate",SessionLog!$F$2:$F$309,"M")</f>
        <v/>
      </c>
      <c r="CO2" s="2">
        <f>COUNTIFS(SessionLog!$B$2:$B$309,$A2,SessionLog!$E$2:$E$309,"SE_neo4j.postlinks.CreationDate",SessionLog!$F$2:$F$309,"P")</f>
        <v/>
      </c>
      <c r="CP2" s="2">
        <f>COUNTIFS(SessionLog!$B$2:$B$309,$A2,SessionLog!$E$2:$E$309,"SE_neo4j.Posts.id",SessionLog!$F$2:$F$309,"M")</f>
        <v/>
      </c>
      <c r="CQ2" s="2">
        <f>COUNTIFS(SessionLog!$B$2:$B$309,$A2,SessionLog!$E$2:$E$309,"SE_neo4j.Posts.id",SessionLog!$F$2:$F$309,"P")</f>
        <v/>
      </c>
      <c r="CR2" s="2">
        <f>COUNTIFS(SessionLog!$B$2:$B$309,$A2,SessionLog!$E$2:$E$309,"SE_neo4j.Posts.posttypeid",SessionLog!$F$2:$F$309,"M")</f>
        <v/>
      </c>
      <c r="CS2" s="2">
        <f>COUNTIFS(SessionLog!$B$2:$B$309,$A2,SessionLog!$E$2:$E$309,"SE_neo4j.Posts.posttypeid",SessionLog!$F$2:$F$309,"P")</f>
        <v/>
      </c>
      <c r="CT2" s="2">
        <f>COUNTIFS(SessionLog!$B$2:$B$309,$A2,SessionLog!$E$2:$E$309,"SE_neo4j.Posts.parentid",SessionLog!$F$2:$F$309,"M")</f>
        <v/>
      </c>
      <c r="CU2" s="2">
        <f>COUNTIFS(SessionLog!$B$2:$B$309,$A2,SessionLog!$E$2:$E$309,"SE_neo4j.Posts.parentid",SessionLog!$F$2:$F$309,"P")</f>
        <v/>
      </c>
      <c r="CV2" s="2">
        <f>COUNTIFS(SessionLog!$B$2:$B$309,$A2,SessionLog!$E$2:$E$309,"SE_neo4j.Posts.owneruserid",SessionLog!$F$2:$F$309,"M")</f>
        <v/>
      </c>
      <c r="CW2" s="2">
        <f>COUNTIFS(SessionLog!$B$2:$B$309,$A2,SessionLog!$E$2:$E$309,"SE_neo4j.Posts.owneruserid",SessionLog!$F$2:$F$309,"P")</f>
        <v/>
      </c>
      <c r="CX2" s="2">
        <f>COUNTIFS(SessionLog!$B$2:$B$309,$A2,SessionLog!$E$2:$E$309,"SE_neo4j.Posts.acceptedanswerid",SessionLog!$F$2:$F$309,"M")</f>
        <v/>
      </c>
      <c r="CY2" s="2">
        <f>COUNTIFS(SessionLog!$B$2:$B$309,$A2,SessionLog!$E$2:$E$309,"SE_neo4j.Posts.acceptedanswerid",SessionLog!$F$2:$F$309,"P")</f>
        <v/>
      </c>
      <c r="CZ2" s="2">
        <f>COUNTIFS(SessionLog!$B$2:$B$309,$A2,SessionLog!$E$2:$E$309,"SE_neo4j.Comments.id",SessionLog!$F$2:$F$309,"M")</f>
        <v/>
      </c>
      <c r="DA2" s="2">
        <f>COUNTIFS(SessionLog!$B$2:$B$309,$A2,SessionLog!$E$2:$E$309,"SE_neo4j.Comments.id",SessionLog!$F$2:$F$309,"P")</f>
        <v/>
      </c>
      <c r="DB2" s="2">
        <f>COUNTIFS(SessionLog!$B$2:$B$309,$A2,SessionLog!$E$2:$E$309,"SE_neo4j.Comments.creationdate",SessionLog!$F$2:$F$309,"M")</f>
        <v/>
      </c>
      <c r="DC2" s="2">
        <f>COUNTIFS(SessionLog!$B$2:$B$309,$A2,SessionLog!$E$2:$E$309,"SE_neo4j.Comments.creationdate",SessionLog!$F$2:$F$309,"P")</f>
        <v/>
      </c>
      <c r="DD2" s="2">
        <f>COUNTIFS(SessionLog!$B$2:$B$309,$A2,SessionLog!$E$2:$E$309,"SE_neo4j.Comments.score",SessionLog!$F$2:$F$309,"M")</f>
        <v/>
      </c>
      <c r="DE2" s="2">
        <f>COUNTIFS(SessionLog!$B$2:$B$309,$A2,SessionLog!$E$2:$E$309,"SE_neo4j.Comments.score",SessionLog!$F$2:$F$309,"P")</f>
        <v/>
      </c>
      <c r="DF2" s="2">
        <f>COUNTIFS(SessionLog!$B$2:$B$309,$A2,SessionLog!$E$2:$E$309,"SE_neo4j.Users.id",SessionLog!$F$2:$F$309,"M")</f>
        <v/>
      </c>
      <c r="DG2" s="2">
        <f>COUNTIFS(SessionLog!$B$2:$B$309,$A2,SessionLog!$E$2:$E$309,"SE_neo4j.Users.id",SessionLog!$F$2:$F$309,"P")</f>
        <v/>
      </c>
      <c r="DH2" s="2">
        <f>COUNTIFS(SessionLog!$B$2:$B$309,$A2,SessionLog!$E$2:$E$309,"SE_neo4j.Users.accountid",SessionLog!$F$2:$F$309,"M")</f>
        <v/>
      </c>
      <c r="DI2" s="2">
        <f>COUNTIFS(SessionLog!$B$2:$B$309,$A2,SessionLog!$E$2:$E$309,"SE_neo4j.Users.accountid",SessionLog!$F$2:$F$309,"P")</f>
        <v/>
      </c>
      <c r="DJ2" s="2">
        <f>COUNTIFS(SessionLog!$B$2:$B$309,$A2,SessionLog!$E$2:$E$309,"SE_neo4j.Users.displayname",SessionLog!$F$2:$F$309,"M")</f>
        <v/>
      </c>
      <c r="DK2" s="2">
        <f>COUNTIFS(SessionLog!$B$2:$B$309,$A2,SessionLog!$E$2:$E$309,"SE_neo4j.Users.displayname",SessionLog!$F$2:$F$309,"P")</f>
        <v/>
      </c>
      <c r="DL2" s="2">
        <f>COUNTIFS(SessionLog!$B$2:$B$309,$A2,SessionLog!$E$2:$E$309,"SE_neo4j.Users.creationdate",SessionLog!$F$2:$F$309,"M")</f>
        <v/>
      </c>
      <c r="DM2" s="2">
        <f>COUNTIFS(SessionLog!$B$2:$B$309,$A2,SessionLog!$E$2:$E$309,"SE_neo4j.Users.creationdate",SessionLog!$F$2:$F$309,"P")</f>
        <v/>
      </c>
      <c r="DN2" s="2">
        <f>COUNTIFS(SessionLog!$B$2:$B$309,$A2,SessionLog!$E$2:$E$309,"SE_neo4j.Tags.id",SessionLog!$F$2:$F$309,"M")</f>
        <v/>
      </c>
      <c r="DO2" s="2">
        <f>COUNTIFS(SessionLog!$B$2:$B$309,$A2,SessionLog!$E$2:$E$309,"SE_neo4j.Tags.id",SessionLog!$F$2:$F$309,"P")</f>
        <v/>
      </c>
      <c r="DP2" s="2">
        <f>COUNTIFS(SessionLog!$B$2:$B$309,$A2,SessionLog!$E$2:$E$309,"SE_neo4j.Tags.count",SessionLog!$F$2:$F$309,"M")</f>
        <v/>
      </c>
      <c r="DQ2" s="2">
        <f>COUNTIFS(SessionLog!$B$2:$B$309,$A2,SessionLog!$E$2:$E$309,"SE_neo4j.Tags.count",SessionLog!$F$2:$F$309,"P")</f>
        <v/>
      </c>
      <c r="DR2" s="2">
        <f>COUNTIFS(SessionLog!$B$2:$B$309,$A2,SessionLog!$E$2:$E$309,"SE_neo4j.Tags.wikipostid",SessionLog!$F$2:$F$309,"M")</f>
        <v/>
      </c>
      <c r="DS2" s="2">
        <f>COUNTIFS(SessionLog!$B$2:$B$309,$A2,SessionLog!$E$2:$E$309,"SE_neo4j.Tags.wikipostid",SessionLog!$F$2:$F$309,"P")</f>
        <v/>
      </c>
      <c r="DT2" s="2">
        <f>COUNTIFS(SessionLog!$B$2:$B$309,$A2,SessionLog!$E$2:$E$309,"SE_neo4j.Tags.tagname",SessionLog!$F$2:$F$309,"M")</f>
        <v/>
      </c>
      <c r="DU2" s="2">
        <f>COUNTIFS(SessionLog!$B$2:$B$309,$A2,SessionLog!$E$2:$E$309,"SE_neo4j.Tags.tagname",SessionLog!$F$2:$F$309,"P")</f>
        <v/>
      </c>
      <c r="DV2" s="2">
        <f>COUNTIFS(SessionLog!$B$2:$B$309,$A2,SessionLog!$E$2:$E$309,"SE_neo4j.Tags.excerptpostid",SessionLog!$F$2:$F$309,"M")</f>
        <v/>
      </c>
      <c r="DW2" s="2">
        <f>COUNTIFS(SessionLog!$B$2:$B$309,$A2,SessionLog!$E$2:$E$309,"SE_neo4j.Tags.excerptpostid",SessionLog!$F$2:$F$309,"P")</f>
        <v/>
      </c>
    </row>
    <row r="3">
      <c r="A3" s="2" t="inlineStr">
        <is>
          <t>A2</t>
        </is>
      </c>
      <c r="B3" s="2">
        <f>COUNTIFS(SessionLog!$B$2:$B$309,$A3,SessionLog!$E$2:$E$309,"SE_mysql.postes.Id",SessionLog!$F$2:$F$309,"M")</f>
        <v/>
      </c>
      <c r="C3" s="2">
        <f>COUNTIFS(SessionLog!$B$2:$B$309,$A3,SessionLog!$E$2:$E$309,"SE_mysql.postes.Id",SessionLog!$F$2:$F$309,"P")</f>
        <v/>
      </c>
      <c r="D3" s="2">
        <f>COUNTIFS(SessionLog!$B$2:$B$309,$A3,SessionLog!$E$2:$E$309,"SE_mysql.postes.PostTypeId",SessionLog!$F$2:$F$309,"M")</f>
        <v/>
      </c>
      <c r="E3" s="2">
        <f>COUNTIFS(SessionLog!$B$2:$B$309,$A3,SessionLog!$E$2:$E$309,"SE_mysql.postes.PostTypeId",SessionLog!$F$2:$F$309,"P")</f>
        <v/>
      </c>
      <c r="F3" s="2">
        <f>COUNTIFS(SessionLog!$B$2:$B$309,$A3,SessionLog!$E$2:$E$309,"SE_mysql.postes.Title",SessionLog!$F$2:$F$309,"M")</f>
        <v/>
      </c>
      <c r="G3" s="2">
        <f>COUNTIFS(SessionLog!$B$2:$B$309,$A3,SessionLog!$E$2:$E$309,"SE_mysql.postes.Title",SessionLog!$F$2:$F$309,"P")</f>
        <v/>
      </c>
      <c r="H3" s="2">
        <f>COUNTIFS(SessionLog!$B$2:$B$309,$A3,SessionLog!$E$2:$E$309,"SE_mysql.postes.OwnerUserId",SessionLog!$F$2:$F$309,"M")</f>
        <v/>
      </c>
      <c r="I3" s="2">
        <f>COUNTIFS(SessionLog!$B$2:$B$309,$A3,SessionLog!$E$2:$E$309,"SE_mysql.postes.OwnerUserId",SessionLog!$F$2:$F$309,"P")</f>
        <v/>
      </c>
      <c r="J3" s="2">
        <f>COUNTIFS(SessionLog!$B$2:$B$309,$A3,SessionLog!$E$2:$E$309,"SE_mysql.postes.ViewCount",SessionLog!$F$2:$F$309,"M")</f>
        <v/>
      </c>
      <c r="K3" s="2">
        <f>COUNTIFS(SessionLog!$B$2:$B$309,$A3,SessionLog!$E$2:$E$309,"SE_mysql.postes.ViewCount",SessionLog!$F$2:$F$309,"P")</f>
        <v/>
      </c>
      <c r="L3" s="2">
        <f>COUNTIFS(SessionLog!$B$2:$B$309,$A3,SessionLog!$E$2:$E$309,"SE_mysql.postes.LastEditDate",SessionLog!$F$2:$F$309,"M")</f>
        <v/>
      </c>
      <c r="M3" s="2">
        <f>COUNTIFS(SessionLog!$B$2:$B$309,$A3,SessionLog!$E$2:$E$309,"SE_mysql.postes.LastEditDate",SessionLog!$F$2:$F$309,"P")</f>
        <v/>
      </c>
      <c r="N3" s="2">
        <f>COUNTIFS(SessionLog!$B$2:$B$309,$A3,SessionLog!$E$2:$E$309,"SE_mysql.postes.LastEditorUserId",SessionLog!$F$2:$F$309,"M")</f>
        <v/>
      </c>
      <c r="O3" s="2">
        <f>COUNTIFS(SessionLog!$B$2:$B$309,$A3,SessionLog!$E$2:$E$309,"SE_mysql.postes.LastEditorUserId",SessionLog!$F$2:$F$309,"P")</f>
        <v/>
      </c>
      <c r="P3" s="2">
        <f>COUNTIFS(SessionLog!$B$2:$B$309,$A3,SessionLog!$E$2:$E$309,"SE_mysql.postes.CreationDate",SessionLog!$F$2:$F$309,"M")</f>
        <v/>
      </c>
      <c r="Q3" s="2">
        <f>COUNTIFS(SessionLog!$B$2:$B$309,$A3,SessionLog!$E$2:$E$309,"SE_mysql.postes.CreationDate",SessionLog!$F$2:$F$309,"P")</f>
        <v/>
      </c>
      <c r="R3" s="2">
        <f>COUNTIFS(SessionLog!$B$2:$B$309,$A3,SessionLog!$E$2:$E$309,"SE_mysql.Posttypes.Id",SessionLog!$F$2:$F$309,"M")</f>
        <v/>
      </c>
      <c r="S3" s="2">
        <f>COUNTIFS(SessionLog!$B$2:$B$309,$A3,SessionLog!$E$2:$E$309,"SE_mysql.Posttypes.Id",SessionLog!$F$2:$F$309,"P")</f>
        <v/>
      </c>
      <c r="T3" s="2">
        <f>COUNTIFS(SessionLog!$B$2:$B$309,$A3,SessionLog!$E$2:$E$309,"SE_mysql.Posttypes.Name",SessionLog!$F$2:$F$309,"M")</f>
        <v/>
      </c>
      <c r="U3" s="2">
        <f>COUNTIFS(SessionLog!$B$2:$B$309,$A3,SessionLog!$E$2:$E$309,"SE_mysql.Posttypes.Name",SessionLog!$F$2:$F$309,"P")</f>
        <v/>
      </c>
      <c r="V3" s="2">
        <f>COUNTIFS(SessionLog!$B$2:$B$309,$A3,SessionLog!$E$2:$E$309,"SE_mysql.Users.Id",SessionLog!$F$2:$F$309,"M")</f>
        <v/>
      </c>
      <c r="W3" s="2">
        <f>COUNTIFS(SessionLog!$B$2:$B$309,$A3,SessionLog!$E$2:$E$309,"SE_mysql.Users.Id",SessionLog!$F$2:$F$309,"P")</f>
        <v/>
      </c>
      <c r="X3" s="2">
        <f>COUNTIFS(SessionLog!$B$2:$B$309,$A3,SessionLog!$E$2:$E$309,"SE_mysql.Users.Views",SessionLog!$F$2:$F$309,"M")</f>
        <v/>
      </c>
      <c r="Y3" s="2">
        <f>COUNTIFS(SessionLog!$B$2:$B$309,$A3,SessionLog!$E$2:$E$309,"SE_mysql.Users.Views",SessionLog!$F$2:$F$309,"P")</f>
        <v/>
      </c>
      <c r="Z3" s="2">
        <f>COUNTIFS(SessionLog!$B$2:$B$309,$A3,SessionLog!$E$2:$E$309,"SE_mysql.Users.UpVotes",SessionLog!$F$2:$F$309,"M")</f>
        <v/>
      </c>
      <c r="AA3" s="2">
        <f>COUNTIFS(SessionLog!$B$2:$B$309,$A3,SessionLog!$E$2:$E$309,"SE_mysql.Users.UpVotes",SessionLog!$F$2:$F$309,"P")</f>
        <v/>
      </c>
      <c r="AB3" s="2">
        <f>COUNTIFS(SessionLog!$B$2:$B$309,$A3,SessionLog!$E$2:$E$309,"SE_mysql.Users.DisplayName",SessionLog!$F$2:$F$309,"M")</f>
        <v/>
      </c>
      <c r="AC3" s="2">
        <f>COUNTIFS(SessionLog!$B$2:$B$309,$A3,SessionLog!$E$2:$E$309,"SE_mysql.Users.DisplayName",SessionLog!$F$2:$F$309,"P")</f>
        <v/>
      </c>
      <c r="AD3" s="2">
        <f>COUNTIFS(SessionLog!$B$2:$B$309,$A3,SessionLog!$E$2:$E$309,"SE_mysql.Users.DownVotes",SessionLog!$F$2:$F$309,"M")</f>
        <v/>
      </c>
      <c r="AE3" s="2">
        <f>COUNTIFS(SessionLog!$B$2:$B$309,$A3,SessionLog!$E$2:$E$309,"SE_mysql.Users.DownVotes",SessionLog!$F$2:$F$309,"P")</f>
        <v/>
      </c>
      <c r="AF3" s="2">
        <f>COUNTIFS(SessionLog!$B$2:$B$309,$A3,SessionLog!$E$2:$E$309,"SE_mysql.Users.LastAccessDate",SessionLog!$F$2:$F$309,"M")</f>
        <v/>
      </c>
      <c r="AG3" s="2">
        <f>COUNTIFS(SessionLog!$B$2:$B$309,$A3,SessionLog!$E$2:$E$309,"SE_mysql.Users.LastAccessDate",SessionLog!$F$2:$F$309,"P")</f>
        <v/>
      </c>
      <c r="AH3" s="2">
        <f>COUNTIFS(SessionLog!$B$2:$B$309,$A3,SessionLog!$E$2:$E$309,"SE_mysql.Users.Reputation",SessionLog!$F$2:$F$309,"M")</f>
        <v/>
      </c>
      <c r="AI3" s="2">
        <f>COUNTIFS(SessionLog!$B$2:$B$309,$A3,SessionLog!$E$2:$E$309,"SE_mysql.Users.Reputation",SessionLog!$F$2:$F$309,"P")</f>
        <v/>
      </c>
      <c r="AJ3" s="2">
        <f>COUNTIFS(SessionLog!$B$2:$B$309,$A3,SessionLog!$E$2:$E$309,"SE_mysql.Flagtypes.Id",SessionLog!$F$2:$F$309,"M")</f>
        <v/>
      </c>
      <c r="AK3" s="2">
        <f>COUNTIFS(SessionLog!$B$2:$B$309,$A3,SessionLog!$E$2:$E$309,"SE_mysql.Flagtypes.Id",SessionLog!$F$2:$F$309,"P")</f>
        <v/>
      </c>
      <c r="AL3" s="2">
        <f>COUNTIFS(SessionLog!$B$2:$B$309,$A3,SessionLog!$E$2:$E$309,"SE_mysql.Flagtypes.Name",SessionLog!$F$2:$F$309,"M")</f>
        <v/>
      </c>
      <c r="AM3" s="2">
        <f>COUNTIFS(SessionLog!$B$2:$B$309,$A3,SessionLog!$E$2:$E$309,"SE_mysql.Flagtypes.Name",SessionLog!$F$2:$F$309,"P")</f>
        <v/>
      </c>
      <c r="AN3" s="2">
        <f>COUNTIFS(SessionLog!$B$2:$B$309,$A3,SessionLog!$E$2:$E$309,"SE_mysql.Votes.Id",SessionLog!$F$2:$F$309,"M")</f>
        <v/>
      </c>
      <c r="AO3" s="2">
        <f>COUNTIFS(SessionLog!$B$2:$B$309,$A3,SessionLog!$E$2:$E$309,"SE_mysql.Votes.Id",SessionLog!$F$2:$F$309,"P")</f>
        <v/>
      </c>
      <c r="AP3" s="2">
        <f>COUNTIFS(SessionLog!$B$2:$B$309,$A3,SessionLog!$E$2:$E$309,"SE_mysql.Votes.UserId",SessionLog!$F$2:$F$309,"M")</f>
        <v/>
      </c>
      <c r="AQ3" s="2">
        <f>COUNTIFS(SessionLog!$B$2:$B$309,$A3,SessionLog!$E$2:$E$309,"SE_mysql.Votes.UserId",SessionLog!$F$2:$F$309,"P")</f>
        <v/>
      </c>
      <c r="AR3" s="2">
        <f>COUNTIFS(SessionLog!$B$2:$B$309,$A3,SessionLog!$E$2:$E$309,"SE_mysql.Votes.BountyAmount",SessionLog!$F$2:$F$309,"M")</f>
        <v/>
      </c>
      <c r="AS3" s="2">
        <f>COUNTIFS(SessionLog!$B$2:$B$309,$A3,SessionLog!$E$2:$E$309,"SE_mysql.Votes.BountyAmount",SessionLog!$F$2:$F$309,"P")</f>
        <v/>
      </c>
      <c r="AT3" s="2">
        <f>COUNTIFS(SessionLog!$B$2:$B$309,$A3,SessionLog!$E$2:$E$309,"SE_mysql.Votes.CreationDate",SessionLog!$F$2:$F$309,"M")</f>
        <v/>
      </c>
      <c r="AU3" s="2">
        <f>COUNTIFS(SessionLog!$B$2:$B$309,$A3,SessionLog!$E$2:$E$309,"SE_mysql.Votes.CreationDate",SessionLog!$F$2:$F$309,"P")</f>
        <v/>
      </c>
      <c r="AV3" s="2">
        <f>COUNTIFS(SessionLog!$B$2:$B$309,$A3,SessionLog!$E$2:$E$309,"SE_mysql.Votes.PostId",SessionLog!$F$2:$F$309,"M")</f>
        <v/>
      </c>
      <c r="AW3" s="2">
        <f>COUNTIFS(SessionLog!$B$2:$B$309,$A3,SessionLog!$E$2:$E$309,"SE_mysql.Votes.PostId",SessionLog!$F$2:$F$309,"P")</f>
        <v/>
      </c>
      <c r="AX3" s="2">
        <f>COUNTIFS(SessionLog!$B$2:$B$309,$A3,SessionLog!$E$2:$E$309,"SE_mysql.Votes.VoteTypeId",SessionLog!$F$2:$F$309,"M")</f>
        <v/>
      </c>
      <c r="AY3" s="2">
        <f>COUNTIFS(SessionLog!$B$2:$B$309,$A3,SessionLog!$E$2:$E$309,"SE_mysql.Votes.VoteTypeId",SessionLog!$F$2:$F$309,"P")</f>
        <v/>
      </c>
      <c r="AZ3" s="2">
        <f>COUNTIFS(SessionLog!$B$2:$B$309,$A3,SessionLog!$E$2:$E$309,"SE_mysql.Votetypes.Id",SessionLog!$F$2:$F$309,"M")</f>
        <v/>
      </c>
      <c r="BA3" s="2">
        <f>COUNTIFS(SessionLog!$B$2:$B$309,$A3,SessionLog!$E$2:$E$309,"SE_mysql.Votetypes.Id",SessionLog!$F$2:$F$309,"P")</f>
        <v/>
      </c>
      <c r="BB3" s="2">
        <f>COUNTIFS(SessionLog!$B$2:$B$309,$A3,SessionLog!$E$2:$E$309,"SE_mysql.Votetypes.Name",SessionLog!$F$2:$F$309,"M")</f>
        <v/>
      </c>
      <c r="BC3" s="2">
        <f>COUNTIFS(SessionLog!$B$2:$B$309,$A3,SessionLog!$E$2:$E$309,"SE_mysql.Votetypes.Name",SessionLog!$F$2:$F$309,"P")</f>
        <v/>
      </c>
      <c r="BD3" s="2">
        <f>COUNTIFS(SessionLog!$B$2:$B$309,$A3,SessionLog!$E$2:$E$309,"SE_mongodb.Badges.Id",SessionLog!$F$2:$F$309,"M")</f>
        <v/>
      </c>
      <c r="BE3" s="2">
        <f>COUNTIFS(SessionLog!$B$2:$B$309,$A3,SessionLog!$E$2:$E$309,"SE_mongodb.Badges.Id",SessionLog!$F$2:$F$309,"P")</f>
        <v/>
      </c>
      <c r="BF3" s="2">
        <f>COUNTIFS(SessionLog!$B$2:$B$309,$A3,SessionLog!$E$2:$E$309,"SE_mongodb.Badges.UserId",SessionLog!$F$2:$F$309,"M")</f>
        <v/>
      </c>
      <c r="BG3" s="2">
        <f>COUNTIFS(SessionLog!$B$2:$B$309,$A3,SessionLog!$E$2:$E$309,"SE_mongodb.Badges.UserId",SessionLog!$F$2:$F$309,"P")</f>
        <v/>
      </c>
      <c r="BH3" s="2">
        <f>COUNTIFS(SessionLog!$B$2:$B$309,$A3,SessionLog!$E$2:$E$309,"SE_mongodb.Badges.Name",SessionLog!$F$2:$F$309,"M")</f>
        <v/>
      </c>
      <c r="BI3" s="2">
        <f>COUNTIFS(SessionLog!$B$2:$B$309,$A3,SessionLog!$E$2:$E$309,"SE_mongodb.Badges.Name",SessionLog!$F$2:$F$309,"P")</f>
        <v/>
      </c>
      <c r="BJ3" s="2">
        <f>COUNTIFS(SessionLog!$B$2:$B$309,$A3,SessionLog!$E$2:$E$309,"SE_mongodb.Badges.Date",SessionLog!$F$2:$F$309,"M")</f>
        <v/>
      </c>
      <c r="BK3" s="2">
        <f>COUNTIFS(SessionLog!$B$2:$B$309,$A3,SessionLog!$E$2:$E$309,"SE_mongodb.Badges.Date",SessionLog!$F$2:$F$309,"P")</f>
        <v/>
      </c>
      <c r="BL3" s="2">
        <f>COUNTIFS(SessionLog!$B$2:$B$309,$A3,SessionLog!$E$2:$E$309,"SE_mongodb.Posts.Id",SessionLog!$F$2:$F$309,"M")</f>
        <v/>
      </c>
      <c r="BM3" s="2">
        <f>COUNTIFS(SessionLog!$B$2:$B$309,$A3,SessionLog!$E$2:$E$309,"SE_mongodb.Posts.Id",SessionLog!$F$2:$F$309,"P")</f>
        <v/>
      </c>
      <c r="BN3" s="2">
        <f>COUNTIFS(SessionLog!$B$2:$B$309,$A3,SessionLog!$E$2:$E$309,"SE_mongodb.Posts.Tags",SessionLog!$F$2:$F$309,"M")</f>
        <v/>
      </c>
      <c r="BO3" s="2">
        <f>COUNTIFS(SessionLog!$B$2:$B$309,$A3,SessionLog!$E$2:$E$309,"SE_mongodb.Posts.Tags",SessionLog!$F$2:$F$309,"P")</f>
        <v/>
      </c>
      <c r="BP3" s="2">
        <f>COUNTIFS(SessionLog!$B$2:$B$309,$A3,SessionLog!$E$2:$E$309,"SE_mongodb.Posts.Body",SessionLog!$F$2:$F$309,"M")</f>
        <v/>
      </c>
      <c r="BQ3" s="2">
        <f>COUNTIFS(SessionLog!$B$2:$B$309,$A3,SessionLog!$E$2:$E$309,"SE_mongodb.Posts.Body",SessionLog!$F$2:$F$309,"P")</f>
        <v/>
      </c>
      <c r="BR3" s="2">
        <f>COUNTIFS(SessionLog!$B$2:$B$309,$A3,SessionLog!$E$2:$E$309,"SE_mongodb.Users.Id",SessionLog!$F$2:$F$309,"M")</f>
        <v/>
      </c>
      <c r="BS3" s="2">
        <f>COUNTIFS(SessionLog!$B$2:$B$309,$A3,SessionLog!$E$2:$E$309,"SE_mongodb.Users.Id",SessionLog!$F$2:$F$309,"P")</f>
        <v/>
      </c>
      <c r="BT3" s="2">
        <f>COUNTIFS(SessionLog!$B$2:$B$309,$A3,SessionLog!$E$2:$E$309,"SE_mongodb.Users.DisplayName",SessionLog!$F$2:$F$309,"M")</f>
        <v/>
      </c>
      <c r="BU3" s="2">
        <f>COUNTIFS(SessionLog!$B$2:$B$309,$A3,SessionLog!$E$2:$E$309,"SE_mongodb.Users.DisplayName",SessionLog!$F$2:$F$309,"P")</f>
        <v/>
      </c>
      <c r="BV3" s="2">
        <f>COUNTIFS(SessionLog!$B$2:$B$309,$A3,SessionLog!$E$2:$E$309,"SE_mongodb.Users.AboutMe",SessionLog!$F$2:$F$309,"M")</f>
        <v/>
      </c>
      <c r="BW3" s="2">
        <f>COUNTIFS(SessionLog!$B$2:$B$309,$A3,SessionLog!$E$2:$E$309,"SE_mongodb.Users.AboutMe",SessionLog!$F$2:$F$309,"P")</f>
        <v/>
      </c>
      <c r="BX3" s="2">
        <f>COUNTIFS(SessionLog!$B$2:$B$309,$A3,SessionLog!$E$2:$E$309,"SE_mongodb.Comments.Id",SessionLog!$F$2:$F$309,"M")</f>
        <v/>
      </c>
      <c r="BY3" s="2">
        <f>COUNTIFS(SessionLog!$B$2:$B$309,$A3,SessionLog!$E$2:$E$309,"SE_mongodb.Comments.Id",SessionLog!$F$2:$F$309,"P")</f>
        <v/>
      </c>
      <c r="BZ3" s="2">
        <f>COUNTIFS(SessionLog!$B$2:$B$309,$A3,SessionLog!$E$2:$E$309,"SE_mongodb.Comments.UserId",SessionLog!$F$2:$F$309,"M")</f>
        <v/>
      </c>
      <c r="CA3" s="2">
        <f>COUNTIFS(SessionLog!$B$2:$B$309,$A3,SessionLog!$E$2:$E$309,"SE_mongodb.Comments.UserId",SessionLog!$F$2:$F$309,"P")</f>
        <v/>
      </c>
      <c r="CB3" s="2">
        <f>COUNTIFS(SessionLog!$B$2:$B$309,$A3,SessionLog!$E$2:$E$309,"SE_mongodb.Comments.Text",SessionLog!$F$2:$F$309,"M")</f>
        <v/>
      </c>
      <c r="CC3" s="2">
        <f>COUNTIFS(SessionLog!$B$2:$B$309,$A3,SessionLog!$E$2:$E$309,"SE_mongodb.Comments.Text",SessionLog!$F$2:$F$309,"P")</f>
        <v/>
      </c>
      <c r="CD3" s="2">
        <f>COUNTIFS(SessionLog!$B$2:$B$309,$A3,SessionLog!$E$2:$E$309,"SE_mongodb.Comments.PostId",SessionLog!$F$2:$F$309,"M")</f>
        <v/>
      </c>
      <c r="CE3" s="2">
        <f>COUNTIFS(SessionLog!$B$2:$B$309,$A3,SessionLog!$E$2:$E$309,"SE_mongodb.Comments.PostId",SessionLog!$F$2:$F$309,"P")</f>
        <v/>
      </c>
      <c r="CF3" s="2">
        <f>COUNTIFS(SessionLog!$B$2:$B$309,$A3,SessionLog!$E$2:$E$309,"SE_neo4j.postlinks.id",SessionLog!$F$2:$F$309,"M")</f>
        <v/>
      </c>
      <c r="CG3" s="2">
        <f>COUNTIFS(SessionLog!$B$2:$B$309,$A3,SessionLog!$E$2:$E$309,"SE_neo4j.postlinks.id",SessionLog!$F$2:$F$309,"P")</f>
        <v/>
      </c>
      <c r="CH3" s="2">
        <f>COUNTIFS(SessionLog!$B$2:$B$309,$A3,SessionLog!$E$2:$E$309,"SE_neo4j.postlinks.LinkTypeId",SessionLog!$F$2:$F$309,"M")</f>
        <v/>
      </c>
      <c r="CI3" s="2">
        <f>COUNTIFS(SessionLog!$B$2:$B$309,$A3,SessionLog!$E$2:$E$309,"SE_neo4j.postlinks.LinkTypeId",SessionLog!$F$2:$F$309,"P")</f>
        <v/>
      </c>
      <c r="CJ3" s="2">
        <f>COUNTIFS(SessionLog!$B$2:$B$309,$A3,SessionLog!$E$2:$E$309,"SE_neo4j.postlinks.RelatedPostId",SessionLog!$F$2:$F$309,"M")</f>
        <v/>
      </c>
      <c r="CK3" s="2">
        <f>COUNTIFS(SessionLog!$B$2:$B$309,$A3,SessionLog!$E$2:$E$309,"SE_neo4j.postlinks.RelatedPostId",SessionLog!$F$2:$F$309,"P")</f>
        <v/>
      </c>
      <c r="CL3" s="2">
        <f>COUNTIFS(SessionLog!$B$2:$B$309,$A3,SessionLog!$E$2:$E$309,"SE_neo4j.postlinks.PostIdd",SessionLog!$F$2:$F$309,"M")</f>
        <v/>
      </c>
      <c r="CM3" s="2">
        <f>COUNTIFS(SessionLog!$B$2:$B$309,$A3,SessionLog!$E$2:$E$309,"SE_neo4j.postlinks.PostIdd",SessionLog!$F$2:$F$309,"P")</f>
        <v/>
      </c>
      <c r="CN3" s="2">
        <f>COUNTIFS(SessionLog!$B$2:$B$309,$A3,SessionLog!$E$2:$E$309,"SE_neo4j.postlinks.CreationDate",SessionLog!$F$2:$F$309,"M")</f>
        <v/>
      </c>
      <c r="CO3" s="2">
        <f>COUNTIFS(SessionLog!$B$2:$B$309,$A3,SessionLog!$E$2:$E$309,"SE_neo4j.postlinks.CreationDate",SessionLog!$F$2:$F$309,"P")</f>
        <v/>
      </c>
      <c r="CP3" s="2">
        <f>COUNTIFS(SessionLog!$B$2:$B$309,$A3,SessionLog!$E$2:$E$309,"SE_neo4j.Posts.id",SessionLog!$F$2:$F$309,"M")</f>
        <v/>
      </c>
      <c r="CQ3" s="2">
        <f>COUNTIFS(SessionLog!$B$2:$B$309,$A3,SessionLog!$E$2:$E$309,"SE_neo4j.Posts.id",SessionLog!$F$2:$F$309,"P")</f>
        <v/>
      </c>
      <c r="CR3" s="2">
        <f>COUNTIFS(SessionLog!$B$2:$B$309,$A3,SessionLog!$E$2:$E$309,"SE_neo4j.Posts.posttypeid",SessionLog!$F$2:$F$309,"M")</f>
        <v/>
      </c>
      <c r="CS3" s="2">
        <f>COUNTIFS(SessionLog!$B$2:$B$309,$A3,SessionLog!$E$2:$E$309,"SE_neo4j.Posts.posttypeid",SessionLog!$F$2:$F$309,"P")</f>
        <v/>
      </c>
      <c r="CT3" s="2">
        <f>COUNTIFS(SessionLog!$B$2:$B$309,$A3,SessionLog!$E$2:$E$309,"SE_neo4j.Posts.parentid",SessionLog!$F$2:$F$309,"M")</f>
        <v/>
      </c>
      <c r="CU3" s="2">
        <f>COUNTIFS(SessionLog!$B$2:$B$309,$A3,SessionLog!$E$2:$E$309,"SE_neo4j.Posts.parentid",SessionLog!$F$2:$F$309,"P")</f>
        <v/>
      </c>
      <c r="CV3" s="2">
        <f>COUNTIFS(SessionLog!$B$2:$B$309,$A3,SessionLog!$E$2:$E$309,"SE_neo4j.Posts.owneruserid",SessionLog!$F$2:$F$309,"M")</f>
        <v/>
      </c>
      <c r="CW3" s="2">
        <f>COUNTIFS(SessionLog!$B$2:$B$309,$A3,SessionLog!$E$2:$E$309,"SE_neo4j.Posts.owneruserid",SessionLog!$F$2:$F$309,"P")</f>
        <v/>
      </c>
      <c r="CX3" s="2">
        <f>COUNTIFS(SessionLog!$B$2:$B$309,$A3,SessionLog!$E$2:$E$309,"SE_neo4j.Posts.acceptedanswerid",SessionLog!$F$2:$F$309,"M")</f>
        <v/>
      </c>
      <c r="CY3" s="2">
        <f>COUNTIFS(SessionLog!$B$2:$B$309,$A3,SessionLog!$E$2:$E$309,"SE_neo4j.Posts.acceptedanswerid",SessionLog!$F$2:$F$309,"P")</f>
        <v/>
      </c>
      <c r="CZ3" s="2">
        <f>COUNTIFS(SessionLog!$B$2:$B$309,$A3,SessionLog!$E$2:$E$309,"SE_neo4j.Comments.id",SessionLog!$F$2:$F$309,"M")</f>
        <v/>
      </c>
      <c r="DA3" s="2">
        <f>COUNTIFS(SessionLog!$B$2:$B$309,$A3,SessionLog!$E$2:$E$309,"SE_neo4j.Comments.id",SessionLog!$F$2:$F$309,"P")</f>
        <v/>
      </c>
      <c r="DB3" s="2">
        <f>COUNTIFS(SessionLog!$B$2:$B$309,$A3,SessionLog!$E$2:$E$309,"SE_neo4j.Comments.creationdate",SessionLog!$F$2:$F$309,"M")</f>
        <v/>
      </c>
      <c r="DC3" s="2">
        <f>COUNTIFS(SessionLog!$B$2:$B$309,$A3,SessionLog!$E$2:$E$309,"SE_neo4j.Comments.creationdate",SessionLog!$F$2:$F$309,"P")</f>
        <v/>
      </c>
      <c r="DD3" s="2">
        <f>COUNTIFS(SessionLog!$B$2:$B$309,$A3,SessionLog!$E$2:$E$309,"SE_neo4j.Comments.score",SessionLog!$F$2:$F$309,"M")</f>
        <v/>
      </c>
      <c r="DE3" s="2">
        <f>COUNTIFS(SessionLog!$B$2:$B$309,$A3,SessionLog!$E$2:$E$309,"SE_neo4j.Comments.score",SessionLog!$F$2:$F$309,"P")</f>
        <v/>
      </c>
      <c r="DF3" s="2">
        <f>COUNTIFS(SessionLog!$B$2:$B$309,$A3,SessionLog!$E$2:$E$309,"SE_neo4j.Users.id",SessionLog!$F$2:$F$309,"M")</f>
        <v/>
      </c>
      <c r="DG3" s="2">
        <f>COUNTIFS(SessionLog!$B$2:$B$309,$A3,SessionLog!$E$2:$E$309,"SE_neo4j.Users.id",SessionLog!$F$2:$F$309,"P")</f>
        <v/>
      </c>
      <c r="DH3" s="2">
        <f>COUNTIFS(SessionLog!$B$2:$B$309,$A3,SessionLog!$E$2:$E$309,"SE_neo4j.Users.accountid",SessionLog!$F$2:$F$309,"M")</f>
        <v/>
      </c>
      <c r="DI3" s="2">
        <f>COUNTIFS(SessionLog!$B$2:$B$309,$A3,SessionLog!$E$2:$E$309,"SE_neo4j.Users.accountid",SessionLog!$F$2:$F$309,"P")</f>
        <v/>
      </c>
      <c r="DJ3" s="2">
        <f>COUNTIFS(SessionLog!$B$2:$B$309,$A3,SessionLog!$E$2:$E$309,"SE_neo4j.Users.displayname",SessionLog!$F$2:$F$309,"M")</f>
        <v/>
      </c>
      <c r="DK3" s="2">
        <f>COUNTIFS(SessionLog!$B$2:$B$309,$A3,SessionLog!$E$2:$E$309,"SE_neo4j.Users.displayname",SessionLog!$F$2:$F$309,"P")</f>
        <v/>
      </c>
      <c r="DL3" s="2">
        <f>COUNTIFS(SessionLog!$B$2:$B$309,$A3,SessionLog!$E$2:$E$309,"SE_neo4j.Users.creationdate",SessionLog!$F$2:$F$309,"M")</f>
        <v/>
      </c>
      <c r="DM3" s="2">
        <f>COUNTIFS(SessionLog!$B$2:$B$309,$A3,SessionLog!$E$2:$E$309,"SE_neo4j.Users.creationdate",SessionLog!$F$2:$F$309,"P")</f>
        <v/>
      </c>
      <c r="DN3" s="2">
        <f>COUNTIFS(SessionLog!$B$2:$B$309,$A3,SessionLog!$E$2:$E$309,"SE_neo4j.Tags.id",SessionLog!$F$2:$F$309,"M")</f>
        <v/>
      </c>
      <c r="DO3" s="2">
        <f>COUNTIFS(SessionLog!$B$2:$B$309,$A3,SessionLog!$E$2:$E$309,"SE_neo4j.Tags.id",SessionLog!$F$2:$F$309,"P")</f>
        <v/>
      </c>
      <c r="DP3" s="2">
        <f>COUNTIFS(SessionLog!$B$2:$B$309,$A3,SessionLog!$E$2:$E$309,"SE_neo4j.Tags.count",SessionLog!$F$2:$F$309,"M")</f>
        <v/>
      </c>
      <c r="DQ3" s="2">
        <f>COUNTIFS(SessionLog!$B$2:$B$309,$A3,SessionLog!$E$2:$E$309,"SE_neo4j.Tags.count",SessionLog!$F$2:$F$309,"P")</f>
        <v/>
      </c>
      <c r="DR3" s="2">
        <f>COUNTIFS(SessionLog!$B$2:$B$309,$A3,SessionLog!$E$2:$E$309,"SE_neo4j.Tags.wikipostid",SessionLog!$F$2:$F$309,"M")</f>
        <v/>
      </c>
      <c r="DS3" s="2">
        <f>COUNTIFS(SessionLog!$B$2:$B$309,$A3,SessionLog!$E$2:$E$309,"SE_neo4j.Tags.wikipostid",SessionLog!$F$2:$F$309,"P")</f>
        <v/>
      </c>
      <c r="DT3" s="2">
        <f>COUNTIFS(SessionLog!$B$2:$B$309,$A3,SessionLog!$E$2:$E$309,"SE_neo4j.Tags.tagname",SessionLog!$F$2:$F$309,"M")</f>
        <v/>
      </c>
      <c r="DU3" s="2">
        <f>COUNTIFS(SessionLog!$B$2:$B$309,$A3,SessionLog!$E$2:$E$309,"SE_neo4j.Tags.tagname",SessionLog!$F$2:$F$309,"P")</f>
        <v/>
      </c>
      <c r="DV3" s="2">
        <f>COUNTIFS(SessionLog!$B$2:$B$309,$A3,SessionLog!$E$2:$E$309,"SE_neo4j.Tags.excerptpostid",SessionLog!$F$2:$F$309,"M")</f>
        <v/>
      </c>
      <c r="DW3" s="2">
        <f>COUNTIFS(SessionLog!$B$2:$B$309,$A3,SessionLog!$E$2:$E$309,"SE_neo4j.Tags.excerptpostid",SessionLog!$F$2:$F$309,"P")</f>
        <v/>
      </c>
    </row>
    <row r="4">
      <c r="A4" s="2" t="inlineStr">
        <is>
          <t>A3</t>
        </is>
      </c>
      <c r="B4" s="2">
        <f>COUNTIFS(SessionLog!$B$2:$B$309,$A4,SessionLog!$E$2:$E$309,"SE_mysql.postes.Id",SessionLog!$F$2:$F$309,"M")</f>
        <v/>
      </c>
      <c r="C4" s="2">
        <f>COUNTIFS(SessionLog!$B$2:$B$309,$A4,SessionLog!$E$2:$E$309,"SE_mysql.postes.Id",SessionLog!$F$2:$F$309,"P")</f>
        <v/>
      </c>
      <c r="D4" s="2">
        <f>COUNTIFS(SessionLog!$B$2:$B$309,$A4,SessionLog!$E$2:$E$309,"SE_mysql.postes.PostTypeId",SessionLog!$F$2:$F$309,"M")</f>
        <v/>
      </c>
      <c r="E4" s="2">
        <f>COUNTIFS(SessionLog!$B$2:$B$309,$A4,SessionLog!$E$2:$E$309,"SE_mysql.postes.PostTypeId",SessionLog!$F$2:$F$309,"P")</f>
        <v/>
      </c>
      <c r="F4" s="2">
        <f>COUNTIFS(SessionLog!$B$2:$B$309,$A4,SessionLog!$E$2:$E$309,"SE_mysql.postes.Title",SessionLog!$F$2:$F$309,"M")</f>
        <v/>
      </c>
      <c r="G4" s="2">
        <f>COUNTIFS(SessionLog!$B$2:$B$309,$A4,SessionLog!$E$2:$E$309,"SE_mysql.postes.Title",SessionLog!$F$2:$F$309,"P")</f>
        <v/>
      </c>
      <c r="H4" s="2">
        <f>COUNTIFS(SessionLog!$B$2:$B$309,$A4,SessionLog!$E$2:$E$309,"SE_mysql.postes.OwnerUserId",SessionLog!$F$2:$F$309,"M")</f>
        <v/>
      </c>
      <c r="I4" s="2">
        <f>COUNTIFS(SessionLog!$B$2:$B$309,$A4,SessionLog!$E$2:$E$309,"SE_mysql.postes.OwnerUserId",SessionLog!$F$2:$F$309,"P")</f>
        <v/>
      </c>
      <c r="J4" s="2">
        <f>COUNTIFS(SessionLog!$B$2:$B$309,$A4,SessionLog!$E$2:$E$309,"SE_mysql.postes.ViewCount",SessionLog!$F$2:$F$309,"M")</f>
        <v/>
      </c>
      <c r="K4" s="2">
        <f>COUNTIFS(SessionLog!$B$2:$B$309,$A4,SessionLog!$E$2:$E$309,"SE_mysql.postes.ViewCount",SessionLog!$F$2:$F$309,"P")</f>
        <v/>
      </c>
      <c r="L4" s="2">
        <f>COUNTIFS(SessionLog!$B$2:$B$309,$A4,SessionLog!$E$2:$E$309,"SE_mysql.postes.LastEditDate",SessionLog!$F$2:$F$309,"M")</f>
        <v/>
      </c>
      <c r="M4" s="2">
        <f>COUNTIFS(SessionLog!$B$2:$B$309,$A4,SessionLog!$E$2:$E$309,"SE_mysql.postes.LastEditDate",SessionLog!$F$2:$F$309,"P")</f>
        <v/>
      </c>
      <c r="N4" s="2">
        <f>COUNTIFS(SessionLog!$B$2:$B$309,$A4,SessionLog!$E$2:$E$309,"SE_mysql.postes.LastEditorUserId",SessionLog!$F$2:$F$309,"M")</f>
        <v/>
      </c>
      <c r="O4" s="2">
        <f>COUNTIFS(SessionLog!$B$2:$B$309,$A4,SessionLog!$E$2:$E$309,"SE_mysql.postes.LastEditorUserId",SessionLog!$F$2:$F$309,"P")</f>
        <v/>
      </c>
      <c r="P4" s="2">
        <f>COUNTIFS(SessionLog!$B$2:$B$309,$A4,SessionLog!$E$2:$E$309,"SE_mysql.postes.CreationDate",SessionLog!$F$2:$F$309,"M")</f>
        <v/>
      </c>
      <c r="Q4" s="2">
        <f>COUNTIFS(SessionLog!$B$2:$B$309,$A4,SessionLog!$E$2:$E$309,"SE_mysql.postes.CreationDate",SessionLog!$F$2:$F$309,"P")</f>
        <v/>
      </c>
      <c r="R4" s="2">
        <f>COUNTIFS(SessionLog!$B$2:$B$309,$A4,SessionLog!$E$2:$E$309,"SE_mysql.Posttypes.Id",SessionLog!$F$2:$F$309,"M")</f>
        <v/>
      </c>
      <c r="S4" s="2">
        <f>COUNTIFS(SessionLog!$B$2:$B$309,$A4,SessionLog!$E$2:$E$309,"SE_mysql.Posttypes.Id",SessionLog!$F$2:$F$309,"P")</f>
        <v/>
      </c>
      <c r="T4" s="2">
        <f>COUNTIFS(SessionLog!$B$2:$B$309,$A4,SessionLog!$E$2:$E$309,"SE_mysql.Posttypes.Name",SessionLog!$F$2:$F$309,"M")</f>
        <v/>
      </c>
      <c r="U4" s="2">
        <f>COUNTIFS(SessionLog!$B$2:$B$309,$A4,SessionLog!$E$2:$E$309,"SE_mysql.Posttypes.Name",SessionLog!$F$2:$F$309,"P")</f>
        <v/>
      </c>
      <c r="V4" s="2">
        <f>COUNTIFS(SessionLog!$B$2:$B$309,$A4,SessionLog!$E$2:$E$309,"SE_mysql.Users.Id",SessionLog!$F$2:$F$309,"M")</f>
        <v/>
      </c>
      <c r="W4" s="2">
        <f>COUNTIFS(SessionLog!$B$2:$B$309,$A4,SessionLog!$E$2:$E$309,"SE_mysql.Users.Id",SessionLog!$F$2:$F$309,"P")</f>
        <v/>
      </c>
      <c r="X4" s="2">
        <f>COUNTIFS(SessionLog!$B$2:$B$309,$A4,SessionLog!$E$2:$E$309,"SE_mysql.Users.Views",SessionLog!$F$2:$F$309,"M")</f>
        <v/>
      </c>
      <c r="Y4" s="2">
        <f>COUNTIFS(SessionLog!$B$2:$B$309,$A4,SessionLog!$E$2:$E$309,"SE_mysql.Users.Views",SessionLog!$F$2:$F$309,"P")</f>
        <v/>
      </c>
      <c r="Z4" s="2">
        <f>COUNTIFS(SessionLog!$B$2:$B$309,$A4,SessionLog!$E$2:$E$309,"SE_mysql.Users.UpVotes",SessionLog!$F$2:$F$309,"M")</f>
        <v/>
      </c>
      <c r="AA4" s="2">
        <f>COUNTIFS(SessionLog!$B$2:$B$309,$A4,SessionLog!$E$2:$E$309,"SE_mysql.Users.UpVotes",SessionLog!$F$2:$F$309,"P")</f>
        <v/>
      </c>
      <c r="AB4" s="2">
        <f>COUNTIFS(SessionLog!$B$2:$B$309,$A4,SessionLog!$E$2:$E$309,"SE_mysql.Users.DisplayName",SessionLog!$F$2:$F$309,"M")</f>
        <v/>
      </c>
      <c r="AC4" s="2">
        <f>COUNTIFS(SessionLog!$B$2:$B$309,$A4,SessionLog!$E$2:$E$309,"SE_mysql.Users.DisplayName",SessionLog!$F$2:$F$309,"P")</f>
        <v/>
      </c>
      <c r="AD4" s="2">
        <f>COUNTIFS(SessionLog!$B$2:$B$309,$A4,SessionLog!$E$2:$E$309,"SE_mysql.Users.DownVotes",SessionLog!$F$2:$F$309,"M")</f>
        <v/>
      </c>
      <c r="AE4" s="2">
        <f>COUNTIFS(SessionLog!$B$2:$B$309,$A4,SessionLog!$E$2:$E$309,"SE_mysql.Users.DownVotes",SessionLog!$F$2:$F$309,"P")</f>
        <v/>
      </c>
      <c r="AF4" s="2">
        <f>COUNTIFS(SessionLog!$B$2:$B$309,$A4,SessionLog!$E$2:$E$309,"SE_mysql.Users.LastAccessDate",SessionLog!$F$2:$F$309,"M")</f>
        <v/>
      </c>
      <c r="AG4" s="2">
        <f>COUNTIFS(SessionLog!$B$2:$B$309,$A4,SessionLog!$E$2:$E$309,"SE_mysql.Users.LastAccessDate",SessionLog!$F$2:$F$309,"P")</f>
        <v/>
      </c>
      <c r="AH4" s="2">
        <f>COUNTIFS(SessionLog!$B$2:$B$309,$A4,SessionLog!$E$2:$E$309,"SE_mysql.Users.Reputation",SessionLog!$F$2:$F$309,"M")</f>
        <v/>
      </c>
      <c r="AI4" s="2">
        <f>COUNTIFS(SessionLog!$B$2:$B$309,$A4,SessionLog!$E$2:$E$309,"SE_mysql.Users.Reputation",SessionLog!$F$2:$F$309,"P")</f>
        <v/>
      </c>
      <c r="AJ4" s="2">
        <f>COUNTIFS(SessionLog!$B$2:$B$309,$A4,SessionLog!$E$2:$E$309,"SE_mysql.Flagtypes.Id",SessionLog!$F$2:$F$309,"M")</f>
        <v/>
      </c>
      <c r="AK4" s="2">
        <f>COUNTIFS(SessionLog!$B$2:$B$309,$A4,SessionLog!$E$2:$E$309,"SE_mysql.Flagtypes.Id",SessionLog!$F$2:$F$309,"P")</f>
        <v/>
      </c>
      <c r="AL4" s="2">
        <f>COUNTIFS(SessionLog!$B$2:$B$309,$A4,SessionLog!$E$2:$E$309,"SE_mysql.Flagtypes.Name",SessionLog!$F$2:$F$309,"M")</f>
        <v/>
      </c>
      <c r="AM4" s="2">
        <f>COUNTIFS(SessionLog!$B$2:$B$309,$A4,SessionLog!$E$2:$E$309,"SE_mysql.Flagtypes.Name",SessionLog!$F$2:$F$309,"P")</f>
        <v/>
      </c>
      <c r="AN4" s="2">
        <f>COUNTIFS(SessionLog!$B$2:$B$309,$A4,SessionLog!$E$2:$E$309,"SE_mysql.Votes.Id",SessionLog!$F$2:$F$309,"M")</f>
        <v/>
      </c>
      <c r="AO4" s="2">
        <f>COUNTIFS(SessionLog!$B$2:$B$309,$A4,SessionLog!$E$2:$E$309,"SE_mysql.Votes.Id",SessionLog!$F$2:$F$309,"P")</f>
        <v/>
      </c>
      <c r="AP4" s="2">
        <f>COUNTIFS(SessionLog!$B$2:$B$309,$A4,SessionLog!$E$2:$E$309,"SE_mysql.Votes.UserId",SessionLog!$F$2:$F$309,"M")</f>
        <v/>
      </c>
      <c r="AQ4" s="2">
        <f>COUNTIFS(SessionLog!$B$2:$B$309,$A4,SessionLog!$E$2:$E$309,"SE_mysql.Votes.UserId",SessionLog!$F$2:$F$309,"P")</f>
        <v/>
      </c>
      <c r="AR4" s="2">
        <f>COUNTIFS(SessionLog!$B$2:$B$309,$A4,SessionLog!$E$2:$E$309,"SE_mysql.Votes.BountyAmount",SessionLog!$F$2:$F$309,"M")</f>
        <v/>
      </c>
      <c r="AS4" s="2">
        <f>COUNTIFS(SessionLog!$B$2:$B$309,$A4,SessionLog!$E$2:$E$309,"SE_mysql.Votes.BountyAmount",SessionLog!$F$2:$F$309,"P")</f>
        <v/>
      </c>
      <c r="AT4" s="2">
        <f>COUNTIFS(SessionLog!$B$2:$B$309,$A4,SessionLog!$E$2:$E$309,"SE_mysql.Votes.CreationDate",SessionLog!$F$2:$F$309,"M")</f>
        <v/>
      </c>
      <c r="AU4" s="2">
        <f>COUNTIFS(SessionLog!$B$2:$B$309,$A4,SessionLog!$E$2:$E$309,"SE_mysql.Votes.CreationDate",SessionLog!$F$2:$F$309,"P")</f>
        <v/>
      </c>
      <c r="AV4" s="2">
        <f>COUNTIFS(SessionLog!$B$2:$B$309,$A4,SessionLog!$E$2:$E$309,"SE_mysql.Votes.PostId",SessionLog!$F$2:$F$309,"M")</f>
        <v/>
      </c>
      <c r="AW4" s="2">
        <f>COUNTIFS(SessionLog!$B$2:$B$309,$A4,SessionLog!$E$2:$E$309,"SE_mysql.Votes.PostId",SessionLog!$F$2:$F$309,"P")</f>
        <v/>
      </c>
      <c r="AX4" s="2">
        <f>COUNTIFS(SessionLog!$B$2:$B$309,$A4,SessionLog!$E$2:$E$309,"SE_mysql.Votes.VoteTypeId",SessionLog!$F$2:$F$309,"M")</f>
        <v/>
      </c>
      <c r="AY4" s="2">
        <f>COUNTIFS(SessionLog!$B$2:$B$309,$A4,SessionLog!$E$2:$E$309,"SE_mysql.Votes.VoteTypeId",SessionLog!$F$2:$F$309,"P")</f>
        <v/>
      </c>
      <c r="AZ4" s="2">
        <f>COUNTIFS(SessionLog!$B$2:$B$309,$A4,SessionLog!$E$2:$E$309,"SE_mysql.Votetypes.Id",SessionLog!$F$2:$F$309,"M")</f>
        <v/>
      </c>
      <c r="BA4" s="2">
        <f>COUNTIFS(SessionLog!$B$2:$B$309,$A4,SessionLog!$E$2:$E$309,"SE_mysql.Votetypes.Id",SessionLog!$F$2:$F$309,"P")</f>
        <v/>
      </c>
      <c r="BB4" s="2">
        <f>COUNTIFS(SessionLog!$B$2:$B$309,$A4,SessionLog!$E$2:$E$309,"SE_mysql.Votetypes.Name",SessionLog!$F$2:$F$309,"M")</f>
        <v/>
      </c>
      <c r="BC4" s="2">
        <f>COUNTIFS(SessionLog!$B$2:$B$309,$A4,SessionLog!$E$2:$E$309,"SE_mysql.Votetypes.Name",SessionLog!$F$2:$F$309,"P")</f>
        <v/>
      </c>
      <c r="BD4" s="2">
        <f>COUNTIFS(SessionLog!$B$2:$B$309,$A4,SessionLog!$E$2:$E$309,"SE_mongodb.Badges.Id",SessionLog!$F$2:$F$309,"M")</f>
        <v/>
      </c>
      <c r="BE4" s="2">
        <f>COUNTIFS(SessionLog!$B$2:$B$309,$A4,SessionLog!$E$2:$E$309,"SE_mongodb.Badges.Id",SessionLog!$F$2:$F$309,"P")</f>
        <v/>
      </c>
      <c r="BF4" s="2">
        <f>COUNTIFS(SessionLog!$B$2:$B$309,$A4,SessionLog!$E$2:$E$309,"SE_mongodb.Badges.UserId",SessionLog!$F$2:$F$309,"M")</f>
        <v/>
      </c>
      <c r="BG4" s="2">
        <f>COUNTIFS(SessionLog!$B$2:$B$309,$A4,SessionLog!$E$2:$E$309,"SE_mongodb.Badges.UserId",SessionLog!$F$2:$F$309,"P")</f>
        <v/>
      </c>
      <c r="BH4" s="2">
        <f>COUNTIFS(SessionLog!$B$2:$B$309,$A4,SessionLog!$E$2:$E$309,"SE_mongodb.Badges.Name",SessionLog!$F$2:$F$309,"M")</f>
        <v/>
      </c>
      <c r="BI4" s="2">
        <f>COUNTIFS(SessionLog!$B$2:$B$309,$A4,SessionLog!$E$2:$E$309,"SE_mongodb.Badges.Name",SessionLog!$F$2:$F$309,"P")</f>
        <v/>
      </c>
      <c r="BJ4" s="2">
        <f>COUNTIFS(SessionLog!$B$2:$B$309,$A4,SessionLog!$E$2:$E$309,"SE_mongodb.Badges.Date",SessionLog!$F$2:$F$309,"M")</f>
        <v/>
      </c>
      <c r="BK4" s="2">
        <f>COUNTIFS(SessionLog!$B$2:$B$309,$A4,SessionLog!$E$2:$E$309,"SE_mongodb.Badges.Date",SessionLog!$F$2:$F$309,"P")</f>
        <v/>
      </c>
      <c r="BL4" s="2">
        <f>COUNTIFS(SessionLog!$B$2:$B$309,$A4,SessionLog!$E$2:$E$309,"SE_mongodb.Posts.Id",SessionLog!$F$2:$F$309,"M")</f>
        <v/>
      </c>
      <c r="BM4" s="2">
        <f>COUNTIFS(SessionLog!$B$2:$B$309,$A4,SessionLog!$E$2:$E$309,"SE_mongodb.Posts.Id",SessionLog!$F$2:$F$309,"P")</f>
        <v/>
      </c>
      <c r="BN4" s="2">
        <f>COUNTIFS(SessionLog!$B$2:$B$309,$A4,SessionLog!$E$2:$E$309,"SE_mongodb.Posts.Tags",SessionLog!$F$2:$F$309,"M")</f>
        <v/>
      </c>
      <c r="BO4" s="2">
        <f>COUNTIFS(SessionLog!$B$2:$B$309,$A4,SessionLog!$E$2:$E$309,"SE_mongodb.Posts.Tags",SessionLog!$F$2:$F$309,"P")</f>
        <v/>
      </c>
      <c r="BP4" s="2">
        <f>COUNTIFS(SessionLog!$B$2:$B$309,$A4,SessionLog!$E$2:$E$309,"SE_mongodb.Posts.Body",SessionLog!$F$2:$F$309,"M")</f>
        <v/>
      </c>
      <c r="BQ4" s="2">
        <f>COUNTIFS(SessionLog!$B$2:$B$309,$A4,SessionLog!$E$2:$E$309,"SE_mongodb.Posts.Body",SessionLog!$F$2:$F$309,"P")</f>
        <v/>
      </c>
      <c r="BR4" s="2">
        <f>COUNTIFS(SessionLog!$B$2:$B$309,$A4,SessionLog!$E$2:$E$309,"SE_mongodb.Users.Id",SessionLog!$F$2:$F$309,"M")</f>
        <v/>
      </c>
      <c r="BS4" s="2">
        <f>COUNTIFS(SessionLog!$B$2:$B$309,$A4,SessionLog!$E$2:$E$309,"SE_mongodb.Users.Id",SessionLog!$F$2:$F$309,"P")</f>
        <v/>
      </c>
      <c r="BT4" s="2">
        <f>COUNTIFS(SessionLog!$B$2:$B$309,$A4,SessionLog!$E$2:$E$309,"SE_mongodb.Users.DisplayName",SessionLog!$F$2:$F$309,"M")</f>
        <v/>
      </c>
      <c r="BU4" s="2">
        <f>COUNTIFS(SessionLog!$B$2:$B$309,$A4,SessionLog!$E$2:$E$309,"SE_mongodb.Users.DisplayName",SessionLog!$F$2:$F$309,"P")</f>
        <v/>
      </c>
      <c r="BV4" s="2">
        <f>COUNTIFS(SessionLog!$B$2:$B$309,$A4,SessionLog!$E$2:$E$309,"SE_mongodb.Users.AboutMe",SessionLog!$F$2:$F$309,"M")</f>
        <v/>
      </c>
      <c r="BW4" s="2">
        <f>COUNTIFS(SessionLog!$B$2:$B$309,$A4,SessionLog!$E$2:$E$309,"SE_mongodb.Users.AboutMe",SessionLog!$F$2:$F$309,"P")</f>
        <v/>
      </c>
      <c r="BX4" s="2">
        <f>COUNTIFS(SessionLog!$B$2:$B$309,$A4,SessionLog!$E$2:$E$309,"SE_mongodb.Comments.Id",SessionLog!$F$2:$F$309,"M")</f>
        <v/>
      </c>
      <c r="BY4" s="2">
        <f>COUNTIFS(SessionLog!$B$2:$B$309,$A4,SessionLog!$E$2:$E$309,"SE_mongodb.Comments.Id",SessionLog!$F$2:$F$309,"P")</f>
        <v/>
      </c>
      <c r="BZ4" s="2">
        <f>COUNTIFS(SessionLog!$B$2:$B$309,$A4,SessionLog!$E$2:$E$309,"SE_mongodb.Comments.UserId",SessionLog!$F$2:$F$309,"M")</f>
        <v/>
      </c>
      <c r="CA4" s="2">
        <f>COUNTIFS(SessionLog!$B$2:$B$309,$A4,SessionLog!$E$2:$E$309,"SE_mongodb.Comments.UserId",SessionLog!$F$2:$F$309,"P")</f>
        <v/>
      </c>
      <c r="CB4" s="2">
        <f>COUNTIFS(SessionLog!$B$2:$B$309,$A4,SessionLog!$E$2:$E$309,"SE_mongodb.Comments.Text",SessionLog!$F$2:$F$309,"M")</f>
        <v/>
      </c>
      <c r="CC4" s="2">
        <f>COUNTIFS(SessionLog!$B$2:$B$309,$A4,SessionLog!$E$2:$E$309,"SE_mongodb.Comments.Text",SessionLog!$F$2:$F$309,"P")</f>
        <v/>
      </c>
      <c r="CD4" s="2">
        <f>COUNTIFS(SessionLog!$B$2:$B$309,$A4,SessionLog!$E$2:$E$309,"SE_mongodb.Comments.PostId",SessionLog!$F$2:$F$309,"M")</f>
        <v/>
      </c>
      <c r="CE4" s="2">
        <f>COUNTIFS(SessionLog!$B$2:$B$309,$A4,SessionLog!$E$2:$E$309,"SE_mongodb.Comments.PostId",SessionLog!$F$2:$F$309,"P")</f>
        <v/>
      </c>
      <c r="CF4" s="2">
        <f>COUNTIFS(SessionLog!$B$2:$B$309,$A4,SessionLog!$E$2:$E$309,"SE_neo4j.postlinks.id",SessionLog!$F$2:$F$309,"M")</f>
        <v/>
      </c>
      <c r="CG4" s="2">
        <f>COUNTIFS(SessionLog!$B$2:$B$309,$A4,SessionLog!$E$2:$E$309,"SE_neo4j.postlinks.id",SessionLog!$F$2:$F$309,"P")</f>
        <v/>
      </c>
      <c r="CH4" s="2">
        <f>COUNTIFS(SessionLog!$B$2:$B$309,$A4,SessionLog!$E$2:$E$309,"SE_neo4j.postlinks.LinkTypeId",SessionLog!$F$2:$F$309,"M")</f>
        <v/>
      </c>
      <c r="CI4" s="2">
        <f>COUNTIFS(SessionLog!$B$2:$B$309,$A4,SessionLog!$E$2:$E$309,"SE_neo4j.postlinks.LinkTypeId",SessionLog!$F$2:$F$309,"P")</f>
        <v/>
      </c>
      <c r="CJ4" s="2">
        <f>COUNTIFS(SessionLog!$B$2:$B$309,$A4,SessionLog!$E$2:$E$309,"SE_neo4j.postlinks.RelatedPostId",SessionLog!$F$2:$F$309,"M")</f>
        <v/>
      </c>
      <c r="CK4" s="2">
        <f>COUNTIFS(SessionLog!$B$2:$B$309,$A4,SessionLog!$E$2:$E$309,"SE_neo4j.postlinks.RelatedPostId",SessionLog!$F$2:$F$309,"P")</f>
        <v/>
      </c>
      <c r="CL4" s="2">
        <f>COUNTIFS(SessionLog!$B$2:$B$309,$A4,SessionLog!$E$2:$E$309,"SE_neo4j.postlinks.PostIdd",SessionLog!$F$2:$F$309,"M")</f>
        <v/>
      </c>
      <c r="CM4" s="2">
        <f>COUNTIFS(SessionLog!$B$2:$B$309,$A4,SessionLog!$E$2:$E$309,"SE_neo4j.postlinks.PostIdd",SessionLog!$F$2:$F$309,"P")</f>
        <v/>
      </c>
      <c r="CN4" s="2">
        <f>COUNTIFS(SessionLog!$B$2:$B$309,$A4,SessionLog!$E$2:$E$309,"SE_neo4j.postlinks.CreationDate",SessionLog!$F$2:$F$309,"M")</f>
        <v/>
      </c>
      <c r="CO4" s="2">
        <f>COUNTIFS(SessionLog!$B$2:$B$309,$A4,SessionLog!$E$2:$E$309,"SE_neo4j.postlinks.CreationDate",SessionLog!$F$2:$F$309,"P")</f>
        <v/>
      </c>
      <c r="CP4" s="2">
        <f>COUNTIFS(SessionLog!$B$2:$B$309,$A4,SessionLog!$E$2:$E$309,"SE_neo4j.Posts.id",SessionLog!$F$2:$F$309,"M")</f>
        <v/>
      </c>
      <c r="CQ4" s="2">
        <f>COUNTIFS(SessionLog!$B$2:$B$309,$A4,SessionLog!$E$2:$E$309,"SE_neo4j.Posts.id",SessionLog!$F$2:$F$309,"P")</f>
        <v/>
      </c>
      <c r="CR4" s="2">
        <f>COUNTIFS(SessionLog!$B$2:$B$309,$A4,SessionLog!$E$2:$E$309,"SE_neo4j.Posts.posttypeid",SessionLog!$F$2:$F$309,"M")</f>
        <v/>
      </c>
      <c r="CS4" s="2">
        <f>COUNTIFS(SessionLog!$B$2:$B$309,$A4,SessionLog!$E$2:$E$309,"SE_neo4j.Posts.posttypeid",SessionLog!$F$2:$F$309,"P")</f>
        <v/>
      </c>
      <c r="CT4" s="2">
        <f>COUNTIFS(SessionLog!$B$2:$B$309,$A4,SessionLog!$E$2:$E$309,"SE_neo4j.Posts.parentid",SessionLog!$F$2:$F$309,"M")</f>
        <v/>
      </c>
      <c r="CU4" s="2">
        <f>COUNTIFS(SessionLog!$B$2:$B$309,$A4,SessionLog!$E$2:$E$309,"SE_neo4j.Posts.parentid",SessionLog!$F$2:$F$309,"P")</f>
        <v/>
      </c>
      <c r="CV4" s="2">
        <f>COUNTIFS(SessionLog!$B$2:$B$309,$A4,SessionLog!$E$2:$E$309,"SE_neo4j.Posts.owneruserid",SessionLog!$F$2:$F$309,"M")</f>
        <v/>
      </c>
      <c r="CW4" s="2">
        <f>COUNTIFS(SessionLog!$B$2:$B$309,$A4,SessionLog!$E$2:$E$309,"SE_neo4j.Posts.owneruserid",SessionLog!$F$2:$F$309,"P")</f>
        <v/>
      </c>
      <c r="CX4" s="2">
        <f>COUNTIFS(SessionLog!$B$2:$B$309,$A4,SessionLog!$E$2:$E$309,"SE_neo4j.Posts.acceptedanswerid",SessionLog!$F$2:$F$309,"M")</f>
        <v/>
      </c>
      <c r="CY4" s="2">
        <f>COUNTIFS(SessionLog!$B$2:$B$309,$A4,SessionLog!$E$2:$E$309,"SE_neo4j.Posts.acceptedanswerid",SessionLog!$F$2:$F$309,"P")</f>
        <v/>
      </c>
      <c r="CZ4" s="2">
        <f>COUNTIFS(SessionLog!$B$2:$B$309,$A4,SessionLog!$E$2:$E$309,"SE_neo4j.Comments.id",SessionLog!$F$2:$F$309,"M")</f>
        <v/>
      </c>
      <c r="DA4" s="2">
        <f>COUNTIFS(SessionLog!$B$2:$B$309,$A4,SessionLog!$E$2:$E$309,"SE_neo4j.Comments.id",SessionLog!$F$2:$F$309,"P")</f>
        <v/>
      </c>
      <c r="DB4" s="2">
        <f>COUNTIFS(SessionLog!$B$2:$B$309,$A4,SessionLog!$E$2:$E$309,"SE_neo4j.Comments.creationdate",SessionLog!$F$2:$F$309,"M")</f>
        <v/>
      </c>
      <c r="DC4" s="2">
        <f>COUNTIFS(SessionLog!$B$2:$B$309,$A4,SessionLog!$E$2:$E$309,"SE_neo4j.Comments.creationdate",SessionLog!$F$2:$F$309,"P")</f>
        <v/>
      </c>
      <c r="DD4" s="2">
        <f>COUNTIFS(SessionLog!$B$2:$B$309,$A4,SessionLog!$E$2:$E$309,"SE_neo4j.Comments.score",SessionLog!$F$2:$F$309,"M")</f>
        <v/>
      </c>
      <c r="DE4" s="2">
        <f>COUNTIFS(SessionLog!$B$2:$B$309,$A4,SessionLog!$E$2:$E$309,"SE_neo4j.Comments.score",SessionLog!$F$2:$F$309,"P")</f>
        <v/>
      </c>
      <c r="DF4" s="2">
        <f>COUNTIFS(SessionLog!$B$2:$B$309,$A4,SessionLog!$E$2:$E$309,"SE_neo4j.Users.id",SessionLog!$F$2:$F$309,"M")</f>
        <v/>
      </c>
      <c r="DG4" s="2">
        <f>COUNTIFS(SessionLog!$B$2:$B$309,$A4,SessionLog!$E$2:$E$309,"SE_neo4j.Users.id",SessionLog!$F$2:$F$309,"P")</f>
        <v/>
      </c>
      <c r="DH4" s="2">
        <f>COUNTIFS(SessionLog!$B$2:$B$309,$A4,SessionLog!$E$2:$E$309,"SE_neo4j.Users.accountid",SessionLog!$F$2:$F$309,"M")</f>
        <v/>
      </c>
      <c r="DI4" s="2">
        <f>COUNTIFS(SessionLog!$B$2:$B$309,$A4,SessionLog!$E$2:$E$309,"SE_neo4j.Users.accountid",SessionLog!$F$2:$F$309,"P")</f>
        <v/>
      </c>
      <c r="DJ4" s="2">
        <f>COUNTIFS(SessionLog!$B$2:$B$309,$A4,SessionLog!$E$2:$E$309,"SE_neo4j.Users.displayname",SessionLog!$F$2:$F$309,"M")</f>
        <v/>
      </c>
      <c r="DK4" s="2">
        <f>COUNTIFS(SessionLog!$B$2:$B$309,$A4,SessionLog!$E$2:$E$309,"SE_neo4j.Users.displayname",SessionLog!$F$2:$F$309,"P")</f>
        <v/>
      </c>
      <c r="DL4" s="2">
        <f>COUNTIFS(SessionLog!$B$2:$B$309,$A4,SessionLog!$E$2:$E$309,"SE_neo4j.Users.creationdate",SessionLog!$F$2:$F$309,"M")</f>
        <v/>
      </c>
      <c r="DM4" s="2">
        <f>COUNTIFS(SessionLog!$B$2:$B$309,$A4,SessionLog!$E$2:$E$309,"SE_neo4j.Users.creationdate",SessionLog!$F$2:$F$309,"P")</f>
        <v/>
      </c>
      <c r="DN4" s="2">
        <f>COUNTIFS(SessionLog!$B$2:$B$309,$A4,SessionLog!$E$2:$E$309,"SE_neo4j.Tags.id",SessionLog!$F$2:$F$309,"M")</f>
        <v/>
      </c>
      <c r="DO4" s="2">
        <f>COUNTIFS(SessionLog!$B$2:$B$309,$A4,SessionLog!$E$2:$E$309,"SE_neo4j.Tags.id",SessionLog!$F$2:$F$309,"P")</f>
        <v/>
      </c>
      <c r="DP4" s="2">
        <f>COUNTIFS(SessionLog!$B$2:$B$309,$A4,SessionLog!$E$2:$E$309,"SE_neo4j.Tags.count",SessionLog!$F$2:$F$309,"M")</f>
        <v/>
      </c>
      <c r="DQ4" s="2">
        <f>COUNTIFS(SessionLog!$B$2:$B$309,$A4,SessionLog!$E$2:$E$309,"SE_neo4j.Tags.count",SessionLog!$F$2:$F$309,"P")</f>
        <v/>
      </c>
      <c r="DR4" s="2">
        <f>COUNTIFS(SessionLog!$B$2:$B$309,$A4,SessionLog!$E$2:$E$309,"SE_neo4j.Tags.wikipostid",SessionLog!$F$2:$F$309,"M")</f>
        <v/>
      </c>
      <c r="DS4" s="2">
        <f>COUNTIFS(SessionLog!$B$2:$B$309,$A4,SessionLog!$E$2:$E$309,"SE_neo4j.Tags.wikipostid",SessionLog!$F$2:$F$309,"P")</f>
        <v/>
      </c>
      <c r="DT4" s="2">
        <f>COUNTIFS(SessionLog!$B$2:$B$309,$A4,SessionLog!$E$2:$E$309,"SE_neo4j.Tags.tagname",SessionLog!$F$2:$F$309,"M")</f>
        <v/>
      </c>
      <c r="DU4" s="2">
        <f>COUNTIFS(SessionLog!$B$2:$B$309,$A4,SessionLog!$E$2:$E$309,"SE_neo4j.Tags.tagname",SessionLog!$F$2:$F$309,"P")</f>
        <v/>
      </c>
      <c r="DV4" s="2">
        <f>COUNTIFS(SessionLog!$B$2:$B$309,$A4,SessionLog!$E$2:$E$309,"SE_neo4j.Tags.excerptpostid",SessionLog!$F$2:$F$309,"M")</f>
        <v/>
      </c>
      <c r="DW4" s="2">
        <f>COUNTIFS(SessionLog!$B$2:$B$309,$A4,SessionLog!$E$2:$E$309,"SE_neo4j.Tags.excerptpostid",SessionLog!$F$2:$F$309,"P")</f>
        <v/>
      </c>
    </row>
    <row r="5">
      <c r="A5" s="2" t="inlineStr">
        <is>
          <t>B1</t>
        </is>
      </c>
      <c r="B5" s="2">
        <f>COUNTIFS(SessionLog!$B$2:$B$309,$A5,SessionLog!$E$2:$E$309,"SE_mysql.postes.Id",SessionLog!$F$2:$F$309,"M")</f>
        <v/>
      </c>
      <c r="C5" s="2">
        <f>COUNTIFS(SessionLog!$B$2:$B$309,$A5,SessionLog!$E$2:$E$309,"SE_mysql.postes.Id",SessionLog!$F$2:$F$309,"P")</f>
        <v/>
      </c>
      <c r="D5" s="2">
        <f>COUNTIFS(SessionLog!$B$2:$B$309,$A5,SessionLog!$E$2:$E$309,"SE_mysql.postes.PostTypeId",SessionLog!$F$2:$F$309,"M")</f>
        <v/>
      </c>
      <c r="E5" s="2">
        <f>COUNTIFS(SessionLog!$B$2:$B$309,$A5,SessionLog!$E$2:$E$309,"SE_mysql.postes.PostTypeId",SessionLog!$F$2:$F$309,"P")</f>
        <v/>
      </c>
      <c r="F5" s="2">
        <f>COUNTIFS(SessionLog!$B$2:$B$309,$A5,SessionLog!$E$2:$E$309,"SE_mysql.postes.Title",SessionLog!$F$2:$F$309,"M")</f>
        <v/>
      </c>
      <c r="G5" s="2">
        <f>COUNTIFS(SessionLog!$B$2:$B$309,$A5,SessionLog!$E$2:$E$309,"SE_mysql.postes.Title",SessionLog!$F$2:$F$309,"P")</f>
        <v/>
      </c>
      <c r="H5" s="2">
        <f>COUNTIFS(SessionLog!$B$2:$B$309,$A5,SessionLog!$E$2:$E$309,"SE_mysql.postes.OwnerUserId",SessionLog!$F$2:$F$309,"M")</f>
        <v/>
      </c>
      <c r="I5" s="2">
        <f>COUNTIFS(SessionLog!$B$2:$B$309,$A5,SessionLog!$E$2:$E$309,"SE_mysql.postes.OwnerUserId",SessionLog!$F$2:$F$309,"P")</f>
        <v/>
      </c>
      <c r="J5" s="2">
        <f>COUNTIFS(SessionLog!$B$2:$B$309,$A5,SessionLog!$E$2:$E$309,"SE_mysql.postes.ViewCount",SessionLog!$F$2:$F$309,"M")</f>
        <v/>
      </c>
      <c r="K5" s="2">
        <f>COUNTIFS(SessionLog!$B$2:$B$309,$A5,SessionLog!$E$2:$E$309,"SE_mysql.postes.ViewCount",SessionLog!$F$2:$F$309,"P")</f>
        <v/>
      </c>
      <c r="L5" s="2">
        <f>COUNTIFS(SessionLog!$B$2:$B$309,$A5,SessionLog!$E$2:$E$309,"SE_mysql.postes.LastEditDate",SessionLog!$F$2:$F$309,"M")</f>
        <v/>
      </c>
      <c r="M5" s="2">
        <f>COUNTIFS(SessionLog!$B$2:$B$309,$A5,SessionLog!$E$2:$E$309,"SE_mysql.postes.LastEditDate",SessionLog!$F$2:$F$309,"P")</f>
        <v/>
      </c>
      <c r="N5" s="2">
        <f>COUNTIFS(SessionLog!$B$2:$B$309,$A5,SessionLog!$E$2:$E$309,"SE_mysql.postes.LastEditorUserId",SessionLog!$F$2:$F$309,"M")</f>
        <v/>
      </c>
      <c r="O5" s="2">
        <f>COUNTIFS(SessionLog!$B$2:$B$309,$A5,SessionLog!$E$2:$E$309,"SE_mysql.postes.LastEditorUserId",SessionLog!$F$2:$F$309,"P")</f>
        <v/>
      </c>
      <c r="P5" s="2">
        <f>COUNTIFS(SessionLog!$B$2:$B$309,$A5,SessionLog!$E$2:$E$309,"SE_mysql.postes.CreationDate",SessionLog!$F$2:$F$309,"M")</f>
        <v/>
      </c>
      <c r="Q5" s="2">
        <f>COUNTIFS(SessionLog!$B$2:$B$309,$A5,SessionLog!$E$2:$E$309,"SE_mysql.postes.CreationDate",SessionLog!$F$2:$F$309,"P")</f>
        <v/>
      </c>
      <c r="R5" s="2">
        <f>COUNTIFS(SessionLog!$B$2:$B$309,$A5,SessionLog!$E$2:$E$309,"SE_mysql.Posttypes.Id",SessionLog!$F$2:$F$309,"M")</f>
        <v/>
      </c>
      <c r="S5" s="2">
        <f>COUNTIFS(SessionLog!$B$2:$B$309,$A5,SessionLog!$E$2:$E$309,"SE_mysql.Posttypes.Id",SessionLog!$F$2:$F$309,"P")</f>
        <v/>
      </c>
      <c r="T5" s="2">
        <f>COUNTIFS(SessionLog!$B$2:$B$309,$A5,SessionLog!$E$2:$E$309,"SE_mysql.Posttypes.Name",SessionLog!$F$2:$F$309,"M")</f>
        <v/>
      </c>
      <c r="U5" s="2">
        <f>COUNTIFS(SessionLog!$B$2:$B$309,$A5,SessionLog!$E$2:$E$309,"SE_mysql.Posttypes.Name",SessionLog!$F$2:$F$309,"P")</f>
        <v/>
      </c>
      <c r="V5" s="2">
        <f>COUNTIFS(SessionLog!$B$2:$B$309,$A5,SessionLog!$E$2:$E$309,"SE_mysql.Users.Id",SessionLog!$F$2:$F$309,"M")</f>
        <v/>
      </c>
      <c r="W5" s="2">
        <f>COUNTIFS(SessionLog!$B$2:$B$309,$A5,SessionLog!$E$2:$E$309,"SE_mysql.Users.Id",SessionLog!$F$2:$F$309,"P")</f>
        <v/>
      </c>
      <c r="X5" s="2">
        <f>COUNTIFS(SessionLog!$B$2:$B$309,$A5,SessionLog!$E$2:$E$309,"SE_mysql.Users.Views",SessionLog!$F$2:$F$309,"M")</f>
        <v/>
      </c>
      <c r="Y5" s="2">
        <f>COUNTIFS(SessionLog!$B$2:$B$309,$A5,SessionLog!$E$2:$E$309,"SE_mysql.Users.Views",SessionLog!$F$2:$F$309,"P")</f>
        <v/>
      </c>
      <c r="Z5" s="2">
        <f>COUNTIFS(SessionLog!$B$2:$B$309,$A5,SessionLog!$E$2:$E$309,"SE_mysql.Users.UpVotes",SessionLog!$F$2:$F$309,"M")</f>
        <v/>
      </c>
      <c r="AA5" s="2">
        <f>COUNTIFS(SessionLog!$B$2:$B$309,$A5,SessionLog!$E$2:$E$309,"SE_mysql.Users.UpVotes",SessionLog!$F$2:$F$309,"P")</f>
        <v/>
      </c>
      <c r="AB5" s="2">
        <f>COUNTIFS(SessionLog!$B$2:$B$309,$A5,SessionLog!$E$2:$E$309,"SE_mysql.Users.DisplayName",SessionLog!$F$2:$F$309,"M")</f>
        <v/>
      </c>
      <c r="AC5" s="2">
        <f>COUNTIFS(SessionLog!$B$2:$B$309,$A5,SessionLog!$E$2:$E$309,"SE_mysql.Users.DisplayName",SessionLog!$F$2:$F$309,"P")</f>
        <v/>
      </c>
      <c r="AD5" s="2">
        <f>COUNTIFS(SessionLog!$B$2:$B$309,$A5,SessionLog!$E$2:$E$309,"SE_mysql.Users.DownVotes",SessionLog!$F$2:$F$309,"M")</f>
        <v/>
      </c>
      <c r="AE5" s="2">
        <f>COUNTIFS(SessionLog!$B$2:$B$309,$A5,SessionLog!$E$2:$E$309,"SE_mysql.Users.DownVotes",SessionLog!$F$2:$F$309,"P")</f>
        <v/>
      </c>
      <c r="AF5" s="2">
        <f>COUNTIFS(SessionLog!$B$2:$B$309,$A5,SessionLog!$E$2:$E$309,"SE_mysql.Users.LastAccessDate",SessionLog!$F$2:$F$309,"M")</f>
        <v/>
      </c>
      <c r="AG5" s="2">
        <f>COUNTIFS(SessionLog!$B$2:$B$309,$A5,SessionLog!$E$2:$E$309,"SE_mysql.Users.LastAccessDate",SessionLog!$F$2:$F$309,"P")</f>
        <v/>
      </c>
      <c r="AH5" s="2">
        <f>COUNTIFS(SessionLog!$B$2:$B$309,$A5,SessionLog!$E$2:$E$309,"SE_mysql.Users.Reputation",SessionLog!$F$2:$F$309,"M")</f>
        <v/>
      </c>
      <c r="AI5" s="2">
        <f>COUNTIFS(SessionLog!$B$2:$B$309,$A5,SessionLog!$E$2:$E$309,"SE_mysql.Users.Reputation",SessionLog!$F$2:$F$309,"P")</f>
        <v/>
      </c>
      <c r="AJ5" s="2">
        <f>COUNTIFS(SessionLog!$B$2:$B$309,$A5,SessionLog!$E$2:$E$309,"SE_mysql.Flagtypes.Id",SessionLog!$F$2:$F$309,"M")</f>
        <v/>
      </c>
      <c r="AK5" s="2">
        <f>COUNTIFS(SessionLog!$B$2:$B$309,$A5,SessionLog!$E$2:$E$309,"SE_mysql.Flagtypes.Id",SessionLog!$F$2:$F$309,"P")</f>
        <v/>
      </c>
      <c r="AL5" s="2">
        <f>COUNTIFS(SessionLog!$B$2:$B$309,$A5,SessionLog!$E$2:$E$309,"SE_mysql.Flagtypes.Name",SessionLog!$F$2:$F$309,"M")</f>
        <v/>
      </c>
      <c r="AM5" s="2">
        <f>COUNTIFS(SessionLog!$B$2:$B$309,$A5,SessionLog!$E$2:$E$309,"SE_mysql.Flagtypes.Name",SessionLog!$F$2:$F$309,"P")</f>
        <v/>
      </c>
      <c r="AN5" s="2">
        <f>COUNTIFS(SessionLog!$B$2:$B$309,$A5,SessionLog!$E$2:$E$309,"SE_mysql.Votes.Id",SessionLog!$F$2:$F$309,"M")</f>
        <v/>
      </c>
      <c r="AO5" s="2">
        <f>COUNTIFS(SessionLog!$B$2:$B$309,$A5,SessionLog!$E$2:$E$309,"SE_mysql.Votes.Id",SessionLog!$F$2:$F$309,"P")</f>
        <v/>
      </c>
      <c r="AP5" s="2">
        <f>COUNTIFS(SessionLog!$B$2:$B$309,$A5,SessionLog!$E$2:$E$309,"SE_mysql.Votes.UserId",SessionLog!$F$2:$F$309,"M")</f>
        <v/>
      </c>
      <c r="AQ5" s="2">
        <f>COUNTIFS(SessionLog!$B$2:$B$309,$A5,SessionLog!$E$2:$E$309,"SE_mysql.Votes.UserId",SessionLog!$F$2:$F$309,"P")</f>
        <v/>
      </c>
      <c r="AR5" s="2">
        <f>COUNTIFS(SessionLog!$B$2:$B$309,$A5,SessionLog!$E$2:$E$309,"SE_mysql.Votes.BountyAmount",SessionLog!$F$2:$F$309,"M")</f>
        <v/>
      </c>
      <c r="AS5" s="2">
        <f>COUNTIFS(SessionLog!$B$2:$B$309,$A5,SessionLog!$E$2:$E$309,"SE_mysql.Votes.BountyAmount",SessionLog!$F$2:$F$309,"P")</f>
        <v/>
      </c>
      <c r="AT5" s="2">
        <f>COUNTIFS(SessionLog!$B$2:$B$309,$A5,SessionLog!$E$2:$E$309,"SE_mysql.Votes.CreationDate",SessionLog!$F$2:$F$309,"M")</f>
        <v/>
      </c>
      <c r="AU5" s="2">
        <f>COUNTIFS(SessionLog!$B$2:$B$309,$A5,SessionLog!$E$2:$E$309,"SE_mysql.Votes.CreationDate",SessionLog!$F$2:$F$309,"P")</f>
        <v/>
      </c>
      <c r="AV5" s="2">
        <f>COUNTIFS(SessionLog!$B$2:$B$309,$A5,SessionLog!$E$2:$E$309,"SE_mysql.Votes.PostId",SessionLog!$F$2:$F$309,"M")</f>
        <v/>
      </c>
      <c r="AW5" s="2">
        <f>COUNTIFS(SessionLog!$B$2:$B$309,$A5,SessionLog!$E$2:$E$309,"SE_mysql.Votes.PostId",SessionLog!$F$2:$F$309,"P")</f>
        <v/>
      </c>
      <c r="AX5" s="2">
        <f>COUNTIFS(SessionLog!$B$2:$B$309,$A5,SessionLog!$E$2:$E$309,"SE_mysql.Votes.VoteTypeId",SessionLog!$F$2:$F$309,"M")</f>
        <v/>
      </c>
      <c r="AY5" s="2">
        <f>COUNTIFS(SessionLog!$B$2:$B$309,$A5,SessionLog!$E$2:$E$309,"SE_mysql.Votes.VoteTypeId",SessionLog!$F$2:$F$309,"P")</f>
        <v/>
      </c>
      <c r="AZ5" s="2">
        <f>COUNTIFS(SessionLog!$B$2:$B$309,$A5,SessionLog!$E$2:$E$309,"SE_mysql.Votetypes.Id",SessionLog!$F$2:$F$309,"M")</f>
        <v/>
      </c>
      <c r="BA5" s="2">
        <f>COUNTIFS(SessionLog!$B$2:$B$309,$A5,SessionLog!$E$2:$E$309,"SE_mysql.Votetypes.Id",SessionLog!$F$2:$F$309,"P")</f>
        <v/>
      </c>
      <c r="BB5" s="2">
        <f>COUNTIFS(SessionLog!$B$2:$B$309,$A5,SessionLog!$E$2:$E$309,"SE_mysql.Votetypes.Name",SessionLog!$F$2:$F$309,"M")</f>
        <v/>
      </c>
      <c r="BC5" s="2">
        <f>COUNTIFS(SessionLog!$B$2:$B$309,$A5,SessionLog!$E$2:$E$309,"SE_mysql.Votetypes.Name",SessionLog!$F$2:$F$309,"P")</f>
        <v/>
      </c>
      <c r="BD5" s="2">
        <f>COUNTIFS(SessionLog!$B$2:$B$309,$A5,SessionLog!$E$2:$E$309,"SE_mongodb.Badges.Id",SessionLog!$F$2:$F$309,"M")</f>
        <v/>
      </c>
      <c r="BE5" s="2">
        <f>COUNTIFS(SessionLog!$B$2:$B$309,$A5,SessionLog!$E$2:$E$309,"SE_mongodb.Badges.Id",SessionLog!$F$2:$F$309,"P")</f>
        <v/>
      </c>
      <c r="BF5" s="2">
        <f>COUNTIFS(SessionLog!$B$2:$B$309,$A5,SessionLog!$E$2:$E$309,"SE_mongodb.Badges.UserId",SessionLog!$F$2:$F$309,"M")</f>
        <v/>
      </c>
      <c r="BG5" s="2">
        <f>COUNTIFS(SessionLog!$B$2:$B$309,$A5,SessionLog!$E$2:$E$309,"SE_mongodb.Badges.UserId",SessionLog!$F$2:$F$309,"P")</f>
        <v/>
      </c>
      <c r="BH5" s="2">
        <f>COUNTIFS(SessionLog!$B$2:$B$309,$A5,SessionLog!$E$2:$E$309,"SE_mongodb.Badges.Name",SessionLog!$F$2:$F$309,"M")</f>
        <v/>
      </c>
      <c r="BI5" s="2">
        <f>COUNTIFS(SessionLog!$B$2:$B$309,$A5,SessionLog!$E$2:$E$309,"SE_mongodb.Badges.Name",SessionLog!$F$2:$F$309,"P")</f>
        <v/>
      </c>
      <c r="BJ5" s="2">
        <f>COUNTIFS(SessionLog!$B$2:$B$309,$A5,SessionLog!$E$2:$E$309,"SE_mongodb.Badges.Date",SessionLog!$F$2:$F$309,"M")</f>
        <v/>
      </c>
      <c r="BK5" s="2">
        <f>COUNTIFS(SessionLog!$B$2:$B$309,$A5,SessionLog!$E$2:$E$309,"SE_mongodb.Badges.Date",SessionLog!$F$2:$F$309,"P")</f>
        <v/>
      </c>
      <c r="BL5" s="2">
        <f>COUNTIFS(SessionLog!$B$2:$B$309,$A5,SessionLog!$E$2:$E$309,"SE_mongodb.Posts.Id",SessionLog!$F$2:$F$309,"M")</f>
        <v/>
      </c>
      <c r="BM5" s="2">
        <f>COUNTIFS(SessionLog!$B$2:$B$309,$A5,SessionLog!$E$2:$E$309,"SE_mongodb.Posts.Id",SessionLog!$F$2:$F$309,"P")</f>
        <v/>
      </c>
      <c r="BN5" s="2">
        <f>COUNTIFS(SessionLog!$B$2:$B$309,$A5,SessionLog!$E$2:$E$309,"SE_mongodb.Posts.Tags",SessionLog!$F$2:$F$309,"M")</f>
        <v/>
      </c>
      <c r="BO5" s="2">
        <f>COUNTIFS(SessionLog!$B$2:$B$309,$A5,SessionLog!$E$2:$E$309,"SE_mongodb.Posts.Tags",SessionLog!$F$2:$F$309,"P")</f>
        <v/>
      </c>
      <c r="BP5" s="2">
        <f>COUNTIFS(SessionLog!$B$2:$B$309,$A5,SessionLog!$E$2:$E$309,"SE_mongodb.Posts.Body",SessionLog!$F$2:$F$309,"M")</f>
        <v/>
      </c>
      <c r="BQ5" s="2">
        <f>COUNTIFS(SessionLog!$B$2:$B$309,$A5,SessionLog!$E$2:$E$309,"SE_mongodb.Posts.Body",SessionLog!$F$2:$F$309,"P")</f>
        <v/>
      </c>
      <c r="BR5" s="2">
        <f>COUNTIFS(SessionLog!$B$2:$B$309,$A5,SessionLog!$E$2:$E$309,"SE_mongodb.Users.Id",SessionLog!$F$2:$F$309,"M")</f>
        <v/>
      </c>
      <c r="BS5" s="2">
        <f>COUNTIFS(SessionLog!$B$2:$B$309,$A5,SessionLog!$E$2:$E$309,"SE_mongodb.Users.Id",SessionLog!$F$2:$F$309,"P")</f>
        <v/>
      </c>
      <c r="BT5" s="2">
        <f>COUNTIFS(SessionLog!$B$2:$B$309,$A5,SessionLog!$E$2:$E$309,"SE_mongodb.Users.DisplayName",SessionLog!$F$2:$F$309,"M")</f>
        <v/>
      </c>
      <c r="BU5" s="2">
        <f>COUNTIFS(SessionLog!$B$2:$B$309,$A5,SessionLog!$E$2:$E$309,"SE_mongodb.Users.DisplayName",SessionLog!$F$2:$F$309,"P")</f>
        <v/>
      </c>
      <c r="BV5" s="2">
        <f>COUNTIFS(SessionLog!$B$2:$B$309,$A5,SessionLog!$E$2:$E$309,"SE_mongodb.Users.AboutMe",SessionLog!$F$2:$F$309,"M")</f>
        <v/>
      </c>
      <c r="BW5" s="2">
        <f>COUNTIFS(SessionLog!$B$2:$B$309,$A5,SessionLog!$E$2:$E$309,"SE_mongodb.Users.AboutMe",SessionLog!$F$2:$F$309,"P")</f>
        <v/>
      </c>
      <c r="BX5" s="2">
        <f>COUNTIFS(SessionLog!$B$2:$B$309,$A5,SessionLog!$E$2:$E$309,"SE_mongodb.Comments.Id",SessionLog!$F$2:$F$309,"M")</f>
        <v/>
      </c>
      <c r="BY5" s="2">
        <f>COUNTIFS(SessionLog!$B$2:$B$309,$A5,SessionLog!$E$2:$E$309,"SE_mongodb.Comments.Id",SessionLog!$F$2:$F$309,"P")</f>
        <v/>
      </c>
      <c r="BZ5" s="2">
        <f>COUNTIFS(SessionLog!$B$2:$B$309,$A5,SessionLog!$E$2:$E$309,"SE_mongodb.Comments.UserId",SessionLog!$F$2:$F$309,"M")</f>
        <v/>
      </c>
      <c r="CA5" s="2">
        <f>COUNTIFS(SessionLog!$B$2:$B$309,$A5,SessionLog!$E$2:$E$309,"SE_mongodb.Comments.UserId",SessionLog!$F$2:$F$309,"P")</f>
        <v/>
      </c>
      <c r="CB5" s="2">
        <f>COUNTIFS(SessionLog!$B$2:$B$309,$A5,SessionLog!$E$2:$E$309,"SE_mongodb.Comments.Text",SessionLog!$F$2:$F$309,"M")</f>
        <v/>
      </c>
      <c r="CC5" s="2">
        <f>COUNTIFS(SessionLog!$B$2:$B$309,$A5,SessionLog!$E$2:$E$309,"SE_mongodb.Comments.Text",SessionLog!$F$2:$F$309,"P")</f>
        <v/>
      </c>
      <c r="CD5" s="2">
        <f>COUNTIFS(SessionLog!$B$2:$B$309,$A5,SessionLog!$E$2:$E$309,"SE_mongodb.Comments.PostId",SessionLog!$F$2:$F$309,"M")</f>
        <v/>
      </c>
      <c r="CE5" s="2">
        <f>COUNTIFS(SessionLog!$B$2:$B$309,$A5,SessionLog!$E$2:$E$309,"SE_mongodb.Comments.PostId",SessionLog!$F$2:$F$309,"P")</f>
        <v/>
      </c>
      <c r="CF5" s="2">
        <f>COUNTIFS(SessionLog!$B$2:$B$309,$A5,SessionLog!$E$2:$E$309,"SE_neo4j.postlinks.id",SessionLog!$F$2:$F$309,"M")</f>
        <v/>
      </c>
      <c r="CG5" s="2">
        <f>COUNTIFS(SessionLog!$B$2:$B$309,$A5,SessionLog!$E$2:$E$309,"SE_neo4j.postlinks.id",SessionLog!$F$2:$F$309,"P")</f>
        <v/>
      </c>
      <c r="CH5" s="2">
        <f>COUNTIFS(SessionLog!$B$2:$B$309,$A5,SessionLog!$E$2:$E$309,"SE_neo4j.postlinks.LinkTypeId",SessionLog!$F$2:$F$309,"M")</f>
        <v/>
      </c>
      <c r="CI5" s="2">
        <f>COUNTIFS(SessionLog!$B$2:$B$309,$A5,SessionLog!$E$2:$E$309,"SE_neo4j.postlinks.LinkTypeId",SessionLog!$F$2:$F$309,"P")</f>
        <v/>
      </c>
      <c r="CJ5" s="2">
        <f>COUNTIFS(SessionLog!$B$2:$B$309,$A5,SessionLog!$E$2:$E$309,"SE_neo4j.postlinks.RelatedPostId",SessionLog!$F$2:$F$309,"M")</f>
        <v/>
      </c>
      <c r="CK5" s="2">
        <f>COUNTIFS(SessionLog!$B$2:$B$309,$A5,SessionLog!$E$2:$E$309,"SE_neo4j.postlinks.RelatedPostId",SessionLog!$F$2:$F$309,"P")</f>
        <v/>
      </c>
      <c r="CL5" s="2">
        <f>COUNTIFS(SessionLog!$B$2:$B$309,$A5,SessionLog!$E$2:$E$309,"SE_neo4j.postlinks.PostIdd",SessionLog!$F$2:$F$309,"M")</f>
        <v/>
      </c>
      <c r="CM5" s="2">
        <f>COUNTIFS(SessionLog!$B$2:$B$309,$A5,SessionLog!$E$2:$E$309,"SE_neo4j.postlinks.PostIdd",SessionLog!$F$2:$F$309,"P")</f>
        <v/>
      </c>
      <c r="CN5" s="2">
        <f>COUNTIFS(SessionLog!$B$2:$B$309,$A5,SessionLog!$E$2:$E$309,"SE_neo4j.postlinks.CreationDate",SessionLog!$F$2:$F$309,"M")</f>
        <v/>
      </c>
      <c r="CO5" s="2">
        <f>COUNTIFS(SessionLog!$B$2:$B$309,$A5,SessionLog!$E$2:$E$309,"SE_neo4j.postlinks.CreationDate",SessionLog!$F$2:$F$309,"P")</f>
        <v/>
      </c>
      <c r="CP5" s="2">
        <f>COUNTIFS(SessionLog!$B$2:$B$309,$A5,SessionLog!$E$2:$E$309,"SE_neo4j.Posts.id",SessionLog!$F$2:$F$309,"M")</f>
        <v/>
      </c>
      <c r="CQ5" s="2">
        <f>COUNTIFS(SessionLog!$B$2:$B$309,$A5,SessionLog!$E$2:$E$309,"SE_neo4j.Posts.id",SessionLog!$F$2:$F$309,"P")</f>
        <v/>
      </c>
      <c r="CR5" s="2">
        <f>COUNTIFS(SessionLog!$B$2:$B$309,$A5,SessionLog!$E$2:$E$309,"SE_neo4j.Posts.posttypeid",SessionLog!$F$2:$F$309,"M")</f>
        <v/>
      </c>
      <c r="CS5" s="2">
        <f>COUNTIFS(SessionLog!$B$2:$B$309,$A5,SessionLog!$E$2:$E$309,"SE_neo4j.Posts.posttypeid",SessionLog!$F$2:$F$309,"P")</f>
        <v/>
      </c>
      <c r="CT5" s="2">
        <f>COUNTIFS(SessionLog!$B$2:$B$309,$A5,SessionLog!$E$2:$E$309,"SE_neo4j.Posts.parentid",SessionLog!$F$2:$F$309,"M")</f>
        <v/>
      </c>
      <c r="CU5" s="2">
        <f>COUNTIFS(SessionLog!$B$2:$B$309,$A5,SessionLog!$E$2:$E$309,"SE_neo4j.Posts.parentid",SessionLog!$F$2:$F$309,"P")</f>
        <v/>
      </c>
      <c r="CV5" s="2">
        <f>COUNTIFS(SessionLog!$B$2:$B$309,$A5,SessionLog!$E$2:$E$309,"SE_neo4j.Posts.owneruserid",SessionLog!$F$2:$F$309,"M")</f>
        <v/>
      </c>
      <c r="CW5" s="2">
        <f>COUNTIFS(SessionLog!$B$2:$B$309,$A5,SessionLog!$E$2:$E$309,"SE_neo4j.Posts.owneruserid",SessionLog!$F$2:$F$309,"P")</f>
        <v/>
      </c>
      <c r="CX5" s="2">
        <f>COUNTIFS(SessionLog!$B$2:$B$309,$A5,SessionLog!$E$2:$E$309,"SE_neo4j.Posts.acceptedanswerid",SessionLog!$F$2:$F$309,"M")</f>
        <v/>
      </c>
      <c r="CY5" s="2">
        <f>COUNTIFS(SessionLog!$B$2:$B$309,$A5,SessionLog!$E$2:$E$309,"SE_neo4j.Posts.acceptedanswerid",SessionLog!$F$2:$F$309,"P")</f>
        <v/>
      </c>
      <c r="CZ5" s="2">
        <f>COUNTIFS(SessionLog!$B$2:$B$309,$A5,SessionLog!$E$2:$E$309,"SE_neo4j.Comments.id",SessionLog!$F$2:$F$309,"M")</f>
        <v/>
      </c>
      <c r="DA5" s="2">
        <f>COUNTIFS(SessionLog!$B$2:$B$309,$A5,SessionLog!$E$2:$E$309,"SE_neo4j.Comments.id",SessionLog!$F$2:$F$309,"P")</f>
        <v/>
      </c>
      <c r="DB5" s="2">
        <f>COUNTIFS(SessionLog!$B$2:$B$309,$A5,SessionLog!$E$2:$E$309,"SE_neo4j.Comments.creationdate",SessionLog!$F$2:$F$309,"M")</f>
        <v/>
      </c>
      <c r="DC5" s="2">
        <f>COUNTIFS(SessionLog!$B$2:$B$309,$A5,SessionLog!$E$2:$E$309,"SE_neo4j.Comments.creationdate",SessionLog!$F$2:$F$309,"P")</f>
        <v/>
      </c>
      <c r="DD5" s="2">
        <f>COUNTIFS(SessionLog!$B$2:$B$309,$A5,SessionLog!$E$2:$E$309,"SE_neo4j.Comments.score",SessionLog!$F$2:$F$309,"M")</f>
        <v/>
      </c>
      <c r="DE5" s="2">
        <f>COUNTIFS(SessionLog!$B$2:$B$309,$A5,SessionLog!$E$2:$E$309,"SE_neo4j.Comments.score",SessionLog!$F$2:$F$309,"P")</f>
        <v/>
      </c>
      <c r="DF5" s="2">
        <f>COUNTIFS(SessionLog!$B$2:$B$309,$A5,SessionLog!$E$2:$E$309,"SE_neo4j.Users.id",SessionLog!$F$2:$F$309,"M")</f>
        <v/>
      </c>
      <c r="DG5" s="2">
        <f>COUNTIFS(SessionLog!$B$2:$B$309,$A5,SessionLog!$E$2:$E$309,"SE_neo4j.Users.id",SessionLog!$F$2:$F$309,"P")</f>
        <v/>
      </c>
      <c r="DH5" s="2">
        <f>COUNTIFS(SessionLog!$B$2:$B$309,$A5,SessionLog!$E$2:$E$309,"SE_neo4j.Users.accountid",SessionLog!$F$2:$F$309,"M")</f>
        <v/>
      </c>
      <c r="DI5" s="2">
        <f>COUNTIFS(SessionLog!$B$2:$B$309,$A5,SessionLog!$E$2:$E$309,"SE_neo4j.Users.accountid",SessionLog!$F$2:$F$309,"P")</f>
        <v/>
      </c>
      <c r="DJ5" s="2">
        <f>COUNTIFS(SessionLog!$B$2:$B$309,$A5,SessionLog!$E$2:$E$309,"SE_neo4j.Users.displayname",SessionLog!$F$2:$F$309,"M")</f>
        <v/>
      </c>
      <c r="DK5" s="2">
        <f>COUNTIFS(SessionLog!$B$2:$B$309,$A5,SessionLog!$E$2:$E$309,"SE_neo4j.Users.displayname",SessionLog!$F$2:$F$309,"P")</f>
        <v/>
      </c>
      <c r="DL5" s="2">
        <f>COUNTIFS(SessionLog!$B$2:$B$309,$A5,SessionLog!$E$2:$E$309,"SE_neo4j.Users.creationdate",SessionLog!$F$2:$F$309,"M")</f>
        <v/>
      </c>
      <c r="DM5" s="2">
        <f>COUNTIFS(SessionLog!$B$2:$B$309,$A5,SessionLog!$E$2:$E$309,"SE_neo4j.Users.creationdate",SessionLog!$F$2:$F$309,"P")</f>
        <v/>
      </c>
      <c r="DN5" s="2">
        <f>COUNTIFS(SessionLog!$B$2:$B$309,$A5,SessionLog!$E$2:$E$309,"SE_neo4j.Tags.id",SessionLog!$F$2:$F$309,"M")</f>
        <v/>
      </c>
      <c r="DO5" s="2">
        <f>COUNTIFS(SessionLog!$B$2:$B$309,$A5,SessionLog!$E$2:$E$309,"SE_neo4j.Tags.id",SessionLog!$F$2:$F$309,"P")</f>
        <v/>
      </c>
      <c r="DP5" s="2">
        <f>COUNTIFS(SessionLog!$B$2:$B$309,$A5,SessionLog!$E$2:$E$309,"SE_neo4j.Tags.count",SessionLog!$F$2:$F$309,"M")</f>
        <v/>
      </c>
      <c r="DQ5" s="2">
        <f>COUNTIFS(SessionLog!$B$2:$B$309,$A5,SessionLog!$E$2:$E$309,"SE_neo4j.Tags.count",SessionLog!$F$2:$F$309,"P")</f>
        <v/>
      </c>
      <c r="DR5" s="2">
        <f>COUNTIFS(SessionLog!$B$2:$B$309,$A5,SessionLog!$E$2:$E$309,"SE_neo4j.Tags.wikipostid",SessionLog!$F$2:$F$309,"M")</f>
        <v/>
      </c>
      <c r="DS5" s="2">
        <f>COUNTIFS(SessionLog!$B$2:$B$309,$A5,SessionLog!$E$2:$E$309,"SE_neo4j.Tags.wikipostid",SessionLog!$F$2:$F$309,"P")</f>
        <v/>
      </c>
      <c r="DT5" s="2">
        <f>COUNTIFS(SessionLog!$B$2:$B$309,$A5,SessionLog!$E$2:$E$309,"SE_neo4j.Tags.tagname",SessionLog!$F$2:$F$309,"M")</f>
        <v/>
      </c>
      <c r="DU5" s="2">
        <f>COUNTIFS(SessionLog!$B$2:$B$309,$A5,SessionLog!$E$2:$E$309,"SE_neo4j.Tags.tagname",SessionLog!$F$2:$F$309,"P")</f>
        <v/>
      </c>
      <c r="DV5" s="2">
        <f>COUNTIFS(SessionLog!$B$2:$B$309,$A5,SessionLog!$E$2:$E$309,"SE_neo4j.Tags.excerptpostid",SessionLog!$F$2:$F$309,"M")</f>
        <v/>
      </c>
      <c r="DW5" s="2">
        <f>COUNTIFS(SessionLog!$B$2:$B$309,$A5,SessionLog!$E$2:$E$309,"SE_neo4j.Tags.excerptpostid",SessionLog!$F$2:$F$309,"P")</f>
        <v/>
      </c>
    </row>
    <row r="6">
      <c r="A6" s="2" t="inlineStr">
        <is>
          <t>B2</t>
        </is>
      </c>
      <c r="B6" s="2">
        <f>COUNTIFS(SessionLog!$B$2:$B$309,$A6,SessionLog!$E$2:$E$309,"SE_mysql.postes.Id",SessionLog!$F$2:$F$309,"M")</f>
        <v/>
      </c>
      <c r="C6" s="2">
        <f>COUNTIFS(SessionLog!$B$2:$B$309,$A6,SessionLog!$E$2:$E$309,"SE_mysql.postes.Id",SessionLog!$F$2:$F$309,"P")</f>
        <v/>
      </c>
      <c r="D6" s="2">
        <f>COUNTIFS(SessionLog!$B$2:$B$309,$A6,SessionLog!$E$2:$E$309,"SE_mysql.postes.PostTypeId",SessionLog!$F$2:$F$309,"M")</f>
        <v/>
      </c>
      <c r="E6" s="2">
        <f>COUNTIFS(SessionLog!$B$2:$B$309,$A6,SessionLog!$E$2:$E$309,"SE_mysql.postes.PostTypeId",SessionLog!$F$2:$F$309,"P")</f>
        <v/>
      </c>
      <c r="F6" s="2">
        <f>COUNTIFS(SessionLog!$B$2:$B$309,$A6,SessionLog!$E$2:$E$309,"SE_mysql.postes.Title",SessionLog!$F$2:$F$309,"M")</f>
        <v/>
      </c>
      <c r="G6" s="2">
        <f>COUNTIFS(SessionLog!$B$2:$B$309,$A6,SessionLog!$E$2:$E$309,"SE_mysql.postes.Title",SessionLog!$F$2:$F$309,"P")</f>
        <v/>
      </c>
      <c r="H6" s="2">
        <f>COUNTIFS(SessionLog!$B$2:$B$309,$A6,SessionLog!$E$2:$E$309,"SE_mysql.postes.OwnerUserId",SessionLog!$F$2:$F$309,"M")</f>
        <v/>
      </c>
      <c r="I6" s="2">
        <f>COUNTIFS(SessionLog!$B$2:$B$309,$A6,SessionLog!$E$2:$E$309,"SE_mysql.postes.OwnerUserId",SessionLog!$F$2:$F$309,"P")</f>
        <v/>
      </c>
      <c r="J6" s="2">
        <f>COUNTIFS(SessionLog!$B$2:$B$309,$A6,SessionLog!$E$2:$E$309,"SE_mysql.postes.ViewCount",SessionLog!$F$2:$F$309,"M")</f>
        <v/>
      </c>
      <c r="K6" s="2">
        <f>COUNTIFS(SessionLog!$B$2:$B$309,$A6,SessionLog!$E$2:$E$309,"SE_mysql.postes.ViewCount",SessionLog!$F$2:$F$309,"P")</f>
        <v/>
      </c>
      <c r="L6" s="2">
        <f>COUNTIFS(SessionLog!$B$2:$B$309,$A6,SessionLog!$E$2:$E$309,"SE_mysql.postes.LastEditDate",SessionLog!$F$2:$F$309,"M")</f>
        <v/>
      </c>
      <c r="M6" s="2">
        <f>COUNTIFS(SessionLog!$B$2:$B$309,$A6,SessionLog!$E$2:$E$309,"SE_mysql.postes.LastEditDate",SessionLog!$F$2:$F$309,"P")</f>
        <v/>
      </c>
      <c r="N6" s="2">
        <f>COUNTIFS(SessionLog!$B$2:$B$309,$A6,SessionLog!$E$2:$E$309,"SE_mysql.postes.LastEditorUserId",SessionLog!$F$2:$F$309,"M")</f>
        <v/>
      </c>
      <c r="O6" s="2">
        <f>COUNTIFS(SessionLog!$B$2:$B$309,$A6,SessionLog!$E$2:$E$309,"SE_mysql.postes.LastEditorUserId",SessionLog!$F$2:$F$309,"P")</f>
        <v/>
      </c>
      <c r="P6" s="2">
        <f>COUNTIFS(SessionLog!$B$2:$B$309,$A6,SessionLog!$E$2:$E$309,"SE_mysql.postes.CreationDate",SessionLog!$F$2:$F$309,"M")</f>
        <v/>
      </c>
      <c r="Q6" s="2">
        <f>COUNTIFS(SessionLog!$B$2:$B$309,$A6,SessionLog!$E$2:$E$309,"SE_mysql.postes.CreationDate",SessionLog!$F$2:$F$309,"P")</f>
        <v/>
      </c>
      <c r="R6" s="2">
        <f>COUNTIFS(SessionLog!$B$2:$B$309,$A6,SessionLog!$E$2:$E$309,"SE_mysql.Posttypes.Id",SessionLog!$F$2:$F$309,"M")</f>
        <v/>
      </c>
      <c r="S6" s="2">
        <f>COUNTIFS(SessionLog!$B$2:$B$309,$A6,SessionLog!$E$2:$E$309,"SE_mysql.Posttypes.Id",SessionLog!$F$2:$F$309,"P")</f>
        <v/>
      </c>
      <c r="T6" s="2">
        <f>COUNTIFS(SessionLog!$B$2:$B$309,$A6,SessionLog!$E$2:$E$309,"SE_mysql.Posttypes.Name",SessionLog!$F$2:$F$309,"M")</f>
        <v/>
      </c>
      <c r="U6" s="2">
        <f>COUNTIFS(SessionLog!$B$2:$B$309,$A6,SessionLog!$E$2:$E$309,"SE_mysql.Posttypes.Name",SessionLog!$F$2:$F$309,"P")</f>
        <v/>
      </c>
      <c r="V6" s="2">
        <f>COUNTIFS(SessionLog!$B$2:$B$309,$A6,SessionLog!$E$2:$E$309,"SE_mysql.Users.Id",SessionLog!$F$2:$F$309,"M")</f>
        <v/>
      </c>
      <c r="W6" s="2">
        <f>COUNTIFS(SessionLog!$B$2:$B$309,$A6,SessionLog!$E$2:$E$309,"SE_mysql.Users.Id",SessionLog!$F$2:$F$309,"P")</f>
        <v/>
      </c>
      <c r="X6" s="2">
        <f>COUNTIFS(SessionLog!$B$2:$B$309,$A6,SessionLog!$E$2:$E$309,"SE_mysql.Users.Views",SessionLog!$F$2:$F$309,"M")</f>
        <v/>
      </c>
      <c r="Y6" s="2">
        <f>COUNTIFS(SessionLog!$B$2:$B$309,$A6,SessionLog!$E$2:$E$309,"SE_mysql.Users.Views",SessionLog!$F$2:$F$309,"P")</f>
        <v/>
      </c>
      <c r="Z6" s="2">
        <f>COUNTIFS(SessionLog!$B$2:$B$309,$A6,SessionLog!$E$2:$E$309,"SE_mysql.Users.UpVotes",SessionLog!$F$2:$F$309,"M")</f>
        <v/>
      </c>
      <c r="AA6" s="2">
        <f>COUNTIFS(SessionLog!$B$2:$B$309,$A6,SessionLog!$E$2:$E$309,"SE_mysql.Users.UpVotes",SessionLog!$F$2:$F$309,"P")</f>
        <v/>
      </c>
      <c r="AB6" s="2">
        <f>COUNTIFS(SessionLog!$B$2:$B$309,$A6,SessionLog!$E$2:$E$309,"SE_mysql.Users.DisplayName",SessionLog!$F$2:$F$309,"M")</f>
        <v/>
      </c>
      <c r="AC6" s="2">
        <f>COUNTIFS(SessionLog!$B$2:$B$309,$A6,SessionLog!$E$2:$E$309,"SE_mysql.Users.DisplayName",SessionLog!$F$2:$F$309,"P")</f>
        <v/>
      </c>
      <c r="AD6" s="2">
        <f>COUNTIFS(SessionLog!$B$2:$B$309,$A6,SessionLog!$E$2:$E$309,"SE_mysql.Users.DownVotes",SessionLog!$F$2:$F$309,"M")</f>
        <v/>
      </c>
      <c r="AE6" s="2">
        <f>COUNTIFS(SessionLog!$B$2:$B$309,$A6,SessionLog!$E$2:$E$309,"SE_mysql.Users.DownVotes",SessionLog!$F$2:$F$309,"P")</f>
        <v/>
      </c>
      <c r="AF6" s="2">
        <f>COUNTIFS(SessionLog!$B$2:$B$309,$A6,SessionLog!$E$2:$E$309,"SE_mysql.Users.LastAccessDate",SessionLog!$F$2:$F$309,"M")</f>
        <v/>
      </c>
      <c r="AG6" s="2">
        <f>COUNTIFS(SessionLog!$B$2:$B$309,$A6,SessionLog!$E$2:$E$309,"SE_mysql.Users.LastAccessDate",SessionLog!$F$2:$F$309,"P")</f>
        <v/>
      </c>
      <c r="AH6" s="2">
        <f>COUNTIFS(SessionLog!$B$2:$B$309,$A6,SessionLog!$E$2:$E$309,"SE_mysql.Users.Reputation",SessionLog!$F$2:$F$309,"M")</f>
        <v/>
      </c>
      <c r="AI6" s="2">
        <f>COUNTIFS(SessionLog!$B$2:$B$309,$A6,SessionLog!$E$2:$E$309,"SE_mysql.Users.Reputation",SessionLog!$F$2:$F$309,"P")</f>
        <v/>
      </c>
      <c r="AJ6" s="2">
        <f>COUNTIFS(SessionLog!$B$2:$B$309,$A6,SessionLog!$E$2:$E$309,"SE_mysql.Flagtypes.Id",SessionLog!$F$2:$F$309,"M")</f>
        <v/>
      </c>
      <c r="AK6" s="2">
        <f>COUNTIFS(SessionLog!$B$2:$B$309,$A6,SessionLog!$E$2:$E$309,"SE_mysql.Flagtypes.Id",SessionLog!$F$2:$F$309,"P")</f>
        <v/>
      </c>
      <c r="AL6" s="2">
        <f>COUNTIFS(SessionLog!$B$2:$B$309,$A6,SessionLog!$E$2:$E$309,"SE_mysql.Flagtypes.Name",SessionLog!$F$2:$F$309,"M")</f>
        <v/>
      </c>
      <c r="AM6" s="2">
        <f>COUNTIFS(SessionLog!$B$2:$B$309,$A6,SessionLog!$E$2:$E$309,"SE_mysql.Flagtypes.Name",SessionLog!$F$2:$F$309,"P")</f>
        <v/>
      </c>
      <c r="AN6" s="2">
        <f>COUNTIFS(SessionLog!$B$2:$B$309,$A6,SessionLog!$E$2:$E$309,"SE_mysql.Votes.Id",SessionLog!$F$2:$F$309,"M")</f>
        <v/>
      </c>
      <c r="AO6" s="2">
        <f>COUNTIFS(SessionLog!$B$2:$B$309,$A6,SessionLog!$E$2:$E$309,"SE_mysql.Votes.Id",SessionLog!$F$2:$F$309,"P")</f>
        <v/>
      </c>
      <c r="AP6" s="2">
        <f>COUNTIFS(SessionLog!$B$2:$B$309,$A6,SessionLog!$E$2:$E$309,"SE_mysql.Votes.UserId",SessionLog!$F$2:$F$309,"M")</f>
        <v/>
      </c>
      <c r="AQ6" s="2">
        <f>COUNTIFS(SessionLog!$B$2:$B$309,$A6,SessionLog!$E$2:$E$309,"SE_mysql.Votes.UserId",SessionLog!$F$2:$F$309,"P")</f>
        <v/>
      </c>
      <c r="AR6" s="2">
        <f>COUNTIFS(SessionLog!$B$2:$B$309,$A6,SessionLog!$E$2:$E$309,"SE_mysql.Votes.BountyAmount",SessionLog!$F$2:$F$309,"M")</f>
        <v/>
      </c>
      <c r="AS6" s="2">
        <f>COUNTIFS(SessionLog!$B$2:$B$309,$A6,SessionLog!$E$2:$E$309,"SE_mysql.Votes.BountyAmount",SessionLog!$F$2:$F$309,"P")</f>
        <v/>
      </c>
      <c r="AT6" s="2">
        <f>COUNTIFS(SessionLog!$B$2:$B$309,$A6,SessionLog!$E$2:$E$309,"SE_mysql.Votes.CreationDate",SessionLog!$F$2:$F$309,"M")</f>
        <v/>
      </c>
      <c r="AU6" s="2">
        <f>COUNTIFS(SessionLog!$B$2:$B$309,$A6,SessionLog!$E$2:$E$309,"SE_mysql.Votes.CreationDate",SessionLog!$F$2:$F$309,"P")</f>
        <v/>
      </c>
      <c r="AV6" s="2">
        <f>COUNTIFS(SessionLog!$B$2:$B$309,$A6,SessionLog!$E$2:$E$309,"SE_mysql.Votes.PostId",SessionLog!$F$2:$F$309,"M")</f>
        <v/>
      </c>
      <c r="AW6" s="2">
        <f>COUNTIFS(SessionLog!$B$2:$B$309,$A6,SessionLog!$E$2:$E$309,"SE_mysql.Votes.PostId",SessionLog!$F$2:$F$309,"P")</f>
        <v/>
      </c>
      <c r="AX6" s="2">
        <f>COUNTIFS(SessionLog!$B$2:$B$309,$A6,SessionLog!$E$2:$E$309,"SE_mysql.Votes.VoteTypeId",SessionLog!$F$2:$F$309,"M")</f>
        <v/>
      </c>
      <c r="AY6" s="2">
        <f>COUNTIFS(SessionLog!$B$2:$B$309,$A6,SessionLog!$E$2:$E$309,"SE_mysql.Votes.VoteTypeId",SessionLog!$F$2:$F$309,"P")</f>
        <v/>
      </c>
      <c r="AZ6" s="2">
        <f>COUNTIFS(SessionLog!$B$2:$B$309,$A6,SessionLog!$E$2:$E$309,"SE_mysql.Votetypes.Id",SessionLog!$F$2:$F$309,"M")</f>
        <v/>
      </c>
      <c r="BA6" s="2">
        <f>COUNTIFS(SessionLog!$B$2:$B$309,$A6,SessionLog!$E$2:$E$309,"SE_mysql.Votetypes.Id",SessionLog!$F$2:$F$309,"P")</f>
        <v/>
      </c>
      <c r="BB6" s="2">
        <f>COUNTIFS(SessionLog!$B$2:$B$309,$A6,SessionLog!$E$2:$E$309,"SE_mysql.Votetypes.Name",SessionLog!$F$2:$F$309,"M")</f>
        <v/>
      </c>
      <c r="BC6" s="2">
        <f>COUNTIFS(SessionLog!$B$2:$B$309,$A6,SessionLog!$E$2:$E$309,"SE_mysql.Votetypes.Name",SessionLog!$F$2:$F$309,"P")</f>
        <v/>
      </c>
      <c r="BD6" s="2">
        <f>COUNTIFS(SessionLog!$B$2:$B$309,$A6,SessionLog!$E$2:$E$309,"SE_mongodb.Badges.Id",SessionLog!$F$2:$F$309,"M")</f>
        <v/>
      </c>
      <c r="BE6" s="2">
        <f>COUNTIFS(SessionLog!$B$2:$B$309,$A6,SessionLog!$E$2:$E$309,"SE_mongodb.Badges.Id",SessionLog!$F$2:$F$309,"P")</f>
        <v/>
      </c>
      <c r="BF6" s="2">
        <f>COUNTIFS(SessionLog!$B$2:$B$309,$A6,SessionLog!$E$2:$E$309,"SE_mongodb.Badges.UserId",SessionLog!$F$2:$F$309,"M")</f>
        <v/>
      </c>
      <c r="BG6" s="2">
        <f>COUNTIFS(SessionLog!$B$2:$B$309,$A6,SessionLog!$E$2:$E$309,"SE_mongodb.Badges.UserId",SessionLog!$F$2:$F$309,"P")</f>
        <v/>
      </c>
      <c r="BH6" s="2">
        <f>COUNTIFS(SessionLog!$B$2:$B$309,$A6,SessionLog!$E$2:$E$309,"SE_mongodb.Badges.Name",SessionLog!$F$2:$F$309,"M")</f>
        <v/>
      </c>
      <c r="BI6" s="2">
        <f>COUNTIFS(SessionLog!$B$2:$B$309,$A6,SessionLog!$E$2:$E$309,"SE_mongodb.Badges.Name",SessionLog!$F$2:$F$309,"P")</f>
        <v/>
      </c>
      <c r="BJ6" s="2">
        <f>COUNTIFS(SessionLog!$B$2:$B$309,$A6,SessionLog!$E$2:$E$309,"SE_mongodb.Badges.Date",SessionLog!$F$2:$F$309,"M")</f>
        <v/>
      </c>
      <c r="BK6" s="2">
        <f>COUNTIFS(SessionLog!$B$2:$B$309,$A6,SessionLog!$E$2:$E$309,"SE_mongodb.Badges.Date",SessionLog!$F$2:$F$309,"P")</f>
        <v/>
      </c>
      <c r="BL6" s="2">
        <f>COUNTIFS(SessionLog!$B$2:$B$309,$A6,SessionLog!$E$2:$E$309,"SE_mongodb.Posts.Id",SessionLog!$F$2:$F$309,"M")</f>
        <v/>
      </c>
      <c r="BM6" s="2">
        <f>COUNTIFS(SessionLog!$B$2:$B$309,$A6,SessionLog!$E$2:$E$309,"SE_mongodb.Posts.Id",SessionLog!$F$2:$F$309,"P")</f>
        <v/>
      </c>
      <c r="BN6" s="2">
        <f>COUNTIFS(SessionLog!$B$2:$B$309,$A6,SessionLog!$E$2:$E$309,"SE_mongodb.Posts.Tags",SessionLog!$F$2:$F$309,"M")</f>
        <v/>
      </c>
      <c r="BO6" s="2">
        <f>COUNTIFS(SessionLog!$B$2:$B$309,$A6,SessionLog!$E$2:$E$309,"SE_mongodb.Posts.Tags",SessionLog!$F$2:$F$309,"P")</f>
        <v/>
      </c>
      <c r="BP6" s="2">
        <f>COUNTIFS(SessionLog!$B$2:$B$309,$A6,SessionLog!$E$2:$E$309,"SE_mongodb.Posts.Body",SessionLog!$F$2:$F$309,"M")</f>
        <v/>
      </c>
      <c r="BQ6" s="2">
        <f>COUNTIFS(SessionLog!$B$2:$B$309,$A6,SessionLog!$E$2:$E$309,"SE_mongodb.Posts.Body",SessionLog!$F$2:$F$309,"P")</f>
        <v/>
      </c>
      <c r="BR6" s="2">
        <f>COUNTIFS(SessionLog!$B$2:$B$309,$A6,SessionLog!$E$2:$E$309,"SE_mongodb.Users.Id",SessionLog!$F$2:$F$309,"M")</f>
        <v/>
      </c>
      <c r="BS6" s="2">
        <f>COUNTIFS(SessionLog!$B$2:$B$309,$A6,SessionLog!$E$2:$E$309,"SE_mongodb.Users.Id",SessionLog!$F$2:$F$309,"P")</f>
        <v/>
      </c>
      <c r="BT6" s="2">
        <f>COUNTIFS(SessionLog!$B$2:$B$309,$A6,SessionLog!$E$2:$E$309,"SE_mongodb.Users.DisplayName",SessionLog!$F$2:$F$309,"M")</f>
        <v/>
      </c>
      <c r="BU6" s="2">
        <f>COUNTIFS(SessionLog!$B$2:$B$309,$A6,SessionLog!$E$2:$E$309,"SE_mongodb.Users.DisplayName",SessionLog!$F$2:$F$309,"P")</f>
        <v/>
      </c>
      <c r="BV6" s="2">
        <f>COUNTIFS(SessionLog!$B$2:$B$309,$A6,SessionLog!$E$2:$E$309,"SE_mongodb.Users.AboutMe",SessionLog!$F$2:$F$309,"M")</f>
        <v/>
      </c>
      <c r="BW6" s="2">
        <f>COUNTIFS(SessionLog!$B$2:$B$309,$A6,SessionLog!$E$2:$E$309,"SE_mongodb.Users.AboutMe",SessionLog!$F$2:$F$309,"P")</f>
        <v/>
      </c>
      <c r="BX6" s="2">
        <f>COUNTIFS(SessionLog!$B$2:$B$309,$A6,SessionLog!$E$2:$E$309,"SE_mongodb.Comments.Id",SessionLog!$F$2:$F$309,"M")</f>
        <v/>
      </c>
      <c r="BY6" s="2">
        <f>COUNTIFS(SessionLog!$B$2:$B$309,$A6,SessionLog!$E$2:$E$309,"SE_mongodb.Comments.Id",SessionLog!$F$2:$F$309,"P")</f>
        <v/>
      </c>
      <c r="BZ6" s="2">
        <f>COUNTIFS(SessionLog!$B$2:$B$309,$A6,SessionLog!$E$2:$E$309,"SE_mongodb.Comments.UserId",SessionLog!$F$2:$F$309,"M")</f>
        <v/>
      </c>
      <c r="CA6" s="2">
        <f>COUNTIFS(SessionLog!$B$2:$B$309,$A6,SessionLog!$E$2:$E$309,"SE_mongodb.Comments.UserId",SessionLog!$F$2:$F$309,"P")</f>
        <v/>
      </c>
      <c r="CB6" s="2">
        <f>COUNTIFS(SessionLog!$B$2:$B$309,$A6,SessionLog!$E$2:$E$309,"SE_mongodb.Comments.Text",SessionLog!$F$2:$F$309,"M")</f>
        <v/>
      </c>
      <c r="CC6" s="2">
        <f>COUNTIFS(SessionLog!$B$2:$B$309,$A6,SessionLog!$E$2:$E$309,"SE_mongodb.Comments.Text",SessionLog!$F$2:$F$309,"P")</f>
        <v/>
      </c>
      <c r="CD6" s="2">
        <f>COUNTIFS(SessionLog!$B$2:$B$309,$A6,SessionLog!$E$2:$E$309,"SE_mongodb.Comments.PostId",SessionLog!$F$2:$F$309,"M")</f>
        <v/>
      </c>
      <c r="CE6" s="2">
        <f>COUNTIFS(SessionLog!$B$2:$B$309,$A6,SessionLog!$E$2:$E$309,"SE_mongodb.Comments.PostId",SessionLog!$F$2:$F$309,"P")</f>
        <v/>
      </c>
      <c r="CF6" s="2">
        <f>COUNTIFS(SessionLog!$B$2:$B$309,$A6,SessionLog!$E$2:$E$309,"SE_neo4j.postlinks.id",SessionLog!$F$2:$F$309,"M")</f>
        <v/>
      </c>
      <c r="CG6" s="2">
        <f>COUNTIFS(SessionLog!$B$2:$B$309,$A6,SessionLog!$E$2:$E$309,"SE_neo4j.postlinks.id",SessionLog!$F$2:$F$309,"P")</f>
        <v/>
      </c>
      <c r="CH6" s="2">
        <f>COUNTIFS(SessionLog!$B$2:$B$309,$A6,SessionLog!$E$2:$E$309,"SE_neo4j.postlinks.LinkTypeId",SessionLog!$F$2:$F$309,"M")</f>
        <v/>
      </c>
      <c r="CI6" s="2">
        <f>COUNTIFS(SessionLog!$B$2:$B$309,$A6,SessionLog!$E$2:$E$309,"SE_neo4j.postlinks.LinkTypeId",SessionLog!$F$2:$F$309,"P")</f>
        <v/>
      </c>
      <c r="CJ6" s="2">
        <f>COUNTIFS(SessionLog!$B$2:$B$309,$A6,SessionLog!$E$2:$E$309,"SE_neo4j.postlinks.RelatedPostId",SessionLog!$F$2:$F$309,"M")</f>
        <v/>
      </c>
      <c r="CK6" s="2">
        <f>COUNTIFS(SessionLog!$B$2:$B$309,$A6,SessionLog!$E$2:$E$309,"SE_neo4j.postlinks.RelatedPostId",SessionLog!$F$2:$F$309,"P")</f>
        <v/>
      </c>
      <c r="CL6" s="2">
        <f>COUNTIFS(SessionLog!$B$2:$B$309,$A6,SessionLog!$E$2:$E$309,"SE_neo4j.postlinks.PostIdd",SessionLog!$F$2:$F$309,"M")</f>
        <v/>
      </c>
      <c r="CM6" s="2">
        <f>COUNTIFS(SessionLog!$B$2:$B$309,$A6,SessionLog!$E$2:$E$309,"SE_neo4j.postlinks.PostIdd",SessionLog!$F$2:$F$309,"P")</f>
        <v/>
      </c>
      <c r="CN6" s="2">
        <f>COUNTIFS(SessionLog!$B$2:$B$309,$A6,SessionLog!$E$2:$E$309,"SE_neo4j.postlinks.CreationDate",SessionLog!$F$2:$F$309,"M")</f>
        <v/>
      </c>
      <c r="CO6" s="2">
        <f>COUNTIFS(SessionLog!$B$2:$B$309,$A6,SessionLog!$E$2:$E$309,"SE_neo4j.postlinks.CreationDate",SessionLog!$F$2:$F$309,"P")</f>
        <v/>
      </c>
      <c r="CP6" s="2">
        <f>COUNTIFS(SessionLog!$B$2:$B$309,$A6,SessionLog!$E$2:$E$309,"SE_neo4j.Posts.id",SessionLog!$F$2:$F$309,"M")</f>
        <v/>
      </c>
      <c r="CQ6" s="2">
        <f>COUNTIFS(SessionLog!$B$2:$B$309,$A6,SessionLog!$E$2:$E$309,"SE_neo4j.Posts.id",SessionLog!$F$2:$F$309,"P")</f>
        <v/>
      </c>
      <c r="CR6" s="2">
        <f>COUNTIFS(SessionLog!$B$2:$B$309,$A6,SessionLog!$E$2:$E$309,"SE_neo4j.Posts.posttypeid",SessionLog!$F$2:$F$309,"M")</f>
        <v/>
      </c>
      <c r="CS6" s="2">
        <f>COUNTIFS(SessionLog!$B$2:$B$309,$A6,SessionLog!$E$2:$E$309,"SE_neo4j.Posts.posttypeid",SessionLog!$F$2:$F$309,"P")</f>
        <v/>
      </c>
      <c r="CT6" s="2">
        <f>COUNTIFS(SessionLog!$B$2:$B$309,$A6,SessionLog!$E$2:$E$309,"SE_neo4j.Posts.parentid",SessionLog!$F$2:$F$309,"M")</f>
        <v/>
      </c>
      <c r="CU6" s="2">
        <f>COUNTIFS(SessionLog!$B$2:$B$309,$A6,SessionLog!$E$2:$E$309,"SE_neo4j.Posts.parentid",SessionLog!$F$2:$F$309,"P")</f>
        <v/>
      </c>
      <c r="CV6" s="2">
        <f>COUNTIFS(SessionLog!$B$2:$B$309,$A6,SessionLog!$E$2:$E$309,"SE_neo4j.Posts.owneruserid",SessionLog!$F$2:$F$309,"M")</f>
        <v/>
      </c>
      <c r="CW6" s="2">
        <f>COUNTIFS(SessionLog!$B$2:$B$309,$A6,SessionLog!$E$2:$E$309,"SE_neo4j.Posts.owneruserid",SessionLog!$F$2:$F$309,"P")</f>
        <v/>
      </c>
      <c r="CX6" s="2">
        <f>COUNTIFS(SessionLog!$B$2:$B$309,$A6,SessionLog!$E$2:$E$309,"SE_neo4j.Posts.acceptedanswerid",SessionLog!$F$2:$F$309,"M")</f>
        <v/>
      </c>
      <c r="CY6" s="2">
        <f>COUNTIFS(SessionLog!$B$2:$B$309,$A6,SessionLog!$E$2:$E$309,"SE_neo4j.Posts.acceptedanswerid",SessionLog!$F$2:$F$309,"P")</f>
        <v/>
      </c>
      <c r="CZ6" s="2">
        <f>COUNTIFS(SessionLog!$B$2:$B$309,$A6,SessionLog!$E$2:$E$309,"SE_neo4j.Comments.id",SessionLog!$F$2:$F$309,"M")</f>
        <v/>
      </c>
      <c r="DA6" s="2">
        <f>COUNTIFS(SessionLog!$B$2:$B$309,$A6,SessionLog!$E$2:$E$309,"SE_neo4j.Comments.id",SessionLog!$F$2:$F$309,"P")</f>
        <v/>
      </c>
      <c r="DB6" s="2">
        <f>COUNTIFS(SessionLog!$B$2:$B$309,$A6,SessionLog!$E$2:$E$309,"SE_neo4j.Comments.creationdate",SessionLog!$F$2:$F$309,"M")</f>
        <v/>
      </c>
      <c r="DC6" s="2">
        <f>COUNTIFS(SessionLog!$B$2:$B$309,$A6,SessionLog!$E$2:$E$309,"SE_neo4j.Comments.creationdate",SessionLog!$F$2:$F$309,"P")</f>
        <v/>
      </c>
      <c r="DD6" s="2">
        <f>COUNTIFS(SessionLog!$B$2:$B$309,$A6,SessionLog!$E$2:$E$309,"SE_neo4j.Comments.score",SessionLog!$F$2:$F$309,"M")</f>
        <v/>
      </c>
      <c r="DE6" s="2">
        <f>COUNTIFS(SessionLog!$B$2:$B$309,$A6,SessionLog!$E$2:$E$309,"SE_neo4j.Comments.score",SessionLog!$F$2:$F$309,"P")</f>
        <v/>
      </c>
      <c r="DF6" s="2">
        <f>COUNTIFS(SessionLog!$B$2:$B$309,$A6,SessionLog!$E$2:$E$309,"SE_neo4j.Users.id",SessionLog!$F$2:$F$309,"M")</f>
        <v/>
      </c>
      <c r="DG6" s="2">
        <f>COUNTIFS(SessionLog!$B$2:$B$309,$A6,SessionLog!$E$2:$E$309,"SE_neo4j.Users.id",SessionLog!$F$2:$F$309,"P")</f>
        <v/>
      </c>
      <c r="DH6" s="2">
        <f>COUNTIFS(SessionLog!$B$2:$B$309,$A6,SessionLog!$E$2:$E$309,"SE_neo4j.Users.accountid",SessionLog!$F$2:$F$309,"M")</f>
        <v/>
      </c>
      <c r="DI6" s="2">
        <f>COUNTIFS(SessionLog!$B$2:$B$309,$A6,SessionLog!$E$2:$E$309,"SE_neo4j.Users.accountid",SessionLog!$F$2:$F$309,"P")</f>
        <v/>
      </c>
      <c r="DJ6" s="2">
        <f>COUNTIFS(SessionLog!$B$2:$B$309,$A6,SessionLog!$E$2:$E$309,"SE_neo4j.Users.displayname",SessionLog!$F$2:$F$309,"M")</f>
        <v/>
      </c>
      <c r="DK6" s="2">
        <f>COUNTIFS(SessionLog!$B$2:$B$309,$A6,SessionLog!$E$2:$E$309,"SE_neo4j.Users.displayname",SessionLog!$F$2:$F$309,"P")</f>
        <v/>
      </c>
      <c r="DL6" s="2">
        <f>COUNTIFS(SessionLog!$B$2:$B$309,$A6,SessionLog!$E$2:$E$309,"SE_neo4j.Users.creationdate",SessionLog!$F$2:$F$309,"M")</f>
        <v/>
      </c>
      <c r="DM6" s="2">
        <f>COUNTIFS(SessionLog!$B$2:$B$309,$A6,SessionLog!$E$2:$E$309,"SE_neo4j.Users.creationdate",SessionLog!$F$2:$F$309,"P")</f>
        <v/>
      </c>
      <c r="DN6" s="2">
        <f>COUNTIFS(SessionLog!$B$2:$B$309,$A6,SessionLog!$E$2:$E$309,"SE_neo4j.Tags.id",SessionLog!$F$2:$F$309,"M")</f>
        <v/>
      </c>
      <c r="DO6" s="2">
        <f>COUNTIFS(SessionLog!$B$2:$B$309,$A6,SessionLog!$E$2:$E$309,"SE_neo4j.Tags.id",SessionLog!$F$2:$F$309,"P")</f>
        <v/>
      </c>
      <c r="DP6" s="2">
        <f>COUNTIFS(SessionLog!$B$2:$B$309,$A6,SessionLog!$E$2:$E$309,"SE_neo4j.Tags.count",SessionLog!$F$2:$F$309,"M")</f>
        <v/>
      </c>
      <c r="DQ6" s="2">
        <f>COUNTIFS(SessionLog!$B$2:$B$309,$A6,SessionLog!$E$2:$E$309,"SE_neo4j.Tags.count",SessionLog!$F$2:$F$309,"P")</f>
        <v/>
      </c>
      <c r="DR6" s="2">
        <f>COUNTIFS(SessionLog!$B$2:$B$309,$A6,SessionLog!$E$2:$E$309,"SE_neo4j.Tags.wikipostid",SessionLog!$F$2:$F$309,"M")</f>
        <v/>
      </c>
      <c r="DS6" s="2">
        <f>COUNTIFS(SessionLog!$B$2:$B$309,$A6,SessionLog!$E$2:$E$309,"SE_neo4j.Tags.wikipostid",SessionLog!$F$2:$F$309,"P")</f>
        <v/>
      </c>
      <c r="DT6" s="2">
        <f>COUNTIFS(SessionLog!$B$2:$B$309,$A6,SessionLog!$E$2:$E$309,"SE_neo4j.Tags.tagname",SessionLog!$F$2:$F$309,"M")</f>
        <v/>
      </c>
      <c r="DU6" s="2">
        <f>COUNTIFS(SessionLog!$B$2:$B$309,$A6,SessionLog!$E$2:$E$309,"SE_neo4j.Tags.tagname",SessionLog!$F$2:$F$309,"P")</f>
        <v/>
      </c>
      <c r="DV6" s="2">
        <f>COUNTIFS(SessionLog!$B$2:$B$309,$A6,SessionLog!$E$2:$E$309,"SE_neo4j.Tags.excerptpostid",SessionLog!$F$2:$F$309,"M")</f>
        <v/>
      </c>
      <c r="DW6" s="2">
        <f>COUNTIFS(SessionLog!$B$2:$B$309,$A6,SessionLog!$E$2:$E$309,"SE_neo4j.Tags.excerptpostid",SessionLog!$F$2:$F$309,"P")</f>
        <v/>
      </c>
    </row>
    <row r="7">
      <c r="A7" s="2" t="inlineStr">
        <is>
          <t>B3</t>
        </is>
      </c>
      <c r="B7" s="2">
        <f>COUNTIFS(SessionLog!$B$2:$B$309,$A7,SessionLog!$E$2:$E$309,"SE_mysql.postes.Id",SessionLog!$F$2:$F$309,"M")</f>
        <v/>
      </c>
      <c r="C7" s="2">
        <f>COUNTIFS(SessionLog!$B$2:$B$309,$A7,SessionLog!$E$2:$E$309,"SE_mysql.postes.Id",SessionLog!$F$2:$F$309,"P")</f>
        <v/>
      </c>
      <c r="D7" s="2">
        <f>COUNTIFS(SessionLog!$B$2:$B$309,$A7,SessionLog!$E$2:$E$309,"SE_mysql.postes.PostTypeId",SessionLog!$F$2:$F$309,"M")</f>
        <v/>
      </c>
      <c r="E7" s="2">
        <f>COUNTIFS(SessionLog!$B$2:$B$309,$A7,SessionLog!$E$2:$E$309,"SE_mysql.postes.PostTypeId",SessionLog!$F$2:$F$309,"P")</f>
        <v/>
      </c>
      <c r="F7" s="2">
        <f>COUNTIFS(SessionLog!$B$2:$B$309,$A7,SessionLog!$E$2:$E$309,"SE_mysql.postes.Title",SessionLog!$F$2:$F$309,"M")</f>
        <v/>
      </c>
      <c r="G7" s="2">
        <f>COUNTIFS(SessionLog!$B$2:$B$309,$A7,SessionLog!$E$2:$E$309,"SE_mysql.postes.Title",SessionLog!$F$2:$F$309,"P")</f>
        <v/>
      </c>
      <c r="H7" s="2">
        <f>COUNTIFS(SessionLog!$B$2:$B$309,$A7,SessionLog!$E$2:$E$309,"SE_mysql.postes.OwnerUserId",SessionLog!$F$2:$F$309,"M")</f>
        <v/>
      </c>
      <c r="I7" s="2">
        <f>COUNTIFS(SessionLog!$B$2:$B$309,$A7,SessionLog!$E$2:$E$309,"SE_mysql.postes.OwnerUserId",SessionLog!$F$2:$F$309,"P")</f>
        <v/>
      </c>
      <c r="J7" s="2">
        <f>COUNTIFS(SessionLog!$B$2:$B$309,$A7,SessionLog!$E$2:$E$309,"SE_mysql.postes.ViewCount",SessionLog!$F$2:$F$309,"M")</f>
        <v/>
      </c>
      <c r="K7" s="2">
        <f>COUNTIFS(SessionLog!$B$2:$B$309,$A7,SessionLog!$E$2:$E$309,"SE_mysql.postes.ViewCount",SessionLog!$F$2:$F$309,"P")</f>
        <v/>
      </c>
      <c r="L7" s="2">
        <f>COUNTIFS(SessionLog!$B$2:$B$309,$A7,SessionLog!$E$2:$E$309,"SE_mysql.postes.LastEditDate",SessionLog!$F$2:$F$309,"M")</f>
        <v/>
      </c>
      <c r="M7" s="2">
        <f>COUNTIFS(SessionLog!$B$2:$B$309,$A7,SessionLog!$E$2:$E$309,"SE_mysql.postes.LastEditDate",SessionLog!$F$2:$F$309,"P")</f>
        <v/>
      </c>
      <c r="N7" s="2">
        <f>COUNTIFS(SessionLog!$B$2:$B$309,$A7,SessionLog!$E$2:$E$309,"SE_mysql.postes.LastEditorUserId",SessionLog!$F$2:$F$309,"M")</f>
        <v/>
      </c>
      <c r="O7" s="2">
        <f>COUNTIFS(SessionLog!$B$2:$B$309,$A7,SessionLog!$E$2:$E$309,"SE_mysql.postes.LastEditorUserId",SessionLog!$F$2:$F$309,"P")</f>
        <v/>
      </c>
      <c r="P7" s="2">
        <f>COUNTIFS(SessionLog!$B$2:$B$309,$A7,SessionLog!$E$2:$E$309,"SE_mysql.postes.CreationDate",SessionLog!$F$2:$F$309,"M")</f>
        <v/>
      </c>
      <c r="Q7" s="2">
        <f>COUNTIFS(SessionLog!$B$2:$B$309,$A7,SessionLog!$E$2:$E$309,"SE_mysql.postes.CreationDate",SessionLog!$F$2:$F$309,"P")</f>
        <v/>
      </c>
      <c r="R7" s="2">
        <f>COUNTIFS(SessionLog!$B$2:$B$309,$A7,SessionLog!$E$2:$E$309,"SE_mysql.Posttypes.Id",SessionLog!$F$2:$F$309,"M")</f>
        <v/>
      </c>
      <c r="S7" s="2">
        <f>COUNTIFS(SessionLog!$B$2:$B$309,$A7,SessionLog!$E$2:$E$309,"SE_mysql.Posttypes.Id",SessionLog!$F$2:$F$309,"P")</f>
        <v/>
      </c>
      <c r="T7" s="2">
        <f>COUNTIFS(SessionLog!$B$2:$B$309,$A7,SessionLog!$E$2:$E$309,"SE_mysql.Posttypes.Name",SessionLog!$F$2:$F$309,"M")</f>
        <v/>
      </c>
      <c r="U7" s="2">
        <f>COUNTIFS(SessionLog!$B$2:$B$309,$A7,SessionLog!$E$2:$E$309,"SE_mysql.Posttypes.Name",SessionLog!$F$2:$F$309,"P")</f>
        <v/>
      </c>
      <c r="V7" s="2">
        <f>COUNTIFS(SessionLog!$B$2:$B$309,$A7,SessionLog!$E$2:$E$309,"SE_mysql.Users.Id",SessionLog!$F$2:$F$309,"M")</f>
        <v/>
      </c>
      <c r="W7" s="2">
        <f>COUNTIFS(SessionLog!$B$2:$B$309,$A7,SessionLog!$E$2:$E$309,"SE_mysql.Users.Id",SessionLog!$F$2:$F$309,"P")</f>
        <v/>
      </c>
      <c r="X7" s="2">
        <f>COUNTIFS(SessionLog!$B$2:$B$309,$A7,SessionLog!$E$2:$E$309,"SE_mysql.Users.Views",SessionLog!$F$2:$F$309,"M")</f>
        <v/>
      </c>
      <c r="Y7" s="2">
        <f>COUNTIFS(SessionLog!$B$2:$B$309,$A7,SessionLog!$E$2:$E$309,"SE_mysql.Users.Views",SessionLog!$F$2:$F$309,"P")</f>
        <v/>
      </c>
      <c r="Z7" s="2">
        <f>COUNTIFS(SessionLog!$B$2:$B$309,$A7,SessionLog!$E$2:$E$309,"SE_mysql.Users.UpVotes",SessionLog!$F$2:$F$309,"M")</f>
        <v/>
      </c>
      <c r="AA7" s="2">
        <f>COUNTIFS(SessionLog!$B$2:$B$309,$A7,SessionLog!$E$2:$E$309,"SE_mysql.Users.UpVotes",SessionLog!$F$2:$F$309,"P")</f>
        <v/>
      </c>
      <c r="AB7" s="2">
        <f>COUNTIFS(SessionLog!$B$2:$B$309,$A7,SessionLog!$E$2:$E$309,"SE_mysql.Users.DisplayName",SessionLog!$F$2:$F$309,"M")</f>
        <v/>
      </c>
      <c r="AC7" s="2">
        <f>COUNTIFS(SessionLog!$B$2:$B$309,$A7,SessionLog!$E$2:$E$309,"SE_mysql.Users.DisplayName",SessionLog!$F$2:$F$309,"P")</f>
        <v/>
      </c>
      <c r="AD7" s="2">
        <f>COUNTIFS(SessionLog!$B$2:$B$309,$A7,SessionLog!$E$2:$E$309,"SE_mysql.Users.DownVotes",SessionLog!$F$2:$F$309,"M")</f>
        <v/>
      </c>
      <c r="AE7" s="2">
        <f>COUNTIFS(SessionLog!$B$2:$B$309,$A7,SessionLog!$E$2:$E$309,"SE_mysql.Users.DownVotes",SessionLog!$F$2:$F$309,"P")</f>
        <v/>
      </c>
      <c r="AF7" s="2">
        <f>COUNTIFS(SessionLog!$B$2:$B$309,$A7,SessionLog!$E$2:$E$309,"SE_mysql.Users.LastAccessDate",SessionLog!$F$2:$F$309,"M")</f>
        <v/>
      </c>
      <c r="AG7" s="2">
        <f>COUNTIFS(SessionLog!$B$2:$B$309,$A7,SessionLog!$E$2:$E$309,"SE_mysql.Users.LastAccessDate",SessionLog!$F$2:$F$309,"P")</f>
        <v/>
      </c>
      <c r="AH7" s="2">
        <f>COUNTIFS(SessionLog!$B$2:$B$309,$A7,SessionLog!$E$2:$E$309,"SE_mysql.Users.Reputation",SessionLog!$F$2:$F$309,"M")</f>
        <v/>
      </c>
      <c r="AI7" s="2">
        <f>COUNTIFS(SessionLog!$B$2:$B$309,$A7,SessionLog!$E$2:$E$309,"SE_mysql.Users.Reputation",SessionLog!$F$2:$F$309,"P")</f>
        <v/>
      </c>
      <c r="AJ7" s="2">
        <f>COUNTIFS(SessionLog!$B$2:$B$309,$A7,SessionLog!$E$2:$E$309,"SE_mysql.Flagtypes.Id",SessionLog!$F$2:$F$309,"M")</f>
        <v/>
      </c>
      <c r="AK7" s="2">
        <f>COUNTIFS(SessionLog!$B$2:$B$309,$A7,SessionLog!$E$2:$E$309,"SE_mysql.Flagtypes.Id",SessionLog!$F$2:$F$309,"P")</f>
        <v/>
      </c>
      <c r="AL7" s="2">
        <f>COUNTIFS(SessionLog!$B$2:$B$309,$A7,SessionLog!$E$2:$E$309,"SE_mysql.Flagtypes.Name",SessionLog!$F$2:$F$309,"M")</f>
        <v/>
      </c>
      <c r="AM7" s="2">
        <f>COUNTIFS(SessionLog!$B$2:$B$309,$A7,SessionLog!$E$2:$E$309,"SE_mysql.Flagtypes.Name",SessionLog!$F$2:$F$309,"P")</f>
        <v/>
      </c>
      <c r="AN7" s="2">
        <f>COUNTIFS(SessionLog!$B$2:$B$309,$A7,SessionLog!$E$2:$E$309,"SE_mysql.Votes.Id",SessionLog!$F$2:$F$309,"M")</f>
        <v/>
      </c>
      <c r="AO7" s="2">
        <f>COUNTIFS(SessionLog!$B$2:$B$309,$A7,SessionLog!$E$2:$E$309,"SE_mysql.Votes.Id",SessionLog!$F$2:$F$309,"P")</f>
        <v/>
      </c>
      <c r="AP7" s="2">
        <f>COUNTIFS(SessionLog!$B$2:$B$309,$A7,SessionLog!$E$2:$E$309,"SE_mysql.Votes.UserId",SessionLog!$F$2:$F$309,"M")</f>
        <v/>
      </c>
      <c r="AQ7" s="2">
        <f>COUNTIFS(SessionLog!$B$2:$B$309,$A7,SessionLog!$E$2:$E$309,"SE_mysql.Votes.UserId",SessionLog!$F$2:$F$309,"P")</f>
        <v/>
      </c>
      <c r="AR7" s="2">
        <f>COUNTIFS(SessionLog!$B$2:$B$309,$A7,SessionLog!$E$2:$E$309,"SE_mysql.Votes.BountyAmount",SessionLog!$F$2:$F$309,"M")</f>
        <v/>
      </c>
      <c r="AS7" s="2">
        <f>COUNTIFS(SessionLog!$B$2:$B$309,$A7,SessionLog!$E$2:$E$309,"SE_mysql.Votes.BountyAmount",SessionLog!$F$2:$F$309,"P")</f>
        <v/>
      </c>
      <c r="AT7" s="2">
        <f>COUNTIFS(SessionLog!$B$2:$B$309,$A7,SessionLog!$E$2:$E$309,"SE_mysql.Votes.CreationDate",SessionLog!$F$2:$F$309,"M")</f>
        <v/>
      </c>
      <c r="AU7" s="2">
        <f>COUNTIFS(SessionLog!$B$2:$B$309,$A7,SessionLog!$E$2:$E$309,"SE_mysql.Votes.CreationDate",SessionLog!$F$2:$F$309,"P")</f>
        <v/>
      </c>
      <c r="AV7" s="2">
        <f>COUNTIFS(SessionLog!$B$2:$B$309,$A7,SessionLog!$E$2:$E$309,"SE_mysql.Votes.PostId",SessionLog!$F$2:$F$309,"M")</f>
        <v/>
      </c>
      <c r="AW7" s="2">
        <f>COUNTIFS(SessionLog!$B$2:$B$309,$A7,SessionLog!$E$2:$E$309,"SE_mysql.Votes.PostId",SessionLog!$F$2:$F$309,"P")</f>
        <v/>
      </c>
      <c r="AX7" s="2">
        <f>COUNTIFS(SessionLog!$B$2:$B$309,$A7,SessionLog!$E$2:$E$309,"SE_mysql.Votes.VoteTypeId",SessionLog!$F$2:$F$309,"M")</f>
        <v/>
      </c>
      <c r="AY7" s="2">
        <f>COUNTIFS(SessionLog!$B$2:$B$309,$A7,SessionLog!$E$2:$E$309,"SE_mysql.Votes.VoteTypeId",SessionLog!$F$2:$F$309,"P")</f>
        <v/>
      </c>
      <c r="AZ7" s="2">
        <f>COUNTIFS(SessionLog!$B$2:$B$309,$A7,SessionLog!$E$2:$E$309,"SE_mysql.Votetypes.Id",SessionLog!$F$2:$F$309,"M")</f>
        <v/>
      </c>
      <c r="BA7" s="2">
        <f>COUNTIFS(SessionLog!$B$2:$B$309,$A7,SessionLog!$E$2:$E$309,"SE_mysql.Votetypes.Id",SessionLog!$F$2:$F$309,"P")</f>
        <v/>
      </c>
      <c r="BB7" s="2">
        <f>COUNTIFS(SessionLog!$B$2:$B$309,$A7,SessionLog!$E$2:$E$309,"SE_mysql.Votetypes.Name",SessionLog!$F$2:$F$309,"M")</f>
        <v/>
      </c>
      <c r="BC7" s="2">
        <f>COUNTIFS(SessionLog!$B$2:$B$309,$A7,SessionLog!$E$2:$E$309,"SE_mysql.Votetypes.Name",SessionLog!$F$2:$F$309,"P")</f>
        <v/>
      </c>
      <c r="BD7" s="2">
        <f>COUNTIFS(SessionLog!$B$2:$B$309,$A7,SessionLog!$E$2:$E$309,"SE_mongodb.Badges.Id",SessionLog!$F$2:$F$309,"M")</f>
        <v/>
      </c>
      <c r="BE7" s="2">
        <f>COUNTIFS(SessionLog!$B$2:$B$309,$A7,SessionLog!$E$2:$E$309,"SE_mongodb.Badges.Id",SessionLog!$F$2:$F$309,"P")</f>
        <v/>
      </c>
      <c r="BF7" s="2">
        <f>COUNTIFS(SessionLog!$B$2:$B$309,$A7,SessionLog!$E$2:$E$309,"SE_mongodb.Badges.UserId",SessionLog!$F$2:$F$309,"M")</f>
        <v/>
      </c>
      <c r="BG7" s="2">
        <f>COUNTIFS(SessionLog!$B$2:$B$309,$A7,SessionLog!$E$2:$E$309,"SE_mongodb.Badges.UserId",SessionLog!$F$2:$F$309,"P")</f>
        <v/>
      </c>
      <c r="BH7" s="2">
        <f>COUNTIFS(SessionLog!$B$2:$B$309,$A7,SessionLog!$E$2:$E$309,"SE_mongodb.Badges.Name",SessionLog!$F$2:$F$309,"M")</f>
        <v/>
      </c>
      <c r="BI7" s="2">
        <f>COUNTIFS(SessionLog!$B$2:$B$309,$A7,SessionLog!$E$2:$E$309,"SE_mongodb.Badges.Name",SessionLog!$F$2:$F$309,"P")</f>
        <v/>
      </c>
      <c r="BJ7" s="2">
        <f>COUNTIFS(SessionLog!$B$2:$B$309,$A7,SessionLog!$E$2:$E$309,"SE_mongodb.Badges.Date",SessionLog!$F$2:$F$309,"M")</f>
        <v/>
      </c>
      <c r="BK7" s="2">
        <f>COUNTIFS(SessionLog!$B$2:$B$309,$A7,SessionLog!$E$2:$E$309,"SE_mongodb.Badges.Date",SessionLog!$F$2:$F$309,"P")</f>
        <v/>
      </c>
      <c r="BL7" s="2">
        <f>COUNTIFS(SessionLog!$B$2:$B$309,$A7,SessionLog!$E$2:$E$309,"SE_mongodb.Posts.Id",SessionLog!$F$2:$F$309,"M")</f>
        <v/>
      </c>
      <c r="BM7" s="2">
        <f>COUNTIFS(SessionLog!$B$2:$B$309,$A7,SessionLog!$E$2:$E$309,"SE_mongodb.Posts.Id",SessionLog!$F$2:$F$309,"P")</f>
        <v/>
      </c>
      <c r="BN7" s="2">
        <f>COUNTIFS(SessionLog!$B$2:$B$309,$A7,SessionLog!$E$2:$E$309,"SE_mongodb.Posts.Tags",SessionLog!$F$2:$F$309,"M")</f>
        <v/>
      </c>
      <c r="BO7" s="2">
        <f>COUNTIFS(SessionLog!$B$2:$B$309,$A7,SessionLog!$E$2:$E$309,"SE_mongodb.Posts.Tags",SessionLog!$F$2:$F$309,"P")</f>
        <v/>
      </c>
      <c r="BP7" s="2">
        <f>COUNTIFS(SessionLog!$B$2:$B$309,$A7,SessionLog!$E$2:$E$309,"SE_mongodb.Posts.Body",SessionLog!$F$2:$F$309,"M")</f>
        <v/>
      </c>
      <c r="BQ7" s="2">
        <f>COUNTIFS(SessionLog!$B$2:$B$309,$A7,SessionLog!$E$2:$E$309,"SE_mongodb.Posts.Body",SessionLog!$F$2:$F$309,"P")</f>
        <v/>
      </c>
      <c r="BR7" s="2">
        <f>COUNTIFS(SessionLog!$B$2:$B$309,$A7,SessionLog!$E$2:$E$309,"SE_mongodb.Users.Id",SessionLog!$F$2:$F$309,"M")</f>
        <v/>
      </c>
      <c r="BS7" s="2">
        <f>COUNTIFS(SessionLog!$B$2:$B$309,$A7,SessionLog!$E$2:$E$309,"SE_mongodb.Users.Id",SessionLog!$F$2:$F$309,"P")</f>
        <v/>
      </c>
      <c r="BT7" s="2">
        <f>COUNTIFS(SessionLog!$B$2:$B$309,$A7,SessionLog!$E$2:$E$309,"SE_mongodb.Users.DisplayName",SessionLog!$F$2:$F$309,"M")</f>
        <v/>
      </c>
      <c r="BU7" s="2">
        <f>COUNTIFS(SessionLog!$B$2:$B$309,$A7,SessionLog!$E$2:$E$309,"SE_mongodb.Users.DisplayName",SessionLog!$F$2:$F$309,"P")</f>
        <v/>
      </c>
      <c r="BV7" s="2">
        <f>COUNTIFS(SessionLog!$B$2:$B$309,$A7,SessionLog!$E$2:$E$309,"SE_mongodb.Users.AboutMe",SessionLog!$F$2:$F$309,"M")</f>
        <v/>
      </c>
      <c r="BW7" s="2">
        <f>COUNTIFS(SessionLog!$B$2:$B$309,$A7,SessionLog!$E$2:$E$309,"SE_mongodb.Users.AboutMe",SessionLog!$F$2:$F$309,"P")</f>
        <v/>
      </c>
      <c r="BX7" s="2">
        <f>COUNTIFS(SessionLog!$B$2:$B$309,$A7,SessionLog!$E$2:$E$309,"SE_mongodb.Comments.Id",SessionLog!$F$2:$F$309,"M")</f>
        <v/>
      </c>
      <c r="BY7" s="2">
        <f>COUNTIFS(SessionLog!$B$2:$B$309,$A7,SessionLog!$E$2:$E$309,"SE_mongodb.Comments.Id",SessionLog!$F$2:$F$309,"P")</f>
        <v/>
      </c>
      <c r="BZ7" s="2">
        <f>COUNTIFS(SessionLog!$B$2:$B$309,$A7,SessionLog!$E$2:$E$309,"SE_mongodb.Comments.UserId",SessionLog!$F$2:$F$309,"M")</f>
        <v/>
      </c>
      <c r="CA7" s="2">
        <f>COUNTIFS(SessionLog!$B$2:$B$309,$A7,SessionLog!$E$2:$E$309,"SE_mongodb.Comments.UserId",SessionLog!$F$2:$F$309,"P")</f>
        <v/>
      </c>
      <c r="CB7" s="2">
        <f>COUNTIFS(SessionLog!$B$2:$B$309,$A7,SessionLog!$E$2:$E$309,"SE_mongodb.Comments.Text",SessionLog!$F$2:$F$309,"M")</f>
        <v/>
      </c>
      <c r="CC7" s="2">
        <f>COUNTIFS(SessionLog!$B$2:$B$309,$A7,SessionLog!$E$2:$E$309,"SE_mongodb.Comments.Text",SessionLog!$F$2:$F$309,"P")</f>
        <v/>
      </c>
      <c r="CD7" s="2">
        <f>COUNTIFS(SessionLog!$B$2:$B$309,$A7,SessionLog!$E$2:$E$309,"SE_mongodb.Comments.PostId",SessionLog!$F$2:$F$309,"M")</f>
        <v/>
      </c>
      <c r="CE7" s="2">
        <f>COUNTIFS(SessionLog!$B$2:$B$309,$A7,SessionLog!$E$2:$E$309,"SE_mongodb.Comments.PostId",SessionLog!$F$2:$F$309,"P")</f>
        <v/>
      </c>
      <c r="CF7" s="2">
        <f>COUNTIFS(SessionLog!$B$2:$B$309,$A7,SessionLog!$E$2:$E$309,"SE_neo4j.postlinks.id",SessionLog!$F$2:$F$309,"M")</f>
        <v/>
      </c>
      <c r="CG7" s="2">
        <f>COUNTIFS(SessionLog!$B$2:$B$309,$A7,SessionLog!$E$2:$E$309,"SE_neo4j.postlinks.id",SessionLog!$F$2:$F$309,"P")</f>
        <v/>
      </c>
      <c r="CH7" s="2">
        <f>COUNTIFS(SessionLog!$B$2:$B$309,$A7,SessionLog!$E$2:$E$309,"SE_neo4j.postlinks.LinkTypeId",SessionLog!$F$2:$F$309,"M")</f>
        <v/>
      </c>
      <c r="CI7" s="2">
        <f>COUNTIFS(SessionLog!$B$2:$B$309,$A7,SessionLog!$E$2:$E$309,"SE_neo4j.postlinks.LinkTypeId",SessionLog!$F$2:$F$309,"P")</f>
        <v/>
      </c>
      <c r="CJ7" s="2">
        <f>COUNTIFS(SessionLog!$B$2:$B$309,$A7,SessionLog!$E$2:$E$309,"SE_neo4j.postlinks.RelatedPostId",SessionLog!$F$2:$F$309,"M")</f>
        <v/>
      </c>
      <c r="CK7" s="2">
        <f>COUNTIFS(SessionLog!$B$2:$B$309,$A7,SessionLog!$E$2:$E$309,"SE_neo4j.postlinks.RelatedPostId",SessionLog!$F$2:$F$309,"P")</f>
        <v/>
      </c>
      <c r="CL7" s="2">
        <f>COUNTIFS(SessionLog!$B$2:$B$309,$A7,SessionLog!$E$2:$E$309,"SE_neo4j.postlinks.PostIdd",SessionLog!$F$2:$F$309,"M")</f>
        <v/>
      </c>
      <c r="CM7" s="2">
        <f>COUNTIFS(SessionLog!$B$2:$B$309,$A7,SessionLog!$E$2:$E$309,"SE_neo4j.postlinks.PostIdd",SessionLog!$F$2:$F$309,"P")</f>
        <v/>
      </c>
      <c r="CN7" s="2">
        <f>COUNTIFS(SessionLog!$B$2:$B$309,$A7,SessionLog!$E$2:$E$309,"SE_neo4j.postlinks.CreationDate",SessionLog!$F$2:$F$309,"M")</f>
        <v/>
      </c>
      <c r="CO7" s="2">
        <f>COUNTIFS(SessionLog!$B$2:$B$309,$A7,SessionLog!$E$2:$E$309,"SE_neo4j.postlinks.CreationDate",SessionLog!$F$2:$F$309,"P")</f>
        <v/>
      </c>
      <c r="CP7" s="2">
        <f>COUNTIFS(SessionLog!$B$2:$B$309,$A7,SessionLog!$E$2:$E$309,"SE_neo4j.Posts.id",SessionLog!$F$2:$F$309,"M")</f>
        <v/>
      </c>
      <c r="CQ7" s="2">
        <f>COUNTIFS(SessionLog!$B$2:$B$309,$A7,SessionLog!$E$2:$E$309,"SE_neo4j.Posts.id",SessionLog!$F$2:$F$309,"P")</f>
        <v/>
      </c>
      <c r="CR7" s="2">
        <f>COUNTIFS(SessionLog!$B$2:$B$309,$A7,SessionLog!$E$2:$E$309,"SE_neo4j.Posts.posttypeid",SessionLog!$F$2:$F$309,"M")</f>
        <v/>
      </c>
      <c r="CS7" s="2">
        <f>COUNTIFS(SessionLog!$B$2:$B$309,$A7,SessionLog!$E$2:$E$309,"SE_neo4j.Posts.posttypeid",SessionLog!$F$2:$F$309,"P")</f>
        <v/>
      </c>
      <c r="CT7" s="2">
        <f>COUNTIFS(SessionLog!$B$2:$B$309,$A7,SessionLog!$E$2:$E$309,"SE_neo4j.Posts.parentid",SessionLog!$F$2:$F$309,"M")</f>
        <v/>
      </c>
      <c r="CU7" s="2">
        <f>COUNTIFS(SessionLog!$B$2:$B$309,$A7,SessionLog!$E$2:$E$309,"SE_neo4j.Posts.parentid",SessionLog!$F$2:$F$309,"P")</f>
        <v/>
      </c>
      <c r="CV7" s="2">
        <f>COUNTIFS(SessionLog!$B$2:$B$309,$A7,SessionLog!$E$2:$E$309,"SE_neo4j.Posts.owneruserid",SessionLog!$F$2:$F$309,"M")</f>
        <v/>
      </c>
      <c r="CW7" s="2">
        <f>COUNTIFS(SessionLog!$B$2:$B$309,$A7,SessionLog!$E$2:$E$309,"SE_neo4j.Posts.owneruserid",SessionLog!$F$2:$F$309,"P")</f>
        <v/>
      </c>
      <c r="CX7" s="2">
        <f>COUNTIFS(SessionLog!$B$2:$B$309,$A7,SessionLog!$E$2:$E$309,"SE_neo4j.Posts.acceptedanswerid",SessionLog!$F$2:$F$309,"M")</f>
        <v/>
      </c>
      <c r="CY7" s="2">
        <f>COUNTIFS(SessionLog!$B$2:$B$309,$A7,SessionLog!$E$2:$E$309,"SE_neo4j.Posts.acceptedanswerid",SessionLog!$F$2:$F$309,"P")</f>
        <v/>
      </c>
      <c r="CZ7" s="2">
        <f>COUNTIFS(SessionLog!$B$2:$B$309,$A7,SessionLog!$E$2:$E$309,"SE_neo4j.Comments.id",SessionLog!$F$2:$F$309,"M")</f>
        <v/>
      </c>
      <c r="DA7" s="2">
        <f>COUNTIFS(SessionLog!$B$2:$B$309,$A7,SessionLog!$E$2:$E$309,"SE_neo4j.Comments.id",SessionLog!$F$2:$F$309,"P")</f>
        <v/>
      </c>
      <c r="DB7" s="2">
        <f>COUNTIFS(SessionLog!$B$2:$B$309,$A7,SessionLog!$E$2:$E$309,"SE_neo4j.Comments.creationdate",SessionLog!$F$2:$F$309,"M")</f>
        <v/>
      </c>
      <c r="DC7" s="2">
        <f>COUNTIFS(SessionLog!$B$2:$B$309,$A7,SessionLog!$E$2:$E$309,"SE_neo4j.Comments.creationdate",SessionLog!$F$2:$F$309,"P")</f>
        <v/>
      </c>
      <c r="DD7" s="2">
        <f>COUNTIFS(SessionLog!$B$2:$B$309,$A7,SessionLog!$E$2:$E$309,"SE_neo4j.Comments.score",SessionLog!$F$2:$F$309,"M")</f>
        <v/>
      </c>
      <c r="DE7" s="2">
        <f>COUNTIFS(SessionLog!$B$2:$B$309,$A7,SessionLog!$E$2:$E$309,"SE_neo4j.Comments.score",SessionLog!$F$2:$F$309,"P")</f>
        <v/>
      </c>
      <c r="DF7" s="2">
        <f>COUNTIFS(SessionLog!$B$2:$B$309,$A7,SessionLog!$E$2:$E$309,"SE_neo4j.Users.id",SessionLog!$F$2:$F$309,"M")</f>
        <v/>
      </c>
      <c r="DG7" s="2">
        <f>COUNTIFS(SessionLog!$B$2:$B$309,$A7,SessionLog!$E$2:$E$309,"SE_neo4j.Users.id",SessionLog!$F$2:$F$309,"P")</f>
        <v/>
      </c>
      <c r="DH7" s="2">
        <f>COUNTIFS(SessionLog!$B$2:$B$309,$A7,SessionLog!$E$2:$E$309,"SE_neo4j.Users.accountid",SessionLog!$F$2:$F$309,"M")</f>
        <v/>
      </c>
      <c r="DI7" s="2">
        <f>COUNTIFS(SessionLog!$B$2:$B$309,$A7,SessionLog!$E$2:$E$309,"SE_neo4j.Users.accountid",SessionLog!$F$2:$F$309,"P")</f>
        <v/>
      </c>
      <c r="DJ7" s="2">
        <f>COUNTIFS(SessionLog!$B$2:$B$309,$A7,SessionLog!$E$2:$E$309,"SE_neo4j.Users.displayname",SessionLog!$F$2:$F$309,"M")</f>
        <v/>
      </c>
      <c r="DK7" s="2">
        <f>COUNTIFS(SessionLog!$B$2:$B$309,$A7,SessionLog!$E$2:$E$309,"SE_neo4j.Users.displayname",SessionLog!$F$2:$F$309,"P")</f>
        <v/>
      </c>
      <c r="DL7" s="2">
        <f>COUNTIFS(SessionLog!$B$2:$B$309,$A7,SessionLog!$E$2:$E$309,"SE_neo4j.Users.creationdate",SessionLog!$F$2:$F$309,"M")</f>
        <v/>
      </c>
      <c r="DM7" s="2">
        <f>COUNTIFS(SessionLog!$B$2:$B$309,$A7,SessionLog!$E$2:$E$309,"SE_neo4j.Users.creationdate",SessionLog!$F$2:$F$309,"P")</f>
        <v/>
      </c>
      <c r="DN7" s="2">
        <f>COUNTIFS(SessionLog!$B$2:$B$309,$A7,SessionLog!$E$2:$E$309,"SE_neo4j.Tags.id",SessionLog!$F$2:$F$309,"M")</f>
        <v/>
      </c>
      <c r="DO7" s="2">
        <f>COUNTIFS(SessionLog!$B$2:$B$309,$A7,SessionLog!$E$2:$E$309,"SE_neo4j.Tags.id",SessionLog!$F$2:$F$309,"P")</f>
        <v/>
      </c>
      <c r="DP7" s="2">
        <f>COUNTIFS(SessionLog!$B$2:$B$309,$A7,SessionLog!$E$2:$E$309,"SE_neo4j.Tags.count",SessionLog!$F$2:$F$309,"M")</f>
        <v/>
      </c>
      <c r="DQ7" s="2">
        <f>COUNTIFS(SessionLog!$B$2:$B$309,$A7,SessionLog!$E$2:$E$309,"SE_neo4j.Tags.count",SessionLog!$F$2:$F$309,"P")</f>
        <v/>
      </c>
      <c r="DR7" s="2">
        <f>COUNTIFS(SessionLog!$B$2:$B$309,$A7,SessionLog!$E$2:$E$309,"SE_neo4j.Tags.wikipostid",SessionLog!$F$2:$F$309,"M")</f>
        <v/>
      </c>
      <c r="DS7" s="2">
        <f>COUNTIFS(SessionLog!$B$2:$B$309,$A7,SessionLog!$E$2:$E$309,"SE_neo4j.Tags.wikipostid",SessionLog!$F$2:$F$309,"P")</f>
        <v/>
      </c>
      <c r="DT7" s="2">
        <f>COUNTIFS(SessionLog!$B$2:$B$309,$A7,SessionLog!$E$2:$E$309,"SE_neo4j.Tags.tagname",SessionLog!$F$2:$F$309,"M")</f>
        <v/>
      </c>
      <c r="DU7" s="2">
        <f>COUNTIFS(SessionLog!$B$2:$B$309,$A7,SessionLog!$E$2:$E$309,"SE_neo4j.Tags.tagname",SessionLog!$F$2:$F$309,"P")</f>
        <v/>
      </c>
      <c r="DV7" s="2">
        <f>COUNTIFS(SessionLog!$B$2:$B$309,$A7,SessionLog!$E$2:$E$309,"SE_neo4j.Tags.excerptpostid",SessionLog!$F$2:$F$309,"M")</f>
        <v/>
      </c>
      <c r="DW7" s="2">
        <f>COUNTIFS(SessionLog!$B$2:$B$309,$A7,SessionLog!$E$2:$E$309,"SE_neo4j.Tags.excerptpostid",SessionLog!$F$2:$F$309,"P")</f>
        <v/>
      </c>
    </row>
    <row r="8">
      <c r="A8" s="2" t="inlineStr">
        <is>
          <t>C1</t>
        </is>
      </c>
      <c r="B8" s="2">
        <f>COUNTIFS(SessionLog!$B$2:$B$309,$A8,SessionLog!$E$2:$E$309,"SE_mysql.postes.Id",SessionLog!$F$2:$F$309,"M")</f>
        <v/>
      </c>
      <c r="C8" s="2">
        <f>COUNTIFS(SessionLog!$B$2:$B$309,$A8,SessionLog!$E$2:$E$309,"SE_mysql.postes.Id",SessionLog!$F$2:$F$309,"P")</f>
        <v/>
      </c>
      <c r="D8" s="2">
        <f>COUNTIFS(SessionLog!$B$2:$B$309,$A8,SessionLog!$E$2:$E$309,"SE_mysql.postes.PostTypeId",SessionLog!$F$2:$F$309,"M")</f>
        <v/>
      </c>
      <c r="E8" s="2">
        <f>COUNTIFS(SessionLog!$B$2:$B$309,$A8,SessionLog!$E$2:$E$309,"SE_mysql.postes.PostTypeId",SessionLog!$F$2:$F$309,"P")</f>
        <v/>
      </c>
      <c r="F8" s="2">
        <f>COUNTIFS(SessionLog!$B$2:$B$309,$A8,SessionLog!$E$2:$E$309,"SE_mysql.postes.Title",SessionLog!$F$2:$F$309,"M")</f>
        <v/>
      </c>
      <c r="G8" s="2">
        <f>COUNTIFS(SessionLog!$B$2:$B$309,$A8,SessionLog!$E$2:$E$309,"SE_mysql.postes.Title",SessionLog!$F$2:$F$309,"P")</f>
        <v/>
      </c>
      <c r="H8" s="2">
        <f>COUNTIFS(SessionLog!$B$2:$B$309,$A8,SessionLog!$E$2:$E$309,"SE_mysql.postes.OwnerUserId",SessionLog!$F$2:$F$309,"M")</f>
        <v/>
      </c>
      <c r="I8" s="2">
        <f>COUNTIFS(SessionLog!$B$2:$B$309,$A8,SessionLog!$E$2:$E$309,"SE_mysql.postes.OwnerUserId",SessionLog!$F$2:$F$309,"P")</f>
        <v/>
      </c>
      <c r="J8" s="2">
        <f>COUNTIFS(SessionLog!$B$2:$B$309,$A8,SessionLog!$E$2:$E$309,"SE_mysql.postes.ViewCount",SessionLog!$F$2:$F$309,"M")</f>
        <v/>
      </c>
      <c r="K8" s="2">
        <f>COUNTIFS(SessionLog!$B$2:$B$309,$A8,SessionLog!$E$2:$E$309,"SE_mysql.postes.ViewCount",SessionLog!$F$2:$F$309,"P")</f>
        <v/>
      </c>
      <c r="L8" s="2">
        <f>COUNTIFS(SessionLog!$B$2:$B$309,$A8,SessionLog!$E$2:$E$309,"SE_mysql.postes.LastEditDate",SessionLog!$F$2:$F$309,"M")</f>
        <v/>
      </c>
      <c r="M8" s="2">
        <f>COUNTIFS(SessionLog!$B$2:$B$309,$A8,SessionLog!$E$2:$E$309,"SE_mysql.postes.LastEditDate",SessionLog!$F$2:$F$309,"P")</f>
        <v/>
      </c>
      <c r="N8" s="2">
        <f>COUNTIFS(SessionLog!$B$2:$B$309,$A8,SessionLog!$E$2:$E$309,"SE_mysql.postes.LastEditorUserId",SessionLog!$F$2:$F$309,"M")</f>
        <v/>
      </c>
      <c r="O8" s="2">
        <f>COUNTIFS(SessionLog!$B$2:$B$309,$A8,SessionLog!$E$2:$E$309,"SE_mysql.postes.LastEditorUserId",SessionLog!$F$2:$F$309,"P")</f>
        <v/>
      </c>
      <c r="P8" s="2">
        <f>COUNTIFS(SessionLog!$B$2:$B$309,$A8,SessionLog!$E$2:$E$309,"SE_mysql.postes.CreationDate",SessionLog!$F$2:$F$309,"M")</f>
        <v/>
      </c>
      <c r="Q8" s="2">
        <f>COUNTIFS(SessionLog!$B$2:$B$309,$A8,SessionLog!$E$2:$E$309,"SE_mysql.postes.CreationDate",SessionLog!$F$2:$F$309,"P")</f>
        <v/>
      </c>
      <c r="R8" s="2">
        <f>COUNTIFS(SessionLog!$B$2:$B$309,$A8,SessionLog!$E$2:$E$309,"SE_mysql.Posttypes.Id",SessionLog!$F$2:$F$309,"M")</f>
        <v/>
      </c>
      <c r="S8" s="2">
        <f>COUNTIFS(SessionLog!$B$2:$B$309,$A8,SessionLog!$E$2:$E$309,"SE_mysql.Posttypes.Id",SessionLog!$F$2:$F$309,"P")</f>
        <v/>
      </c>
      <c r="T8" s="2">
        <f>COUNTIFS(SessionLog!$B$2:$B$309,$A8,SessionLog!$E$2:$E$309,"SE_mysql.Posttypes.Name",SessionLog!$F$2:$F$309,"M")</f>
        <v/>
      </c>
      <c r="U8" s="2">
        <f>COUNTIFS(SessionLog!$B$2:$B$309,$A8,SessionLog!$E$2:$E$309,"SE_mysql.Posttypes.Name",SessionLog!$F$2:$F$309,"P")</f>
        <v/>
      </c>
      <c r="V8" s="2">
        <f>COUNTIFS(SessionLog!$B$2:$B$309,$A8,SessionLog!$E$2:$E$309,"SE_mysql.Users.Id",SessionLog!$F$2:$F$309,"M")</f>
        <v/>
      </c>
      <c r="W8" s="2">
        <f>COUNTIFS(SessionLog!$B$2:$B$309,$A8,SessionLog!$E$2:$E$309,"SE_mysql.Users.Id",SessionLog!$F$2:$F$309,"P")</f>
        <v/>
      </c>
      <c r="X8" s="2">
        <f>COUNTIFS(SessionLog!$B$2:$B$309,$A8,SessionLog!$E$2:$E$309,"SE_mysql.Users.Views",SessionLog!$F$2:$F$309,"M")</f>
        <v/>
      </c>
      <c r="Y8" s="2">
        <f>COUNTIFS(SessionLog!$B$2:$B$309,$A8,SessionLog!$E$2:$E$309,"SE_mysql.Users.Views",SessionLog!$F$2:$F$309,"P")</f>
        <v/>
      </c>
      <c r="Z8" s="2">
        <f>COUNTIFS(SessionLog!$B$2:$B$309,$A8,SessionLog!$E$2:$E$309,"SE_mysql.Users.UpVotes",SessionLog!$F$2:$F$309,"M")</f>
        <v/>
      </c>
      <c r="AA8" s="2">
        <f>COUNTIFS(SessionLog!$B$2:$B$309,$A8,SessionLog!$E$2:$E$309,"SE_mysql.Users.UpVotes",SessionLog!$F$2:$F$309,"P")</f>
        <v/>
      </c>
      <c r="AB8" s="2">
        <f>COUNTIFS(SessionLog!$B$2:$B$309,$A8,SessionLog!$E$2:$E$309,"SE_mysql.Users.DisplayName",SessionLog!$F$2:$F$309,"M")</f>
        <v/>
      </c>
      <c r="AC8" s="2">
        <f>COUNTIFS(SessionLog!$B$2:$B$309,$A8,SessionLog!$E$2:$E$309,"SE_mysql.Users.DisplayName",SessionLog!$F$2:$F$309,"P")</f>
        <v/>
      </c>
      <c r="AD8" s="2">
        <f>COUNTIFS(SessionLog!$B$2:$B$309,$A8,SessionLog!$E$2:$E$309,"SE_mysql.Users.DownVotes",SessionLog!$F$2:$F$309,"M")</f>
        <v/>
      </c>
      <c r="AE8" s="2">
        <f>COUNTIFS(SessionLog!$B$2:$B$309,$A8,SessionLog!$E$2:$E$309,"SE_mysql.Users.DownVotes",SessionLog!$F$2:$F$309,"P")</f>
        <v/>
      </c>
      <c r="AF8" s="2">
        <f>COUNTIFS(SessionLog!$B$2:$B$309,$A8,SessionLog!$E$2:$E$309,"SE_mysql.Users.LastAccessDate",SessionLog!$F$2:$F$309,"M")</f>
        <v/>
      </c>
      <c r="AG8" s="2">
        <f>COUNTIFS(SessionLog!$B$2:$B$309,$A8,SessionLog!$E$2:$E$309,"SE_mysql.Users.LastAccessDate",SessionLog!$F$2:$F$309,"P")</f>
        <v/>
      </c>
      <c r="AH8" s="2">
        <f>COUNTIFS(SessionLog!$B$2:$B$309,$A8,SessionLog!$E$2:$E$309,"SE_mysql.Users.Reputation",SessionLog!$F$2:$F$309,"M")</f>
        <v/>
      </c>
      <c r="AI8" s="2">
        <f>COUNTIFS(SessionLog!$B$2:$B$309,$A8,SessionLog!$E$2:$E$309,"SE_mysql.Users.Reputation",SessionLog!$F$2:$F$309,"P")</f>
        <v/>
      </c>
      <c r="AJ8" s="2">
        <f>COUNTIFS(SessionLog!$B$2:$B$309,$A8,SessionLog!$E$2:$E$309,"SE_mysql.Flagtypes.Id",SessionLog!$F$2:$F$309,"M")</f>
        <v/>
      </c>
      <c r="AK8" s="2">
        <f>COUNTIFS(SessionLog!$B$2:$B$309,$A8,SessionLog!$E$2:$E$309,"SE_mysql.Flagtypes.Id",SessionLog!$F$2:$F$309,"P")</f>
        <v/>
      </c>
      <c r="AL8" s="2">
        <f>COUNTIFS(SessionLog!$B$2:$B$309,$A8,SessionLog!$E$2:$E$309,"SE_mysql.Flagtypes.Name",SessionLog!$F$2:$F$309,"M")</f>
        <v/>
      </c>
      <c r="AM8" s="2">
        <f>COUNTIFS(SessionLog!$B$2:$B$309,$A8,SessionLog!$E$2:$E$309,"SE_mysql.Flagtypes.Name",SessionLog!$F$2:$F$309,"P")</f>
        <v/>
      </c>
      <c r="AN8" s="2">
        <f>COUNTIFS(SessionLog!$B$2:$B$309,$A8,SessionLog!$E$2:$E$309,"SE_mysql.Votes.Id",SessionLog!$F$2:$F$309,"M")</f>
        <v/>
      </c>
      <c r="AO8" s="2">
        <f>COUNTIFS(SessionLog!$B$2:$B$309,$A8,SessionLog!$E$2:$E$309,"SE_mysql.Votes.Id",SessionLog!$F$2:$F$309,"P")</f>
        <v/>
      </c>
      <c r="AP8" s="2">
        <f>COUNTIFS(SessionLog!$B$2:$B$309,$A8,SessionLog!$E$2:$E$309,"SE_mysql.Votes.UserId",SessionLog!$F$2:$F$309,"M")</f>
        <v/>
      </c>
      <c r="AQ8" s="2">
        <f>COUNTIFS(SessionLog!$B$2:$B$309,$A8,SessionLog!$E$2:$E$309,"SE_mysql.Votes.UserId",SessionLog!$F$2:$F$309,"P")</f>
        <v/>
      </c>
      <c r="AR8" s="2">
        <f>COUNTIFS(SessionLog!$B$2:$B$309,$A8,SessionLog!$E$2:$E$309,"SE_mysql.Votes.BountyAmount",SessionLog!$F$2:$F$309,"M")</f>
        <v/>
      </c>
      <c r="AS8" s="2">
        <f>COUNTIFS(SessionLog!$B$2:$B$309,$A8,SessionLog!$E$2:$E$309,"SE_mysql.Votes.BountyAmount",SessionLog!$F$2:$F$309,"P")</f>
        <v/>
      </c>
      <c r="AT8" s="2">
        <f>COUNTIFS(SessionLog!$B$2:$B$309,$A8,SessionLog!$E$2:$E$309,"SE_mysql.Votes.CreationDate",SessionLog!$F$2:$F$309,"M")</f>
        <v/>
      </c>
      <c r="AU8" s="2">
        <f>COUNTIFS(SessionLog!$B$2:$B$309,$A8,SessionLog!$E$2:$E$309,"SE_mysql.Votes.CreationDate",SessionLog!$F$2:$F$309,"P")</f>
        <v/>
      </c>
      <c r="AV8" s="2">
        <f>COUNTIFS(SessionLog!$B$2:$B$309,$A8,SessionLog!$E$2:$E$309,"SE_mysql.Votes.PostId",SessionLog!$F$2:$F$309,"M")</f>
        <v/>
      </c>
      <c r="AW8" s="2">
        <f>COUNTIFS(SessionLog!$B$2:$B$309,$A8,SessionLog!$E$2:$E$309,"SE_mysql.Votes.PostId",SessionLog!$F$2:$F$309,"P")</f>
        <v/>
      </c>
      <c r="AX8" s="2">
        <f>COUNTIFS(SessionLog!$B$2:$B$309,$A8,SessionLog!$E$2:$E$309,"SE_mysql.Votes.VoteTypeId",SessionLog!$F$2:$F$309,"M")</f>
        <v/>
      </c>
      <c r="AY8" s="2">
        <f>COUNTIFS(SessionLog!$B$2:$B$309,$A8,SessionLog!$E$2:$E$309,"SE_mysql.Votes.VoteTypeId",SessionLog!$F$2:$F$309,"P")</f>
        <v/>
      </c>
      <c r="AZ8" s="2">
        <f>COUNTIFS(SessionLog!$B$2:$B$309,$A8,SessionLog!$E$2:$E$309,"SE_mysql.Votetypes.Id",SessionLog!$F$2:$F$309,"M")</f>
        <v/>
      </c>
      <c r="BA8" s="2">
        <f>COUNTIFS(SessionLog!$B$2:$B$309,$A8,SessionLog!$E$2:$E$309,"SE_mysql.Votetypes.Id",SessionLog!$F$2:$F$309,"P")</f>
        <v/>
      </c>
      <c r="BB8" s="2">
        <f>COUNTIFS(SessionLog!$B$2:$B$309,$A8,SessionLog!$E$2:$E$309,"SE_mysql.Votetypes.Name",SessionLog!$F$2:$F$309,"M")</f>
        <v/>
      </c>
      <c r="BC8" s="2">
        <f>COUNTIFS(SessionLog!$B$2:$B$309,$A8,SessionLog!$E$2:$E$309,"SE_mysql.Votetypes.Name",SessionLog!$F$2:$F$309,"P")</f>
        <v/>
      </c>
      <c r="BD8" s="2">
        <f>COUNTIFS(SessionLog!$B$2:$B$309,$A8,SessionLog!$E$2:$E$309,"SE_mongodb.Badges.Id",SessionLog!$F$2:$F$309,"M")</f>
        <v/>
      </c>
      <c r="BE8" s="2">
        <f>COUNTIFS(SessionLog!$B$2:$B$309,$A8,SessionLog!$E$2:$E$309,"SE_mongodb.Badges.Id",SessionLog!$F$2:$F$309,"P")</f>
        <v/>
      </c>
      <c r="BF8" s="2">
        <f>COUNTIFS(SessionLog!$B$2:$B$309,$A8,SessionLog!$E$2:$E$309,"SE_mongodb.Badges.UserId",SessionLog!$F$2:$F$309,"M")</f>
        <v/>
      </c>
      <c r="BG8" s="2">
        <f>COUNTIFS(SessionLog!$B$2:$B$309,$A8,SessionLog!$E$2:$E$309,"SE_mongodb.Badges.UserId",SessionLog!$F$2:$F$309,"P")</f>
        <v/>
      </c>
      <c r="BH8" s="2">
        <f>COUNTIFS(SessionLog!$B$2:$B$309,$A8,SessionLog!$E$2:$E$309,"SE_mongodb.Badges.Name",SessionLog!$F$2:$F$309,"M")</f>
        <v/>
      </c>
      <c r="BI8" s="2">
        <f>COUNTIFS(SessionLog!$B$2:$B$309,$A8,SessionLog!$E$2:$E$309,"SE_mongodb.Badges.Name",SessionLog!$F$2:$F$309,"P")</f>
        <v/>
      </c>
      <c r="BJ8" s="2">
        <f>COUNTIFS(SessionLog!$B$2:$B$309,$A8,SessionLog!$E$2:$E$309,"SE_mongodb.Badges.Date",SessionLog!$F$2:$F$309,"M")</f>
        <v/>
      </c>
      <c r="BK8" s="2">
        <f>COUNTIFS(SessionLog!$B$2:$B$309,$A8,SessionLog!$E$2:$E$309,"SE_mongodb.Badges.Date",SessionLog!$F$2:$F$309,"P")</f>
        <v/>
      </c>
      <c r="BL8" s="2">
        <f>COUNTIFS(SessionLog!$B$2:$B$309,$A8,SessionLog!$E$2:$E$309,"SE_mongodb.Posts.Id",SessionLog!$F$2:$F$309,"M")</f>
        <v/>
      </c>
      <c r="BM8" s="2">
        <f>COUNTIFS(SessionLog!$B$2:$B$309,$A8,SessionLog!$E$2:$E$309,"SE_mongodb.Posts.Id",SessionLog!$F$2:$F$309,"P")</f>
        <v/>
      </c>
      <c r="BN8" s="2">
        <f>COUNTIFS(SessionLog!$B$2:$B$309,$A8,SessionLog!$E$2:$E$309,"SE_mongodb.Posts.Tags",SessionLog!$F$2:$F$309,"M")</f>
        <v/>
      </c>
      <c r="BO8" s="2">
        <f>COUNTIFS(SessionLog!$B$2:$B$309,$A8,SessionLog!$E$2:$E$309,"SE_mongodb.Posts.Tags",SessionLog!$F$2:$F$309,"P")</f>
        <v/>
      </c>
      <c r="BP8" s="2">
        <f>COUNTIFS(SessionLog!$B$2:$B$309,$A8,SessionLog!$E$2:$E$309,"SE_mongodb.Posts.Body",SessionLog!$F$2:$F$309,"M")</f>
        <v/>
      </c>
      <c r="BQ8" s="2">
        <f>COUNTIFS(SessionLog!$B$2:$B$309,$A8,SessionLog!$E$2:$E$309,"SE_mongodb.Posts.Body",SessionLog!$F$2:$F$309,"P")</f>
        <v/>
      </c>
      <c r="BR8" s="2">
        <f>COUNTIFS(SessionLog!$B$2:$B$309,$A8,SessionLog!$E$2:$E$309,"SE_mongodb.Users.Id",SessionLog!$F$2:$F$309,"M")</f>
        <v/>
      </c>
      <c r="BS8" s="2">
        <f>COUNTIFS(SessionLog!$B$2:$B$309,$A8,SessionLog!$E$2:$E$309,"SE_mongodb.Users.Id",SessionLog!$F$2:$F$309,"P")</f>
        <v/>
      </c>
      <c r="BT8" s="2">
        <f>COUNTIFS(SessionLog!$B$2:$B$309,$A8,SessionLog!$E$2:$E$309,"SE_mongodb.Users.DisplayName",SessionLog!$F$2:$F$309,"M")</f>
        <v/>
      </c>
      <c r="BU8" s="2">
        <f>COUNTIFS(SessionLog!$B$2:$B$309,$A8,SessionLog!$E$2:$E$309,"SE_mongodb.Users.DisplayName",SessionLog!$F$2:$F$309,"P")</f>
        <v/>
      </c>
      <c r="BV8" s="2">
        <f>COUNTIFS(SessionLog!$B$2:$B$309,$A8,SessionLog!$E$2:$E$309,"SE_mongodb.Users.AboutMe",SessionLog!$F$2:$F$309,"M")</f>
        <v/>
      </c>
      <c r="BW8" s="2">
        <f>COUNTIFS(SessionLog!$B$2:$B$309,$A8,SessionLog!$E$2:$E$309,"SE_mongodb.Users.AboutMe",SessionLog!$F$2:$F$309,"P")</f>
        <v/>
      </c>
      <c r="BX8" s="2">
        <f>COUNTIFS(SessionLog!$B$2:$B$309,$A8,SessionLog!$E$2:$E$309,"SE_mongodb.Comments.Id",SessionLog!$F$2:$F$309,"M")</f>
        <v/>
      </c>
      <c r="BY8" s="2">
        <f>COUNTIFS(SessionLog!$B$2:$B$309,$A8,SessionLog!$E$2:$E$309,"SE_mongodb.Comments.Id",SessionLog!$F$2:$F$309,"P")</f>
        <v/>
      </c>
      <c r="BZ8" s="2">
        <f>COUNTIFS(SessionLog!$B$2:$B$309,$A8,SessionLog!$E$2:$E$309,"SE_mongodb.Comments.UserId",SessionLog!$F$2:$F$309,"M")</f>
        <v/>
      </c>
      <c r="CA8" s="2">
        <f>COUNTIFS(SessionLog!$B$2:$B$309,$A8,SessionLog!$E$2:$E$309,"SE_mongodb.Comments.UserId",SessionLog!$F$2:$F$309,"P")</f>
        <v/>
      </c>
      <c r="CB8" s="2">
        <f>COUNTIFS(SessionLog!$B$2:$B$309,$A8,SessionLog!$E$2:$E$309,"SE_mongodb.Comments.Text",SessionLog!$F$2:$F$309,"M")</f>
        <v/>
      </c>
      <c r="CC8" s="2">
        <f>COUNTIFS(SessionLog!$B$2:$B$309,$A8,SessionLog!$E$2:$E$309,"SE_mongodb.Comments.Text",SessionLog!$F$2:$F$309,"P")</f>
        <v/>
      </c>
      <c r="CD8" s="2">
        <f>COUNTIFS(SessionLog!$B$2:$B$309,$A8,SessionLog!$E$2:$E$309,"SE_mongodb.Comments.PostId",SessionLog!$F$2:$F$309,"M")</f>
        <v/>
      </c>
      <c r="CE8" s="2">
        <f>COUNTIFS(SessionLog!$B$2:$B$309,$A8,SessionLog!$E$2:$E$309,"SE_mongodb.Comments.PostId",SessionLog!$F$2:$F$309,"P")</f>
        <v/>
      </c>
      <c r="CF8" s="2">
        <f>COUNTIFS(SessionLog!$B$2:$B$309,$A8,SessionLog!$E$2:$E$309,"SE_neo4j.postlinks.id",SessionLog!$F$2:$F$309,"M")</f>
        <v/>
      </c>
      <c r="CG8" s="2">
        <f>COUNTIFS(SessionLog!$B$2:$B$309,$A8,SessionLog!$E$2:$E$309,"SE_neo4j.postlinks.id",SessionLog!$F$2:$F$309,"P")</f>
        <v/>
      </c>
      <c r="CH8" s="2">
        <f>COUNTIFS(SessionLog!$B$2:$B$309,$A8,SessionLog!$E$2:$E$309,"SE_neo4j.postlinks.LinkTypeId",SessionLog!$F$2:$F$309,"M")</f>
        <v/>
      </c>
      <c r="CI8" s="2">
        <f>COUNTIFS(SessionLog!$B$2:$B$309,$A8,SessionLog!$E$2:$E$309,"SE_neo4j.postlinks.LinkTypeId",SessionLog!$F$2:$F$309,"P")</f>
        <v/>
      </c>
      <c r="CJ8" s="2">
        <f>COUNTIFS(SessionLog!$B$2:$B$309,$A8,SessionLog!$E$2:$E$309,"SE_neo4j.postlinks.RelatedPostId",SessionLog!$F$2:$F$309,"M")</f>
        <v/>
      </c>
      <c r="CK8" s="2">
        <f>COUNTIFS(SessionLog!$B$2:$B$309,$A8,SessionLog!$E$2:$E$309,"SE_neo4j.postlinks.RelatedPostId",SessionLog!$F$2:$F$309,"P")</f>
        <v/>
      </c>
      <c r="CL8" s="2">
        <f>COUNTIFS(SessionLog!$B$2:$B$309,$A8,SessionLog!$E$2:$E$309,"SE_neo4j.postlinks.PostIdd",SessionLog!$F$2:$F$309,"M")</f>
        <v/>
      </c>
      <c r="CM8" s="2">
        <f>COUNTIFS(SessionLog!$B$2:$B$309,$A8,SessionLog!$E$2:$E$309,"SE_neo4j.postlinks.PostIdd",SessionLog!$F$2:$F$309,"P")</f>
        <v/>
      </c>
      <c r="CN8" s="2">
        <f>COUNTIFS(SessionLog!$B$2:$B$309,$A8,SessionLog!$E$2:$E$309,"SE_neo4j.postlinks.CreationDate",SessionLog!$F$2:$F$309,"M")</f>
        <v/>
      </c>
      <c r="CO8" s="2">
        <f>COUNTIFS(SessionLog!$B$2:$B$309,$A8,SessionLog!$E$2:$E$309,"SE_neo4j.postlinks.CreationDate",SessionLog!$F$2:$F$309,"P")</f>
        <v/>
      </c>
      <c r="CP8" s="2">
        <f>COUNTIFS(SessionLog!$B$2:$B$309,$A8,SessionLog!$E$2:$E$309,"SE_neo4j.Posts.id",SessionLog!$F$2:$F$309,"M")</f>
        <v/>
      </c>
      <c r="CQ8" s="2">
        <f>COUNTIFS(SessionLog!$B$2:$B$309,$A8,SessionLog!$E$2:$E$309,"SE_neo4j.Posts.id",SessionLog!$F$2:$F$309,"P")</f>
        <v/>
      </c>
      <c r="CR8" s="2">
        <f>COUNTIFS(SessionLog!$B$2:$B$309,$A8,SessionLog!$E$2:$E$309,"SE_neo4j.Posts.posttypeid",SessionLog!$F$2:$F$309,"M")</f>
        <v/>
      </c>
      <c r="CS8" s="2">
        <f>COUNTIFS(SessionLog!$B$2:$B$309,$A8,SessionLog!$E$2:$E$309,"SE_neo4j.Posts.posttypeid",SessionLog!$F$2:$F$309,"P")</f>
        <v/>
      </c>
      <c r="CT8" s="2">
        <f>COUNTIFS(SessionLog!$B$2:$B$309,$A8,SessionLog!$E$2:$E$309,"SE_neo4j.Posts.parentid",SessionLog!$F$2:$F$309,"M")</f>
        <v/>
      </c>
      <c r="CU8" s="2">
        <f>COUNTIFS(SessionLog!$B$2:$B$309,$A8,SessionLog!$E$2:$E$309,"SE_neo4j.Posts.parentid",SessionLog!$F$2:$F$309,"P")</f>
        <v/>
      </c>
      <c r="CV8" s="2">
        <f>COUNTIFS(SessionLog!$B$2:$B$309,$A8,SessionLog!$E$2:$E$309,"SE_neo4j.Posts.owneruserid",SessionLog!$F$2:$F$309,"M")</f>
        <v/>
      </c>
      <c r="CW8" s="2">
        <f>COUNTIFS(SessionLog!$B$2:$B$309,$A8,SessionLog!$E$2:$E$309,"SE_neo4j.Posts.owneruserid",SessionLog!$F$2:$F$309,"P")</f>
        <v/>
      </c>
      <c r="CX8" s="2">
        <f>COUNTIFS(SessionLog!$B$2:$B$309,$A8,SessionLog!$E$2:$E$309,"SE_neo4j.Posts.acceptedanswerid",SessionLog!$F$2:$F$309,"M")</f>
        <v/>
      </c>
      <c r="CY8" s="2">
        <f>COUNTIFS(SessionLog!$B$2:$B$309,$A8,SessionLog!$E$2:$E$309,"SE_neo4j.Posts.acceptedanswerid",SessionLog!$F$2:$F$309,"P")</f>
        <v/>
      </c>
      <c r="CZ8" s="2">
        <f>COUNTIFS(SessionLog!$B$2:$B$309,$A8,SessionLog!$E$2:$E$309,"SE_neo4j.Comments.id",SessionLog!$F$2:$F$309,"M")</f>
        <v/>
      </c>
      <c r="DA8" s="2">
        <f>COUNTIFS(SessionLog!$B$2:$B$309,$A8,SessionLog!$E$2:$E$309,"SE_neo4j.Comments.id",SessionLog!$F$2:$F$309,"P")</f>
        <v/>
      </c>
      <c r="DB8" s="2">
        <f>COUNTIFS(SessionLog!$B$2:$B$309,$A8,SessionLog!$E$2:$E$309,"SE_neo4j.Comments.creationdate",SessionLog!$F$2:$F$309,"M")</f>
        <v/>
      </c>
      <c r="DC8" s="2">
        <f>COUNTIFS(SessionLog!$B$2:$B$309,$A8,SessionLog!$E$2:$E$309,"SE_neo4j.Comments.creationdate",SessionLog!$F$2:$F$309,"P")</f>
        <v/>
      </c>
      <c r="DD8" s="2">
        <f>COUNTIFS(SessionLog!$B$2:$B$309,$A8,SessionLog!$E$2:$E$309,"SE_neo4j.Comments.score",SessionLog!$F$2:$F$309,"M")</f>
        <v/>
      </c>
      <c r="DE8" s="2">
        <f>COUNTIFS(SessionLog!$B$2:$B$309,$A8,SessionLog!$E$2:$E$309,"SE_neo4j.Comments.score",SessionLog!$F$2:$F$309,"P")</f>
        <v/>
      </c>
      <c r="DF8" s="2">
        <f>COUNTIFS(SessionLog!$B$2:$B$309,$A8,SessionLog!$E$2:$E$309,"SE_neo4j.Users.id",SessionLog!$F$2:$F$309,"M")</f>
        <v/>
      </c>
      <c r="DG8" s="2">
        <f>COUNTIFS(SessionLog!$B$2:$B$309,$A8,SessionLog!$E$2:$E$309,"SE_neo4j.Users.id",SessionLog!$F$2:$F$309,"P")</f>
        <v/>
      </c>
      <c r="DH8" s="2">
        <f>COUNTIFS(SessionLog!$B$2:$B$309,$A8,SessionLog!$E$2:$E$309,"SE_neo4j.Users.accountid",SessionLog!$F$2:$F$309,"M")</f>
        <v/>
      </c>
      <c r="DI8" s="2">
        <f>COUNTIFS(SessionLog!$B$2:$B$309,$A8,SessionLog!$E$2:$E$309,"SE_neo4j.Users.accountid",SessionLog!$F$2:$F$309,"P")</f>
        <v/>
      </c>
      <c r="DJ8" s="2">
        <f>COUNTIFS(SessionLog!$B$2:$B$309,$A8,SessionLog!$E$2:$E$309,"SE_neo4j.Users.displayname",SessionLog!$F$2:$F$309,"M")</f>
        <v/>
      </c>
      <c r="DK8" s="2">
        <f>COUNTIFS(SessionLog!$B$2:$B$309,$A8,SessionLog!$E$2:$E$309,"SE_neo4j.Users.displayname",SessionLog!$F$2:$F$309,"P")</f>
        <v/>
      </c>
      <c r="DL8" s="2">
        <f>COUNTIFS(SessionLog!$B$2:$B$309,$A8,SessionLog!$E$2:$E$309,"SE_neo4j.Users.creationdate",SessionLog!$F$2:$F$309,"M")</f>
        <v/>
      </c>
      <c r="DM8" s="2">
        <f>COUNTIFS(SessionLog!$B$2:$B$309,$A8,SessionLog!$E$2:$E$309,"SE_neo4j.Users.creationdate",SessionLog!$F$2:$F$309,"P")</f>
        <v/>
      </c>
      <c r="DN8" s="2">
        <f>COUNTIFS(SessionLog!$B$2:$B$309,$A8,SessionLog!$E$2:$E$309,"SE_neo4j.Tags.id",SessionLog!$F$2:$F$309,"M")</f>
        <v/>
      </c>
      <c r="DO8" s="2">
        <f>COUNTIFS(SessionLog!$B$2:$B$309,$A8,SessionLog!$E$2:$E$309,"SE_neo4j.Tags.id",SessionLog!$F$2:$F$309,"P")</f>
        <v/>
      </c>
      <c r="DP8" s="2">
        <f>COUNTIFS(SessionLog!$B$2:$B$309,$A8,SessionLog!$E$2:$E$309,"SE_neo4j.Tags.count",SessionLog!$F$2:$F$309,"M")</f>
        <v/>
      </c>
      <c r="DQ8" s="2">
        <f>COUNTIFS(SessionLog!$B$2:$B$309,$A8,SessionLog!$E$2:$E$309,"SE_neo4j.Tags.count",SessionLog!$F$2:$F$309,"P")</f>
        <v/>
      </c>
      <c r="DR8" s="2">
        <f>COUNTIFS(SessionLog!$B$2:$B$309,$A8,SessionLog!$E$2:$E$309,"SE_neo4j.Tags.wikipostid",SessionLog!$F$2:$F$309,"M")</f>
        <v/>
      </c>
      <c r="DS8" s="2">
        <f>COUNTIFS(SessionLog!$B$2:$B$309,$A8,SessionLog!$E$2:$E$309,"SE_neo4j.Tags.wikipostid",SessionLog!$F$2:$F$309,"P")</f>
        <v/>
      </c>
      <c r="DT8" s="2">
        <f>COUNTIFS(SessionLog!$B$2:$B$309,$A8,SessionLog!$E$2:$E$309,"SE_neo4j.Tags.tagname",SessionLog!$F$2:$F$309,"M")</f>
        <v/>
      </c>
      <c r="DU8" s="2">
        <f>COUNTIFS(SessionLog!$B$2:$B$309,$A8,SessionLog!$E$2:$E$309,"SE_neo4j.Tags.tagname",SessionLog!$F$2:$F$309,"P")</f>
        <v/>
      </c>
      <c r="DV8" s="2">
        <f>COUNTIFS(SessionLog!$B$2:$B$309,$A8,SessionLog!$E$2:$E$309,"SE_neo4j.Tags.excerptpostid",SessionLog!$F$2:$F$309,"M")</f>
        <v/>
      </c>
      <c r="DW8" s="2">
        <f>COUNTIFS(SessionLog!$B$2:$B$309,$A8,SessionLog!$E$2:$E$309,"SE_neo4j.Tags.excerptpostid",SessionLog!$F$2:$F$309,"P")</f>
        <v/>
      </c>
    </row>
    <row r="9">
      <c r="A9" s="2" t="inlineStr">
        <is>
          <t>C2</t>
        </is>
      </c>
      <c r="B9" s="2">
        <f>COUNTIFS(SessionLog!$B$2:$B$309,$A9,SessionLog!$E$2:$E$309,"SE_mysql.postes.Id",SessionLog!$F$2:$F$309,"M")</f>
        <v/>
      </c>
      <c r="C9" s="2">
        <f>COUNTIFS(SessionLog!$B$2:$B$309,$A9,SessionLog!$E$2:$E$309,"SE_mysql.postes.Id",SessionLog!$F$2:$F$309,"P")</f>
        <v/>
      </c>
      <c r="D9" s="2">
        <f>COUNTIFS(SessionLog!$B$2:$B$309,$A9,SessionLog!$E$2:$E$309,"SE_mysql.postes.PostTypeId",SessionLog!$F$2:$F$309,"M")</f>
        <v/>
      </c>
      <c r="E9" s="2">
        <f>COUNTIFS(SessionLog!$B$2:$B$309,$A9,SessionLog!$E$2:$E$309,"SE_mysql.postes.PostTypeId",SessionLog!$F$2:$F$309,"P")</f>
        <v/>
      </c>
      <c r="F9" s="2">
        <f>COUNTIFS(SessionLog!$B$2:$B$309,$A9,SessionLog!$E$2:$E$309,"SE_mysql.postes.Title",SessionLog!$F$2:$F$309,"M")</f>
        <v/>
      </c>
      <c r="G9" s="2">
        <f>COUNTIFS(SessionLog!$B$2:$B$309,$A9,SessionLog!$E$2:$E$309,"SE_mysql.postes.Title",SessionLog!$F$2:$F$309,"P")</f>
        <v/>
      </c>
      <c r="H9" s="2">
        <f>COUNTIFS(SessionLog!$B$2:$B$309,$A9,SessionLog!$E$2:$E$309,"SE_mysql.postes.OwnerUserId",SessionLog!$F$2:$F$309,"M")</f>
        <v/>
      </c>
      <c r="I9" s="2">
        <f>COUNTIFS(SessionLog!$B$2:$B$309,$A9,SessionLog!$E$2:$E$309,"SE_mysql.postes.OwnerUserId",SessionLog!$F$2:$F$309,"P")</f>
        <v/>
      </c>
      <c r="J9" s="2">
        <f>COUNTIFS(SessionLog!$B$2:$B$309,$A9,SessionLog!$E$2:$E$309,"SE_mysql.postes.ViewCount",SessionLog!$F$2:$F$309,"M")</f>
        <v/>
      </c>
      <c r="K9" s="2">
        <f>COUNTIFS(SessionLog!$B$2:$B$309,$A9,SessionLog!$E$2:$E$309,"SE_mysql.postes.ViewCount",SessionLog!$F$2:$F$309,"P")</f>
        <v/>
      </c>
      <c r="L9" s="2">
        <f>COUNTIFS(SessionLog!$B$2:$B$309,$A9,SessionLog!$E$2:$E$309,"SE_mysql.postes.LastEditDate",SessionLog!$F$2:$F$309,"M")</f>
        <v/>
      </c>
      <c r="M9" s="2">
        <f>COUNTIFS(SessionLog!$B$2:$B$309,$A9,SessionLog!$E$2:$E$309,"SE_mysql.postes.LastEditDate",SessionLog!$F$2:$F$309,"P")</f>
        <v/>
      </c>
      <c r="N9" s="2">
        <f>COUNTIFS(SessionLog!$B$2:$B$309,$A9,SessionLog!$E$2:$E$309,"SE_mysql.postes.LastEditorUserId",SessionLog!$F$2:$F$309,"M")</f>
        <v/>
      </c>
      <c r="O9" s="2">
        <f>COUNTIFS(SessionLog!$B$2:$B$309,$A9,SessionLog!$E$2:$E$309,"SE_mysql.postes.LastEditorUserId",SessionLog!$F$2:$F$309,"P")</f>
        <v/>
      </c>
      <c r="P9" s="2">
        <f>COUNTIFS(SessionLog!$B$2:$B$309,$A9,SessionLog!$E$2:$E$309,"SE_mysql.postes.CreationDate",SessionLog!$F$2:$F$309,"M")</f>
        <v/>
      </c>
      <c r="Q9" s="2">
        <f>COUNTIFS(SessionLog!$B$2:$B$309,$A9,SessionLog!$E$2:$E$309,"SE_mysql.postes.CreationDate",SessionLog!$F$2:$F$309,"P")</f>
        <v/>
      </c>
      <c r="R9" s="2">
        <f>COUNTIFS(SessionLog!$B$2:$B$309,$A9,SessionLog!$E$2:$E$309,"SE_mysql.Posttypes.Id",SessionLog!$F$2:$F$309,"M")</f>
        <v/>
      </c>
      <c r="S9" s="2">
        <f>COUNTIFS(SessionLog!$B$2:$B$309,$A9,SessionLog!$E$2:$E$309,"SE_mysql.Posttypes.Id",SessionLog!$F$2:$F$309,"P")</f>
        <v/>
      </c>
      <c r="T9" s="2">
        <f>COUNTIFS(SessionLog!$B$2:$B$309,$A9,SessionLog!$E$2:$E$309,"SE_mysql.Posttypes.Name",SessionLog!$F$2:$F$309,"M")</f>
        <v/>
      </c>
      <c r="U9" s="2">
        <f>COUNTIFS(SessionLog!$B$2:$B$309,$A9,SessionLog!$E$2:$E$309,"SE_mysql.Posttypes.Name",SessionLog!$F$2:$F$309,"P")</f>
        <v/>
      </c>
      <c r="V9" s="2">
        <f>COUNTIFS(SessionLog!$B$2:$B$309,$A9,SessionLog!$E$2:$E$309,"SE_mysql.Users.Id",SessionLog!$F$2:$F$309,"M")</f>
        <v/>
      </c>
      <c r="W9" s="2">
        <f>COUNTIFS(SessionLog!$B$2:$B$309,$A9,SessionLog!$E$2:$E$309,"SE_mysql.Users.Id",SessionLog!$F$2:$F$309,"P")</f>
        <v/>
      </c>
      <c r="X9" s="2">
        <f>COUNTIFS(SessionLog!$B$2:$B$309,$A9,SessionLog!$E$2:$E$309,"SE_mysql.Users.Views",SessionLog!$F$2:$F$309,"M")</f>
        <v/>
      </c>
      <c r="Y9" s="2">
        <f>COUNTIFS(SessionLog!$B$2:$B$309,$A9,SessionLog!$E$2:$E$309,"SE_mysql.Users.Views",SessionLog!$F$2:$F$309,"P")</f>
        <v/>
      </c>
      <c r="Z9" s="2">
        <f>COUNTIFS(SessionLog!$B$2:$B$309,$A9,SessionLog!$E$2:$E$309,"SE_mysql.Users.UpVotes",SessionLog!$F$2:$F$309,"M")</f>
        <v/>
      </c>
      <c r="AA9" s="2">
        <f>COUNTIFS(SessionLog!$B$2:$B$309,$A9,SessionLog!$E$2:$E$309,"SE_mysql.Users.UpVotes",SessionLog!$F$2:$F$309,"P")</f>
        <v/>
      </c>
      <c r="AB9" s="2">
        <f>COUNTIFS(SessionLog!$B$2:$B$309,$A9,SessionLog!$E$2:$E$309,"SE_mysql.Users.DisplayName",SessionLog!$F$2:$F$309,"M")</f>
        <v/>
      </c>
      <c r="AC9" s="2">
        <f>COUNTIFS(SessionLog!$B$2:$B$309,$A9,SessionLog!$E$2:$E$309,"SE_mysql.Users.DisplayName",SessionLog!$F$2:$F$309,"P")</f>
        <v/>
      </c>
      <c r="AD9" s="2">
        <f>COUNTIFS(SessionLog!$B$2:$B$309,$A9,SessionLog!$E$2:$E$309,"SE_mysql.Users.DownVotes",SessionLog!$F$2:$F$309,"M")</f>
        <v/>
      </c>
      <c r="AE9" s="2">
        <f>COUNTIFS(SessionLog!$B$2:$B$309,$A9,SessionLog!$E$2:$E$309,"SE_mysql.Users.DownVotes",SessionLog!$F$2:$F$309,"P")</f>
        <v/>
      </c>
      <c r="AF9" s="2">
        <f>COUNTIFS(SessionLog!$B$2:$B$309,$A9,SessionLog!$E$2:$E$309,"SE_mysql.Users.LastAccessDate",SessionLog!$F$2:$F$309,"M")</f>
        <v/>
      </c>
      <c r="AG9" s="2">
        <f>COUNTIFS(SessionLog!$B$2:$B$309,$A9,SessionLog!$E$2:$E$309,"SE_mysql.Users.LastAccessDate",SessionLog!$F$2:$F$309,"P")</f>
        <v/>
      </c>
      <c r="AH9" s="2">
        <f>COUNTIFS(SessionLog!$B$2:$B$309,$A9,SessionLog!$E$2:$E$309,"SE_mysql.Users.Reputation",SessionLog!$F$2:$F$309,"M")</f>
        <v/>
      </c>
      <c r="AI9" s="2">
        <f>COUNTIFS(SessionLog!$B$2:$B$309,$A9,SessionLog!$E$2:$E$309,"SE_mysql.Users.Reputation",SessionLog!$F$2:$F$309,"P")</f>
        <v/>
      </c>
      <c r="AJ9" s="2">
        <f>COUNTIFS(SessionLog!$B$2:$B$309,$A9,SessionLog!$E$2:$E$309,"SE_mysql.Flagtypes.Id",SessionLog!$F$2:$F$309,"M")</f>
        <v/>
      </c>
      <c r="AK9" s="2">
        <f>COUNTIFS(SessionLog!$B$2:$B$309,$A9,SessionLog!$E$2:$E$309,"SE_mysql.Flagtypes.Id",SessionLog!$F$2:$F$309,"P")</f>
        <v/>
      </c>
      <c r="AL9" s="2">
        <f>COUNTIFS(SessionLog!$B$2:$B$309,$A9,SessionLog!$E$2:$E$309,"SE_mysql.Flagtypes.Name",SessionLog!$F$2:$F$309,"M")</f>
        <v/>
      </c>
      <c r="AM9" s="2">
        <f>COUNTIFS(SessionLog!$B$2:$B$309,$A9,SessionLog!$E$2:$E$309,"SE_mysql.Flagtypes.Name",SessionLog!$F$2:$F$309,"P")</f>
        <v/>
      </c>
      <c r="AN9" s="2">
        <f>COUNTIFS(SessionLog!$B$2:$B$309,$A9,SessionLog!$E$2:$E$309,"SE_mysql.Votes.Id",SessionLog!$F$2:$F$309,"M")</f>
        <v/>
      </c>
      <c r="AO9" s="2">
        <f>COUNTIFS(SessionLog!$B$2:$B$309,$A9,SessionLog!$E$2:$E$309,"SE_mysql.Votes.Id",SessionLog!$F$2:$F$309,"P")</f>
        <v/>
      </c>
      <c r="AP9" s="2">
        <f>COUNTIFS(SessionLog!$B$2:$B$309,$A9,SessionLog!$E$2:$E$309,"SE_mysql.Votes.UserId",SessionLog!$F$2:$F$309,"M")</f>
        <v/>
      </c>
      <c r="AQ9" s="2">
        <f>COUNTIFS(SessionLog!$B$2:$B$309,$A9,SessionLog!$E$2:$E$309,"SE_mysql.Votes.UserId",SessionLog!$F$2:$F$309,"P")</f>
        <v/>
      </c>
      <c r="AR9" s="2">
        <f>COUNTIFS(SessionLog!$B$2:$B$309,$A9,SessionLog!$E$2:$E$309,"SE_mysql.Votes.BountyAmount",SessionLog!$F$2:$F$309,"M")</f>
        <v/>
      </c>
      <c r="AS9" s="2">
        <f>COUNTIFS(SessionLog!$B$2:$B$309,$A9,SessionLog!$E$2:$E$309,"SE_mysql.Votes.BountyAmount",SessionLog!$F$2:$F$309,"P")</f>
        <v/>
      </c>
      <c r="AT9" s="2">
        <f>COUNTIFS(SessionLog!$B$2:$B$309,$A9,SessionLog!$E$2:$E$309,"SE_mysql.Votes.CreationDate",SessionLog!$F$2:$F$309,"M")</f>
        <v/>
      </c>
      <c r="AU9" s="2">
        <f>COUNTIFS(SessionLog!$B$2:$B$309,$A9,SessionLog!$E$2:$E$309,"SE_mysql.Votes.CreationDate",SessionLog!$F$2:$F$309,"P")</f>
        <v/>
      </c>
      <c r="AV9" s="2">
        <f>COUNTIFS(SessionLog!$B$2:$B$309,$A9,SessionLog!$E$2:$E$309,"SE_mysql.Votes.PostId",SessionLog!$F$2:$F$309,"M")</f>
        <v/>
      </c>
      <c r="AW9" s="2">
        <f>COUNTIFS(SessionLog!$B$2:$B$309,$A9,SessionLog!$E$2:$E$309,"SE_mysql.Votes.PostId",SessionLog!$F$2:$F$309,"P")</f>
        <v/>
      </c>
      <c r="AX9" s="2">
        <f>COUNTIFS(SessionLog!$B$2:$B$309,$A9,SessionLog!$E$2:$E$309,"SE_mysql.Votes.VoteTypeId",SessionLog!$F$2:$F$309,"M")</f>
        <v/>
      </c>
      <c r="AY9" s="2">
        <f>COUNTIFS(SessionLog!$B$2:$B$309,$A9,SessionLog!$E$2:$E$309,"SE_mysql.Votes.VoteTypeId",SessionLog!$F$2:$F$309,"P")</f>
        <v/>
      </c>
      <c r="AZ9" s="2">
        <f>COUNTIFS(SessionLog!$B$2:$B$309,$A9,SessionLog!$E$2:$E$309,"SE_mysql.Votetypes.Id",SessionLog!$F$2:$F$309,"M")</f>
        <v/>
      </c>
      <c r="BA9" s="2">
        <f>COUNTIFS(SessionLog!$B$2:$B$309,$A9,SessionLog!$E$2:$E$309,"SE_mysql.Votetypes.Id",SessionLog!$F$2:$F$309,"P")</f>
        <v/>
      </c>
      <c r="BB9" s="2">
        <f>COUNTIFS(SessionLog!$B$2:$B$309,$A9,SessionLog!$E$2:$E$309,"SE_mysql.Votetypes.Name",SessionLog!$F$2:$F$309,"M")</f>
        <v/>
      </c>
      <c r="BC9" s="2">
        <f>COUNTIFS(SessionLog!$B$2:$B$309,$A9,SessionLog!$E$2:$E$309,"SE_mysql.Votetypes.Name",SessionLog!$F$2:$F$309,"P")</f>
        <v/>
      </c>
      <c r="BD9" s="2">
        <f>COUNTIFS(SessionLog!$B$2:$B$309,$A9,SessionLog!$E$2:$E$309,"SE_mongodb.Badges.Id",SessionLog!$F$2:$F$309,"M")</f>
        <v/>
      </c>
      <c r="BE9" s="2">
        <f>COUNTIFS(SessionLog!$B$2:$B$309,$A9,SessionLog!$E$2:$E$309,"SE_mongodb.Badges.Id",SessionLog!$F$2:$F$309,"P")</f>
        <v/>
      </c>
      <c r="BF9" s="2">
        <f>COUNTIFS(SessionLog!$B$2:$B$309,$A9,SessionLog!$E$2:$E$309,"SE_mongodb.Badges.UserId",SessionLog!$F$2:$F$309,"M")</f>
        <v/>
      </c>
      <c r="BG9" s="2">
        <f>COUNTIFS(SessionLog!$B$2:$B$309,$A9,SessionLog!$E$2:$E$309,"SE_mongodb.Badges.UserId",SessionLog!$F$2:$F$309,"P")</f>
        <v/>
      </c>
      <c r="BH9" s="2">
        <f>COUNTIFS(SessionLog!$B$2:$B$309,$A9,SessionLog!$E$2:$E$309,"SE_mongodb.Badges.Name",SessionLog!$F$2:$F$309,"M")</f>
        <v/>
      </c>
      <c r="BI9" s="2">
        <f>COUNTIFS(SessionLog!$B$2:$B$309,$A9,SessionLog!$E$2:$E$309,"SE_mongodb.Badges.Name",SessionLog!$F$2:$F$309,"P")</f>
        <v/>
      </c>
      <c r="BJ9" s="2">
        <f>COUNTIFS(SessionLog!$B$2:$B$309,$A9,SessionLog!$E$2:$E$309,"SE_mongodb.Badges.Date",SessionLog!$F$2:$F$309,"M")</f>
        <v/>
      </c>
      <c r="BK9" s="2">
        <f>COUNTIFS(SessionLog!$B$2:$B$309,$A9,SessionLog!$E$2:$E$309,"SE_mongodb.Badges.Date",SessionLog!$F$2:$F$309,"P")</f>
        <v/>
      </c>
      <c r="BL9" s="2">
        <f>COUNTIFS(SessionLog!$B$2:$B$309,$A9,SessionLog!$E$2:$E$309,"SE_mongodb.Posts.Id",SessionLog!$F$2:$F$309,"M")</f>
        <v/>
      </c>
      <c r="BM9" s="2">
        <f>COUNTIFS(SessionLog!$B$2:$B$309,$A9,SessionLog!$E$2:$E$309,"SE_mongodb.Posts.Id",SessionLog!$F$2:$F$309,"P")</f>
        <v/>
      </c>
      <c r="BN9" s="2">
        <f>COUNTIFS(SessionLog!$B$2:$B$309,$A9,SessionLog!$E$2:$E$309,"SE_mongodb.Posts.Tags",SessionLog!$F$2:$F$309,"M")</f>
        <v/>
      </c>
      <c r="BO9" s="2">
        <f>COUNTIFS(SessionLog!$B$2:$B$309,$A9,SessionLog!$E$2:$E$309,"SE_mongodb.Posts.Tags",SessionLog!$F$2:$F$309,"P")</f>
        <v/>
      </c>
      <c r="BP9" s="2">
        <f>COUNTIFS(SessionLog!$B$2:$B$309,$A9,SessionLog!$E$2:$E$309,"SE_mongodb.Posts.Body",SessionLog!$F$2:$F$309,"M")</f>
        <v/>
      </c>
      <c r="BQ9" s="2">
        <f>COUNTIFS(SessionLog!$B$2:$B$309,$A9,SessionLog!$E$2:$E$309,"SE_mongodb.Posts.Body",SessionLog!$F$2:$F$309,"P")</f>
        <v/>
      </c>
      <c r="BR9" s="2">
        <f>COUNTIFS(SessionLog!$B$2:$B$309,$A9,SessionLog!$E$2:$E$309,"SE_mongodb.Users.Id",SessionLog!$F$2:$F$309,"M")</f>
        <v/>
      </c>
      <c r="BS9" s="2">
        <f>COUNTIFS(SessionLog!$B$2:$B$309,$A9,SessionLog!$E$2:$E$309,"SE_mongodb.Users.Id",SessionLog!$F$2:$F$309,"P")</f>
        <v/>
      </c>
      <c r="BT9" s="2">
        <f>COUNTIFS(SessionLog!$B$2:$B$309,$A9,SessionLog!$E$2:$E$309,"SE_mongodb.Users.DisplayName",SessionLog!$F$2:$F$309,"M")</f>
        <v/>
      </c>
      <c r="BU9" s="2">
        <f>COUNTIFS(SessionLog!$B$2:$B$309,$A9,SessionLog!$E$2:$E$309,"SE_mongodb.Users.DisplayName",SessionLog!$F$2:$F$309,"P")</f>
        <v/>
      </c>
      <c r="BV9" s="2">
        <f>COUNTIFS(SessionLog!$B$2:$B$309,$A9,SessionLog!$E$2:$E$309,"SE_mongodb.Users.AboutMe",SessionLog!$F$2:$F$309,"M")</f>
        <v/>
      </c>
      <c r="BW9" s="2">
        <f>COUNTIFS(SessionLog!$B$2:$B$309,$A9,SessionLog!$E$2:$E$309,"SE_mongodb.Users.AboutMe",SessionLog!$F$2:$F$309,"P")</f>
        <v/>
      </c>
      <c r="BX9" s="2">
        <f>COUNTIFS(SessionLog!$B$2:$B$309,$A9,SessionLog!$E$2:$E$309,"SE_mongodb.Comments.Id",SessionLog!$F$2:$F$309,"M")</f>
        <v/>
      </c>
      <c r="BY9" s="2">
        <f>COUNTIFS(SessionLog!$B$2:$B$309,$A9,SessionLog!$E$2:$E$309,"SE_mongodb.Comments.Id",SessionLog!$F$2:$F$309,"P")</f>
        <v/>
      </c>
      <c r="BZ9" s="2">
        <f>COUNTIFS(SessionLog!$B$2:$B$309,$A9,SessionLog!$E$2:$E$309,"SE_mongodb.Comments.UserId",SessionLog!$F$2:$F$309,"M")</f>
        <v/>
      </c>
      <c r="CA9" s="2">
        <f>COUNTIFS(SessionLog!$B$2:$B$309,$A9,SessionLog!$E$2:$E$309,"SE_mongodb.Comments.UserId",SessionLog!$F$2:$F$309,"P")</f>
        <v/>
      </c>
      <c r="CB9" s="2">
        <f>COUNTIFS(SessionLog!$B$2:$B$309,$A9,SessionLog!$E$2:$E$309,"SE_mongodb.Comments.Text",SessionLog!$F$2:$F$309,"M")</f>
        <v/>
      </c>
      <c r="CC9" s="2">
        <f>COUNTIFS(SessionLog!$B$2:$B$309,$A9,SessionLog!$E$2:$E$309,"SE_mongodb.Comments.Text",SessionLog!$F$2:$F$309,"P")</f>
        <v/>
      </c>
      <c r="CD9" s="2">
        <f>COUNTIFS(SessionLog!$B$2:$B$309,$A9,SessionLog!$E$2:$E$309,"SE_mongodb.Comments.PostId",SessionLog!$F$2:$F$309,"M")</f>
        <v/>
      </c>
      <c r="CE9" s="2">
        <f>COUNTIFS(SessionLog!$B$2:$B$309,$A9,SessionLog!$E$2:$E$309,"SE_mongodb.Comments.PostId",SessionLog!$F$2:$F$309,"P")</f>
        <v/>
      </c>
      <c r="CF9" s="2">
        <f>COUNTIFS(SessionLog!$B$2:$B$309,$A9,SessionLog!$E$2:$E$309,"SE_neo4j.postlinks.id",SessionLog!$F$2:$F$309,"M")</f>
        <v/>
      </c>
      <c r="CG9" s="2">
        <f>COUNTIFS(SessionLog!$B$2:$B$309,$A9,SessionLog!$E$2:$E$309,"SE_neo4j.postlinks.id",SessionLog!$F$2:$F$309,"P")</f>
        <v/>
      </c>
      <c r="CH9" s="2">
        <f>COUNTIFS(SessionLog!$B$2:$B$309,$A9,SessionLog!$E$2:$E$309,"SE_neo4j.postlinks.LinkTypeId",SessionLog!$F$2:$F$309,"M")</f>
        <v/>
      </c>
      <c r="CI9" s="2">
        <f>COUNTIFS(SessionLog!$B$2:$B$309,$A9,SessionLog!$E$2:$E$309,"SE_neo4j.postlinks.LinkTypeId",SessionLog!$F$2:$F$309,"P")</f>
        <v/>
      </c>
      <c r="CJ9" s="2">
        <f>COUNTIFS(SessionLog!$B$2:$B$309,$A9,SessionLog!$E$2:$E$309,"SE_neo4j.postlinks.RelatedPostId",SessionLog!$F$2:$F$309,"M")</f>
        <v/>
      </c>
      <c r="CK9" s="2">
        <f>COUNTIFS(SessionLog!$B$2:$B$309,$A9,SessionLog!$E$2:$E$309,"SE_neo4j.postlinks.RelatedPostId",SessionLog!$F$2:$F$309,"P")</f>
        <v/>
      </c>
      <c r="CL9" s="2">
        <f>COUNTIFS(SessionLog!$B$2:$B$309,$A9,SessionLog!$E$2:$E$309,"SE_neo4j.postlinks.PostIdd",SessionLog!$F$2:$F$309,"M")</f>
        <v/>
      </c>
      <c r="CM9" s="2">
        <f>COUNTIFS(SessionLog!$B$2:$B$309,$A9,SessionLog!$E$2:$E$309,"SE_neo4j.postlinks.PostIdd",SessionLog!$F$2:$F$309,"P")</f>
        <v/>
      </c>
      <c r="CN9" s="2">
        <f>COUNTIFS(SessionLog!$B$2:$B$309,$A9,SessionLog!$E$2:$E$309,"SE_neo4j.postlinks.CreationDate",SessionLog!$F$2:$F$309,"M")</f>
        <v/>
      </c>
      <c r="CO9" s="2">
        <f>COUNTIFS(SessionLog!$B$2:$B$309,$A9,SessionLog!$E$2:$E$309,"SE_neo4j.postlinks.CreationDate",SessionLog!$F$2:$F$309,"P")</f>
        <v/>
      </c>
      <c r="CP9" s="2">
        <f>COUNTIFS(SessionLog!$B$2:$B$309,$A9,SessionLog!$E$2:$E$309,"SE_neo4j.Posts.id",SessionLog!$F$2:$F$309,"M")</f>
        <v/>
      </c>
      <c r="CQ9" s="2">
        <f>COUNTIFS(SessionLog!$B$2:$B$309,$A9,SessionLog!$E$2:$E$309,"SE_neo4j.Posts.id",SessionLog!$F$2:$F$309,"P")</f>
        <v/>
      </c>
      <c r="CR9" s="2">
        <f>COUNTIFS(SessionLog!$B$2:$B$309,$A9,SessionLog!$E$2:$E$309,"SE_neo4j.Posts.posttypeid",SessionLog!$F$2:$F$309,"M")</f>
        <v/>
      </c>
      <c r="CS9" s="2">
        <f>COUNTIFS(SessionLog!$B$2:$B$309,$A9,SessionLog!$E$2:$E$309,"SE_neo4j.Posts.posttypeid",SessionLog!$F$2:$F$309,"P")</f>
        <v/>
      </c>
      <c r="CT9" s="2">
        <f>COUNTIFS(SessionLog!$B$2:$B$309,$A9,SessionLog!$E$2:$E$309,"SE_neo4j.Posts.parentid",SessionLog!$F$2:$F$309,"M")</f>
        <v/>
      </c>
      <c r="CU9" s="2">
        <f>COUNTIFS(SessionLog!$B$2:$B$309,$A9,SessionLog!$E$2:$E$309,"SE_neo4j.Posts.parentid",SessionLog!$F$2:$F$309,"P")</f>
        <v/>
      </c>
      <c r="CV9" s="2">
        <f>COUNTIFS(SessionLog!$B$2:$B$309,$A9,SessionLog!$E$2:$E$309,"SE_neo4j.Posts.owneruserid",SessionLog!$F$2:$F$309,"M")</f>
        <v/>
      </c>
      <c r="CW9" s="2">
        <f>COUNTIFS(SessionLog!$B$2:$B$309,$A9,SessionLog!$E$2:$E$309,"SE_neo4j.Posts.owneruserid",SessionLog!$F$2:$F$309,"P")</f>
        <v/>
      </c>
      <c r="CX9" s="2">
        <f>COUNTIFS(SessionLog!$B$2:$B$309,$A9,SessionLog!$E$2:$E$309,"SE_neo4j.Posts.acceptedanswerid",SessionLog!$F$2:$F$309,"M")</f>
        <v/>
      </c>
      <c r="CY9" s="2">
        <f>COUNTIFS(SessionLog!$B$2:$B$309,$A9,SessionLog!$E$2:$E$309,"SE_neo4j.Posts.acceptedanswerid",SessionLog!$F$2:$F$309,"P")</f>
        <v/>
      </c>
      <c r="CZ9" s="2">
        <f>COUNTIFS(SessionLog!$B$2:$B$309,$A9,SessionLog!$E$2:$E$309,"SE_neo4j.Comments.id",SessionLog!$F$2:$F$309,"M")</f>
        <v/>
      </c>
      <c r="DA9" s="2">
        <f>COUNTIFS(SessionLog!$B$2:$B$309,$A9,SessionLog!$E$2:$E$309,"SE_neo4j.Comments.id",SessionLog!$F$2:$F$309,"P")</f>
        <v/>
      </c>
      <c r="DB9" s="2">
        <f>COUNTIFS(SessionLog!$B$2:$B$309,$A9,SessionLog!$E$2:$E$309,"SE_neo4j.Comments.creationdate",SessionLog!$F$2:$F$309,"M")</f>
        <v/>
      </c>
      <c r="DC9" s="2">
        <f>COUNTIFS(SessionLog!$B$2:$B$309,$A9,SessionLog!$E$2:$E$309,"SE_neo4j.Comments.creationdate",SessionLog!$F$2:$F$309,"P")</f>
        <v/>
      </c>
      <c r="DD9" s="2">
        <f>COUNTIFS(SessionLog!$B$2:$B$309,$A9,SessionLog!$E$2:$E$309,"SE_neo4j.Comments.score",SessionLog!$F$2:$F$309,"M")</f>
        <v/>
      </c>
      <c r="DE9" s="2">
        <f>COUNTIFS(SessionLog!$B$2:$B$309,$A9,SessionLog!$E$2:$E$309,"SE_neo4j.Comments.score",SessionLog!$F$2:$F$309,"P")</f>
        <v/>
      </c>
      <c r="DF9" s="2">
        <f>COUNTIFS(SessionLog!$B$2:$B$309,$A9,SessionLog!$E$2:$E$309,"SE_neo4j.Users.id",SessionLog!$F$2:$F$309,"M")</f>
        <v/>
      </c>
      <c r="DG9" s="2">
        <f>COUNTIFS(SessionLog!$B$2:$B$309,$A9,SessionLog!$E$2:$E$309,"SE_neo4j.Users.id",SessionLog!$F$2:$F$309,"P")</f>
        <v/>
      </c>
      <c r="DH9" s="2">
        <f>COUNTIFS(SessionLog!$B$2:$B$309,$A9,SessionLog!$E$2:$E$309,"SE_neo4j.Users.accountid",SessionLog!$F$2:$F$309,"M")</f>
        <v/>
      </c>
      <c r="DI9" s="2">
        <f>COUNTIFS(SessionLog!$B$2:$B$309,$A9,SessionLog!$E$2:$E$309,"SE_neo4j.Users.accountid",SessionLog!$F$2:$F$309,"P")</f>
        <v/>
      </c>
      <c r="DJ9" s="2">
        <f>COUNTIFS(SessionLog!$B$2:$B$309,$A9,SessionLog!$E$2:$E$309,"SE_neo4j.Users.displayname",SessionLog!$F$2:$F$309,"M")</f>
        <v/>
      </c>
      <c r="DK9" s="2">
        <f>COUNTIFS(SessionLog!$B$2:$B$309,$A9,SessionLog!$E$2:$E$309,"SE_neo4j.Users.displayname",SessionLog!$F$2:$F$309,"P")</f>
        <v/>
      </c>
      <c r="DL9" s="2">
        <f>COUNTIFS(SessionLog!$B$2:$B$309,$A9,SessionLog!$E$2:$E$309,"SE_neo4j.Users.creationdate",SessionLog!$F$2:$F$309,"M")</f>
        <v/>
      </c>
      <c r="DM9" s="2">
        <f>COUNTIFS(SessionLog!$B$2:$B$309,$A9,SessionLog!$E$2:$E$309,"SE_neo4j.Users.creationdate",SessionLog!$F$2:$F$309,"P")</f>
        <v/>
      </c>
      <c r="DN9" s="2">
        <f>COUNTIFS(SessionLog!$B$2:$B$309,$A9,SessionLog!$E$2:$E$309,"SE_neo4j.Tags.id",SessionLog!$F$2:$F$309,"M")</f>
        <v/>
      </c>
      <c r="DO9" s="2">
        <f>COUNTIFS(SessionLog!$B$2:$B$309,$A9,SessionLog!$E$2:$E$309,"SE_neo4j.Tags.id",SessionLog!$F$2:$F$309,"P")</f>
        <v/>
      </c>
      <c r="DP9" s="2">
        <f>COUNTIFS(SessionLog!$B$2:$B$309,$A9,SessionLog!$E$2:$E$309,"SE_neo4j.Tags.count",SessionLog!$F$2:$F$309,"M")</f>
        <v/>
      </c>
      <c r="DQ9" s="2">
        <f>COUNTIFS(SessionLog!$B$2:$B$309,$A9,SessionLog!$E$2:$E$309,"SE_neo4j.Tags.count",SessionLog!$F$2:$F$309,"P")</f>
        <v/>
      </c>
      <c r="DR9" s="2">
        <f>COUNTIFS(SessionLog!$B$2:$B$309,$A9,SessionLog!$E$2:$E$309,"SE_neo4j.Tags.wikipostid",SessionLog!$F$2:$F$309,"M")</f>
        <v/>
      </c>
      <c r="DS9" s="2">
        <f>COUNTIFS(SessionLog!$B$2:$B$309,$A9,SessionLog!$E$2:$E$309,"SE_neo4j.Tags.wikipostid",SessionLog!$F$2:$F$309,"P")</f>
        <v/>
      </c>
      <c r="DT9" s="2">
        <f>COUNTIFS(SessionLog!$B$2:$B$309,$A9,SessionLog!$E$2:$E$309,"SE_neo4j.Tags.tagname",SessionLog!$F$2:$F$309,"M")</f>
        <v/>
      </c>
      <c r="DU9" s="2">
        <f>COUNTIFS(SessionLog!$B$2:$B$309,$A9,SessionLog!$E$2:$E$309,"SE_neo4j.Tags.tagname",SessionLog!$F$2:$F$309,"P")</f>
        <v/>
      </c>
      <c r="DV9" s="2">
        <f>COUNTIFS(SessionLog!$B$2:$B$309,$A9,SessionLog!$E$2:$E$309,"SE_neo4j.Tags.excerptpostid",SessionLog!$F$2:$F$309,"M")</f>
        <v/>
      </c>
      <c r="DW9" s="2">
        <f>COUNTIFS(SessionLog!$B$2:$B$309,$A9,SessionLog!$E$2:$E$309,"SE_neo4j.Tags.excerptpostid",SessionLog!$F$2:$F$309,"P")</f>
        <v/>
      </c>
    </row>
    <row r="10">
      <c r="A10" s="2" t="inlineStr">
        <is>
          <t>C3</t>
        </is>
      </c>
      <c r="B10" s="2">
        <f>COUNTIFS(SessionLog!$B$2:$B$309,$A10,SessionLog!$E$2:$E$309,"SE_mysql.postes.Id",SessionLog!$F$2:$F$309,"M")</f>
        <v/>
      </c>
      <c r="C10" s="2">
        <f>COUNTIFS(SessionLog!$B$2:$B$309,$A10,SessionLog!$E$2:$E$309,"SE_mysql.postes.Id",SessionLog!$F$2:$F$309,"P")</f>
        <v/>
      </c>
      <c r="D10" s="2">
        <f>COUNTIFS(SessionLog!$B$2:$B$309,$A10,SessionLog!$E$2:$E$309,"SE_mysql.postes.PostTypeId",SessionLog!$F$2:$F$309,"M")</f>
        <v/>
      </c>
      <c r="E10" s="2">
        <f>COUNTIFS(SessionLog!$B$2:$B$309,$A10,SessionLog!$E$2:$E$309,"SE_mysql.postes.PostTypeId",SessionLog!$F$2:$F$309,"P")</f>
        <v/>
      </c>
      <c r="F10" s="2">
        <f>COUNTIFS(SessionLog!$B$2:$B$309,$A10,SessionLog!$E$2:$E$309,"SE_mysql.postes.Title",SessionLog!$F$2:$F$309,"M")</f>
        <v/>
      </c>
      <c r="G10" s="2">
        <f>COUNTIFS(SessionLog!$B$2:$B$309,$A10,SessionLog!$E$2:$E$309,"SE_mysql.postes.Title",SessionLog!$F$2:$F$309,"P")</f>
        <v/>
      </c>
      <c r="H10" s="2">
        <f>COUNTIFS(SessionLog!$B$2:$B$309,$A10,SessionLog!$E$2:$E$309,"SE_mysql.postes.OwnerUserId",SessionLog!$F$2:$F$309,"M")</f>
        <v/>
      </c>
      <c r="I10" s="2">
        <f>COUNTIFS(SessionLog!$B$2:$B$309,$A10,SessionLog!$E$2:$E$309,"SE_mysql.postes.OwnerUserId",SessionLog!$F$2:$F$309,"P")</f>
        <v/>
      </c>
      <c r="J10" s="2">
        <f>COUNTIFS(SessionLog!$B$2:$B$309,$A10,SessionLog!$E$2:$E$309,"SE_mysql.postes.ViewCount",SessionLog!$F$2:$F$309,"M")</f>
        <v/>
      </c>
      <c r="K10" s="2">
        <f>COUNTIFS(SessionLog!$B$2:$B$309,$A10,SessionLog!$E$2:$E$309,"SE_mysql.postes.ViewCount",SessionLog!$F$2:$F$309,"P")</f>
        <v/>
      </c>
      <c r="L10" s="2">
        <f>COUNTIFS(SessionLog!$B$2:$B$309,$A10,SessionLog!$E$2:$E$309,"SE_mysql.postes.LastEditDate",SessionLog!$F$2:$F$309,"M")</f>
        <v/>
      </c>
      <c r="M10" s="2">
        <f>COUNTIFS(SessionLog!$B$2:$B$309,$A10,SessionLog!$E$2:$E$309,"SE_mysql.postes.LastEditDate",SessionLog!$F$2:$F$309,"P")</f>
        <v/>
      </c>
      <c r="N10" s="2">
        <f>COUNTIFS(SessionLog!$B$2:$B$309,$A10,SessionLog!$E$2:$E$309,"SE_mysql.postes.LastEditorUserId",SessionLog!$F$2:$F$309,"M")</f>
        <v/>
      </c>
      <c r="O10" s="2">
        <f>COUNTIFS(SessionLog!$B$2:$B$309,$A10,SessionLog!$E$2:$E$309,"SE_mysql.postes.LastEditorUserId",SessionLog!$F$2:$F$309,"P")</f>
        <v/>
      </c>
      <c r="P10" s="2">
        <f>COUNTIFS(SessionLog!$B$2:$B$309,$A10,SessionLog!$E$2:$E$309,"SE_mysql.postes.CreationDate",SessionLog!$F$2:$F$309,"M")</f>
        <v/>
      </c>
      <c r="Q10" s="2">
        <f>COUNTIFS(SessionLog!$B$2:$B$309,$A10,SessionLog!$E$2:$E$309,"SE_mysql.postes.CreationDate",SessionLog!$F$2:$F$309,"P")</f>
        <v/>
      </c>
      <c r="R10" s="2">
        <f>COUNTIFS(SessionLog!$B$2:$B$309,$A10,SessionLog!$E$2:$E$309,"SE_mysql.Posttypes.Id",SessionLog!$F$2:$F$309,"M")</f>
        <v/>
      </c>
      <c r="S10" s="2">
        <f>COUNTIFS(SessionLog!$B$2:$B$309,$A10,SessionLog!$E$2:$E$309,"SE_mysql.Posttypes.Id",SessionLog!$F$2:$F$309,"P")</f>
        <v/>
      </c>
      <c r="T10" s="2">
        <f>COUNTIFS(SessionLog!$B$2:$B$309,$A10,SessionLog!$E$2:$E$309,"SE_mysql.Posttypes.Name",SessionLog!$F$2:$F$309,"M")</f>
        <v/>
      </c>
      <c r="U10" s="2">
        <f>COUNTIFS(SessionLog!$B$2:$B$309,$A10,SessionLog!$E$2:$E$309,"SE_mysql.Posttypes.Name",SessionLog!$F$2:$F$309,"P")</f>
        <v/>
      </c>
      <c r="V10" s="2">
        <f>COUNTIFS(SessionLog!$B$2:$B$309,$A10,SessionLog!$E$2:$E$309,"SE_mysql.Users.Id",SessionLog!$F$2:$F$309,"M")</f>
        <v/>
      </c>
      <c r="W10" s="2">
        <f>COUNTIFS(SessionLog!$B$2:$B$309,$A10,SessionLog!$E$2:$E$309,"SE_mysql.Users.Id",SessionLog!$F$2:$F$309,"P")</f>
        <v/>
      </c>
      <c r="X10" s="2">
        <f>COUNTIFS(SessionLog!$B$2:$B$309,$A10,SessionLog!$E$2:$E$309,"SE_mysql.Users.Views",SessionLog!$F$2:$F$309,"M")</f>
        <v/>
      </c>
      <c r="Y10" s="2">
        <f>COUNTIFS(SessionLog!$B$2:$B$309,$A10,SessionLog!$E$2:$E$309,"SE_mysql.Users.Views",SessionLog!$F$2:$F$309,"P")</f>
        <v/>
      </c>
      <c r="Z10" s="2">
        <f>COUNTIFS(SessionLog!$B$2:$B$309,$A10,SessionLog!$E$2:$E$309,"SE_mysql.Users.UpVotes",SessionLog!$F$2:$F$309,"M")</f>
        <v/>
      </c>
      <c r="AA10" s="2">
        <f>COUNTIFS(SessionLog!$B$2:$B$309,$A10,SessionLog!$E$2:$E$309,"SE_mysql.Users.UpVotes",SessionLog!$F$2:$F$309,"P")</f>
        <v/>
      </c>
      <c r="AB10" s="2">
        <f>COUNTIFS(SessionLog!$B$2:$B$309,$A10,SessionLog!$E$2:$E$309,"SE_mysql.Users.DisplayName",SessionLog!$F$2:$F$309,"M")</f>
        <v/>
      </c>
      <c r="AC10" s="2">
        <f>COUNTIFS(SessionLog!$B$2:$B$309,$A10,SessionLog!$E$2:$E$309,"SE_mysql.Users.DisplayName",SessionLog!$F$2:$F$309,"P")</f>
        <v/>
      </c>
      <c r="AD10" s="2">
        <f>COUNTIFS(SessionLog!$B$2:$B$309,$A10,SessionLog!$E$2:$E$309,"SE_mysql.Users.DownVotes",SessionLog!$F$2:$F$309,"M")</f>
        <v/>
      </c>
      <c r="AE10" s="2">
        <f>COUNTIFS(SessionLog!$B$2:$B$309,$A10,SessionLog!$E$2:$E$309,"SE_mysql.Users.DownVotes",SessionLog!$F$2:$F$309,"P")</f>
        <v/>
      </c>
      <c r="AF10" s="2">
        <f>COUNTIFS(SessionLog!$B$2:$B$309,$A10,SessionLog!$E$2:$E$309,"SE_mysql.Users.LastAccessDate",SessionLog!$F$2:$F$309,"M")</f>
        <v/>
      </c>
      <c r="AG10" s="2">
        <f>COUNTIFS(SessionLog!$B$2:$B$309,$A10,SessionLog!$E$2:$E$309,"SE_mysql.Users.LastAccessDate",SessionLog!$F$2:$F$309,"P")</f>
        <v/>
      </c>
      <c r="AH10" s="2">
        <f>COUNTIFS(SessionLog!$B$2:$B$309,$A10,SessionLog!$E$2:$E$309,"SE_mysql.Users.Reputation",SessionLog!$F$2:$F$309,"M")</f>
        <v/>
      </c>
      <c r="AI10" s="2">
        <f>COUNTIFS(SessionLog!$B$2:$B$309,$A10,SessionLog!$E$2:$E$309,"SE_mysql.Users.Reputation",SessionLog!$F$2:$F$309,"P")</f>
        <v/>
      </c>
      <c r="AJ10" s="2">
        <f>COUNTIFS(SessionLog!$B$2:$B$309,$A10,SessionLog!$E$2:$E$309,"SE_mysql.Flagtypes.Id",SessionLog!$F$2:$F$309,"M")</f>
        <v/>
      </c>
      <c r="AK10" s="2">
        <f>COUNTIFS(SessionLog!$B$2:$B$309,$A10,SessionLog!$E$2:$E$309,"SE_mysql.Flagtypes.Id",SessionLog!$F$2:$F$309,"P")</f>
        <v/>
      </c>
      <c r="AL10" s="2">
        <f>COUNTIFS(SessionLog!$B$2:$B$309,$A10,SessionLog!$E$2:$E$309,"SE_mysql.Flagtypes.Name",SessionLog!$F$2:$F$309,"M")</f>
        <v/>
      </c>
      <c r="AM10" s="2">
        <f>COUNTIFS(SessionLog!$B$2:$B$309,$A10,SessionLog!$E$2:$E$309,"SE_mysql.Flagtypes.Name",SessionLog!$F$2:$F$309,"P")</f>
        <v/>
      </c>
      <c r="AN10" s="2">
        <f>COUNTIFS(SessionLog!$B$2:$B$309,$A10,SessionLog!$E$2:$E$309,"SE_mysql.Votes.Id",SessionLog!$F$2:$F$309,"M")</f>
        <v/>
      </c>
      <c r="AO10" s="2">
        <f>COUNTIFS(SessionLog!$B$2:$B$309,$A10,SessionLog!$E$2:$E$309,"SE_mysql.Votes.Id",SessionLog!$F$2:$F$309,"P")</f>
        <v/>
      </c>
      <c r="AP10" s="2">
        <f>COUNTIFS(SessionLog!$B$2:$B$309,$A10,SessionLog!$E$2:$E$309,"SE_mysql.Votes.UserId",SessionLog!$F$2:$F$309,"M")</f>
        <v/>
      </c>
      <c r="AQ10" s="2">
        <f>COUNTIFS(SessionLog!$B$2:$B$309,$A10,SessionLog!$E$2:$E$309,"SE_mysql.Votes.UserId",SessionLog!$F$2:$F$309,"P")</f>
        <v/>
      </c>
      <c r="AR10" s="2">
        <f>COUNTIFS(SessionLog!$B$2:$B$309,$A10,SessionLog!$E$2:$E$309,"SE_mysql.Votes.BountyAmount",SessionLog!$F$2:$F$309,"M")</f>
        <v/>
      </c>
      <c r="AS10" s="2">
        <f>COUNTIFS(SessionLog!$B$2:$B$309,$A10,SessionLog!$E$2:$E$309,"SE_mysql.Votes.BountyAmount",SessionLog!$F$2:$F$309,"P")</f>
        <v/>
      </c>
      <c r="AT10" s="2">
        <f>COUNTIFS(SessionLog!$B$2:$B$309,$A10,SessionLog!$E$2:$E$309,"SE_mysql.Votes.CreationDate",SessionLog!$F$2:$F$309,"M")</f>
        <v/>
      </c>
      <c r="AU10" s="2">
        <f>COUNTIFS(SessionLog!$B$2:$B$309,$A10,SessionLog!$E$2:$E$309,"SE_mysql.Votes.CreationDate",SessionLog!$F$2:$F$309,"P")</f>
        <v/>
      </c>
      <c r="AV10" s="2">
        <f>COUNTIFS(SessionLog!$B$2:$B$309,$A10,SessionLog!$E$2:$E$309,"SE_mysql.Votes.PostId",SessionLog!$F$2:$F$309,"M")</f>
        <v/>
      </c>
      <c r="AW10" s="2">
        <f>COUNTIFS(SessionLog!$B$2:$B$309,$A10,SessionLog!$E$2:$E$309,"SE_mysql.Votes.PostId",SessionLog!$F$2:$F$309,"P")</f>
        <v/>
      </c>
      <c r="AX10" s="2">
        <f>COUNTIFS(SessionLog!$B$2:$B$309,$A10,SessionLog!$E$2:$E$309,"SE_mysql.Votes.VoteTypeId",SessionLog!$F$2:$F$309,"M")</f>
        <v/>
      </c>
      <c r="AY10" s="2">
        <f>COUNTIFS(SessionLog!$B$2:$B$309,$A10,SessionLog!$E$2:$E$309,"SE_mysql.Votes.VoteTypeId",SessionLog!$F$2:$F$309,"P")</f>
        <v/>
      </c>
      <c r="AZ10" s="2">
        <f>COUNTIFS(SessionLog!$B$2:$B$309,$A10,SessionLog!$E$2:$E$309,"SE_mysql.Votetypes.Id",SessionLog!$F$2:$F$309,"M")</f>
        <v/>
      </c>
      <c r="BA10" s="2">
        <f>COUNTIFS(SessionLog!$B$2:$B$309,$A10,SessionLog!$E$2:$E$309,"SE_mysql.Votetypes.Id",SessionLog!$F$2:$F$309,"P")</f>
        <v/>
      </c>
      <c r="BB10" s="2">
        <f>COUNTIFS(SessionLog!$B$2:$B$309,$A10,SessionLog!$E$2:$E$309,"SE_mysql.Votetypes.Name",SessionLog!$F$2:$F$309,"M")</f>
        <v/>
      </c>
      <c r="BC10" s="2">
        <f>COUNTIFS(SessionLog!$B$2:$B$309,$A10,SessionLog!$E$2:$E$309,"SE_mysql.Votetypes.Name",SessionLog!$F$2:$F$309,"P")</f>
        <v/>
      </c>
      <c r="BD10" s="2">
        <f>COUNTIFS(SessionLog!$B$2:$B$309,$A10,SessionLog!$E$2:$E$309,"SE_mongodb.Badges.Id",SessionLog!$F$2:$F$309,"M")</f>
        <v/>
      </c>
      <c r="BE10" s="2">
        <f>COUNTIFS(SessionLog!$B$2:$B$309,$A10,SessionLog!$E$2:$E$309,"SE_mongodb.Badges.Id",SessionLog!$F$2:$F$309,"P")</f>
        <v/>
      </c>
      <c r="BF10" s="2">
        <f>COUNTIFS(SessionLog!$B$2:$B$309,$A10,SessionLog!$E$2:$E$309,"SE_mongodb.Badges.UserId",SessionLog!$F$2:$F$309,"M")</f>
        <v/>
      </c>
      <c r="BG10" s="2">
        <f>COUNTIFS(SessionLog!$B$2:$B$309,$A10,SessionLog!$E$2:$E$309,"SE_mongodb.Badges.UserId",SessionLog!$F$2:$F$309,"P")</f>
        <v/>
      </c>
      <c r="BH10" s="2">
        <f>COUNTIFS(SessionLog!$B$2:$B$309,$A10,SessionLog!$E$2:$E$309,"SE_mongodb.Badges.Name",SessionLog!$F$2:$F$309,"M")</f>
        <v/>
      </c>
      <c r="BI10" s="2">
        <f>COUNTIFS(SessionLog!$B$2:$B$309,$A10,SessionLog!$E$2:$E$309,"SE_mongodb.Badges.Name",SessionLog!$F$2:$F$309,"P")</f>
        <v/>
      </c>
      <c r="BJ10" s="2">
        <f>COUNTIFS(SessionLog!$B$2:$B$309,$A10,SessionLog!$E$2:$E$309,"SE_mongodb.Badges.Date",SessionLog!$F$2:$F$309,"M")</f>
        <v/>
      </c>
      <c r="BK10" s="2">
        <f>COUNTIFS(SessionLog!$B$2:$B$309,$A10,SessionLog!$E$2:$E$309,"SE_mongodb.Badges.Date",SessionLog!$F$2:$F$309,"P")</f>
        <v/>
      </c>
      <c r="BL10" s="2">
        <f>COUNTIFS(SessionLog!$B$2:$B$309,$A10,SessionLog!$E$2:$E$309,"SE_mongodb.Posts.Id",SessionLog!$F$2:$F$309,"M")</f>
        <v/>
      </c>
      <c r="BM10" s="2">
        <f>COUNTIFS(SessionLog!$B$2:$B$309,$A10,SessionLog!$E$2:$E$309,"SE_mongodb.Posts.Id",SessionLog!$F$2:$F$309,"P")</f>
        <v/>
      </c>
      <c r="BN10" s="2">
        <f>COUNTIFS(SessionLog!$B$2:$B$309,$A10,SessionLog!$E$2:$E$309,"SE_mongodb.Posts.Tags",SessionLog!$F$2:$F$309,"M")</f>
        <v/>
      </c>
      <c r="BO10" s="2">
        <f>COUNTIFS(SessionLog!$B$2:$B$309,$A10,SessionLog!$E$2:$E$309,"SE_mongodb.Posts.Tags",SessionLog!$F$2:$F$309,"P")</f>
        <v/>
      </c>
      <c r="BP10" s="2">
        <f>COUNTIFS(SessionLog!$B$2:$B$309,$A10,SessionLog!$E$2:$E$309,"SE_mongodb.Posts.Body",SessionLog!$F$2:$F$309,"M")</f>
        <v/>
      </c>
      <c r="BQ10" s="2">
        <f>COUNTIFS(SessionLog!$B$2:$B$309,$A10,SessionLog!$E$2:$E$309,"SE_mongodb.Posts.Body",SessionLog!$F$2:$F$309,"P")</f>
        <v/>
      </c>
      <c r="BR10" s="2">
        <f>COUNTIFS(SessionLog!$B$2:$B$309,$A10,SessionLog!$E$2:$E$309,"SE_mongodb.Users.Id",SessionLog!$F$2:$F$309,"M")</f>
        <v/>
      </c>
      <c r="BS10" s="2">
        <f>COUNTIFS(SessionLog!$B$2:$B$309,$A10,SessionLog!$E$2:$E$309,"SE_mongodb.Users.Id",SessionLog!$F$2:$F$309,"P")</f>
        <v/>
      </c>
      <c r="BT10" s="2">
        <f>COUNTIFS(SessionLog!$B$2:$B$309,$A10,SessionLog!$E$2:$E$309,"SE_mongodb.Users.DisplayName",SessionLog!$F$2:$F$309,"M")</f>
        <v/>
      </c>
      <c r="BU10" s="2">
        <f>COUNTIFS(SessionLog!$B$2:$B$309,$A10,SessionLog!$E$2:$E$309,"SE_mongodb.Users.DisplayName",SessionLog!$F$2:$F$309,"P")</f>
        <v/>
      </c>
      <c r="BV10" s="2">
        <f>COUNTIFS(SessionLog!$B$2:$B$309,$A10,SessionLog!$E$2:$E$309,"SE_mongodb.Users.AboutMe",SessionLog!$F$2:$F$309,"M")</f>
        <v/>
      </c>
      <c r="BW10" s="2">
        <f>COUNTIFS(SessionLog!$B$2:$B$309,$A10,SessionLog!$E$2:$E$309,"SE_mongodb.Users.AboutMe",SessionLog!$F$2:$F$309,"P")</f>
        <v/>
      </c>
      <c r="BX10" s="2">
        <f>COUNTIFS(SessionLog!$B$2:$B$309,$A10,SessionLog!$E$2:$E$309,"SE_mongodb.Comments.Id",SessionLog!$F$2:$F$309,"M")</f>
        <v/>
      </c>
      <c r="BY10" s="2">
        <f>COUNTIFS(SessionLog!$B$2:$B$309,$A10,SessionLog!$E$2:$E$309,"SE_mongodb.Comments.Id",SessionLog!$F$2:$F$309,"P")</f>
        <v/>
      </c>
      <c r="BZ10" s="2">
        <f>COUNTIFS(SessionLog!$B$2:$B$309,$A10,SessionLog!$E$2:$E$309,"SE_mongodb.Comments.UserId",SessionLog!$F$2:$F$309,"M")</f>
        <v/>
      </c>
      <c r="CA10" s="2">
        <f>COUNTIFS(SessionLog!$B$2:$B$309,$A10,SessionLog!$E$2:$E$309,"SE_mongodb.Comments.UserId",SessionLog!$F$2:$F$309,"P")</f>
        <v/>
      </c>
      <c r="CB10" s="2">
        <f>COUNTIFS(SessionLog!$B$2:$B$309,$A10,SessionLog!$E$2:$E$309,"SE_mongodb.Comments.Text",SessionLog!$F$2:$F$309,"M")</f>
        <v/>
      </c>
      <c r="CC10" s="2">
        <f>COUNTIFS(SessionLog!$B$2:$B$309,$A10,SessionLog!$E$2:$E$309,"SE_mongodb.Comments.Text",SessionLog!$F$2:$F$309,"P")</f>
        <v/>
      </c>
      <c r="CD10" s="2">
        <f>COUNTIFS(SessionLog!$B$2:$B$309,$A10,SessionLog!$E$2:$E$309,"SE_mongodb.Comments.PostId",SessionLog!$F$2:$F$309,"M")</f>
        <v/>
      </c>
      <c r="CE10" s="2">
        <f>COUNTIFS(SessionLog!$B$2:$B$309,$A10,SessionLog!$E$2:$E$309,"SE_mongodb.Comments.PostId",SessionLog!$F$2:$F$309,"P")</f>
        <v/>
      </c>
      <c r="CF10" s="2">
        <f>COUNTIFS(SessionLog!$B$2:$B$309,$A10,SessionLog!$E$2:$E$309,"SE_neo4j.postlinks.id",SessionLog!$F$2:$F$309,"M")</f>
        <v/>
      </c>
      <c r="CG10" s="2">
        <f>COUNTIFS(SessionLog!$B$2:$B$309,$A10,SessionLog!$E$2:$E$309,"SE_neo4j.postlinks.id",SessionLog!$F$2:$F$309,"P")</f>
        <v/>
      </c>
      <c r="CH10" s="2">
        <f>COUNTIFS(SessionLog!$B$2:$B$309,$A10,SessionLog!$E$2:$E$309,"SE_neo4j.postlinks.LinkTypeId",SessionLog!$F$2:$F$309,"M")</f>
        <v/>
      </c>
      <c r="CI10" s="2">
        <f>COUNTIFS(SessionLog!$B$2:$B$309,$A10,SessionLog!$E$2:$E$309,"SE_neo4j.postlinks.LinkTypeId",SessionLog!$F$2:$F$309,"P")</f>
        <v/>
      </c>
      <c r="CJ10" s="2">
        <f>COUNTIFS(SessionLog!$B$2:$B$309,$A10,SessionLog!$E$2:$E$309,"SE_neo4j.postlinks.RelatedPostId",SessionLog!$F$2:$F$309,"M")</f>
        <v/>
      </c>
      <c r="CK10" s="2">
        <f>COUNTIFS(SessionLog!$B$2:$B$309,$A10,SessionLog!$E$2:$E$309,"SE_neo4j.postlinks.RelatedPostId",SessionLog!$F$2:$F$309,"P")</f>
        <v/>
      </c>
      <c r="CL10" s="2">
        <f>COUNTIFS(SessionLog!$B$2:$B$309,$A10,SessionLog!$E$2:$E$309,"SE_neo4j.postlinks.PostIdd",SessionLog!$F$2:$F$309,"M")</f>
        <v/>
      </c>
      <c r="CM10" s="2">
        <f>COUNTIFS(SessionLog!$B$2:$B$309,$A10,SessionLog!$E$2:$E$309,"SE_neo4j.postlinks.PostIdd",SessionLog!$F$2:$F$309,"P")</f>
        <v/>
      </c>
      <c r="CN10" s="2">
        <f>COUNTIFS(SessionLog!$B$2:$B$309,$A10,SessionLog!$E$2:$E$309,"SE_neo4j.postlinks.CreationDate",SessionLog!$F$2:$F$309,"M")</f>
        <v/>
      </c>
      <c r="CO10" s="2">
        <f>COUNTIFS(SessionLog!$B$2:$B$309,$A10,SessionLog!$E$2:$E$309,"SE_neo4j.postlinks.CreationDate",SessionLog!$F$2:$F$309,"P")</f>
        <v/>
      </c>
      <c r="CP10" s="2">
        <f>COUNTIFS(SessionLog!$B$2:$B$309,$A10,SessionLog!$E$2:$E$309,"SE_neo4j.Posts.id",SessionLog!$F$2:$F$309,"M")</f>
        <v/>
      </c>
      <c r="CQ10" s="2">
        <f>COUNTIFS(SessionLog!$B$2:$B$309,$A10,SessionLog!$E$2:$E$309,"SE_neo4j.Posts.id",SessionLog!$F$2:$F$309,"P")</f>
        <v/>
      </c>
      <c r="CR10" s="2">
        <f>COUNTIFS(SessionLog!$B$2:$B$309,$A10,SessionLog!$E$2:$E$309,"SE_neo4j.Posts.posttypeid",SessionLog!$F$2:$F$309,"M")</f>
        <v/>
      </c>
      <c r="CS10" s="2">
        <f>COUNTIFS(SessionLog!$B$2:$B$309,$A10,SessionLog!$E$2:$E$309,"SE_neo4j.Posts.posttypeid",SessionLog!$F$2:$F$309,"P")</f>
        <v/>
      </c>
      <c r="CT10" s="2">
        <f>COUNTIFS(SessionLog!$B$2:$B$309,$A10,SessionLog!$E$2:$E$309,"SE_neo4j.Posts.parentid",SessionLog!$F$2:$F$309,"M")</f>
        <v/>
      </c>
      <c r="CU10" s="2">
        <f>COUNTIFS(SessionLog!$B$2:$B$309,$A10,SessionLog!$E$2:$E$309,"SE_neo4j.Posts.parentid",SessionLog!$F$2:$F$309,"P")</f>
        <v/>
      </c>
      <c r="CV10" s="2">
        <f>COUNTIFS(SessionLog!$B$2:$B$309,$A10,SessionLog!$E$2:$E$309,"SE_neo4j.Posts.owneruserid",SessionLog!$F$2:$F$309,"M")</f>
        <v/>
      </c>
      <c r="CW10" s="2">
        <f>COUNTIFS(SessionLog!$B$2:$B$309,$A10,SessionLog!$E$2:$E$309,"SE_neo4j.Posts.owneruserid",SessionLog!$F$2:$F$309,"P")</f>
        <v/>
      </c>
      <c r="CX10" s="2">
        <f>COUNTIFS(SessionLog!$B$2:$B$309,$A10,SessionLog!$E$2:$E$309,"SE_neo4j.Posts.acceptedanswerid",SessionLog!$F$2:$F$309,"M")</f>
        <v/>
      </c>
      <c r="CY10" s="2">
        <f>COUNTIFS(SessionLog!$B$2:$B$309,$A10,SessionLog!$E$2:$E$309,"SE_neo4j.Posts.acceptedanswerid",SessionLog!$F$2:$F$309,"P")</f>
        <v/>
      </c>
      <c r="CZ10" s="2">
        <f>COUNTIFS(SessionLog!$B$2:$B$309,$A10,SessionLog!$E$2:$E$309,"SE_neo4j.Comments.id",SessionLog!$F$2:$F$309,"M")</f>
        <v/>
      </c>
      <c r="DA10" s="2">
        <f>COUNTIFS(SessionLog!$B$2:$B$309,$A10,SessionLog!$E$2:$E$309,"SE_neo4j.Comments.id",SessionLog!$F$2:$F$309,"P")</f>
        <v/>
      </c>
      <c r="DB10" s="2">
        <f>COUNTIFS(SessionLog!$B$2:$B$309,$A10,SessionLog!$E$2:$E$309,"SE_neo4j.Comments.creationdate",SessionLog!$F$2:$F$309,"M")</f>
        <v/>
      </c>
      <c r="DC10" s="2">
        <f>COUNTIFS(SessionLog!$B$2:$B$309,$A10,SessionLog!$E$2:$E$309,"SE_neo4j.Comments.creationdate",SessionLog!$F$2:$F$309,"P")</f>
        <v/>
      </c>
      <c r="DD10" s="2">
        <f>COUNTIFS(SessionLog!$B$2:$B$309,$A10,SessionLog!$E$2:$E$309,"SE_neo4j.Comments.score",SessionLog!$F$2:$F$309,"M")</f>
        <v/>
      </c>
      <c r="DE10" s="2">
        <f>COUNTIFS(SessionLog!$B$2:$B$309,$A10,SessionLog!$E$2:$E$309,"SE_neo4j.Comments.score",SessionLog!$F$2:$F$309,"P")</f>
        <v/>
      </c>
      <c r="DF10" s="2">
        <f>COUNTIFS(SessionLog!$B$2:$B$309,$A10,SessionLog!$E$2:$E$309,"SE_neo4j.Users.id",SessionLog!$F$2:$F$309,"M")</f>
        <v/>
      </c>
      <c r="DG10" s="2">
        <f>COUNTIFS(SessionLog!$B$2:$B$309,$A10,SessionLog!$E$2:$E$309,"SE_neo4j.Users.id",SessionLog!$F$2:$F$309,"P")</f>
        <v/>
      </c>
      <c r="DH10" s="2">
        <f>COUNTIFS(SessionLog!$B$2:$B$309,$A10,SessionLog!$E$2:$E$309,"SE_neo4j.Users.accountid",SessionLog!$F$2:$F$309,"M")</f>
        <v/>
      </c>
      <c r="DI10" s="2">
        <f>COUNTIFS(SessionLog!$B$2:$B$309,$A10,SessionLog!$E$2:$E$309,"SE_neo4j.Users.accountid",SessionLog!$F$2:$F$309,"P")</f>
        <v/>
      </c>
      <c r="DJ10" s="2">
        <f>COUNTIFS(SessionLog!$B$2:$B$309,$A10,SessionLog!$E$2:$E$309,"SE_neo4j.Users.displayname",SessionLog!$F$2:$F$309,"M")</f>
        <v/>
      </c>
      <c r="DK10" s="2">
        <f>COUNTIFS(SessionLog!$B$2:$B$309,$A10,SessionLog!$E$2:$E$309,"SE_neo4j.Users.displayname",SessionLog!$F$2:$F$309,"P")</f>
        <v/>
      </c>
      <c r="DL10" s="2">
        <f>COUNTIFS(SessionLog!$B$2:$B$309,$A10,SessionLog!$E$2:$E$309,"SE_neo4j.Users.creationdate",SessionLog!$F$2:$F$309,"M")</f>
        <v/>
      </c>
      <c r="DM10" s="2">
        <f>COUNTIFS(SessionLog!$B$2:$B$309,$A10,SessionLog!$E$2:$E$309,"SE_neo4j.Users.creationdate",SessionLog!$F$2:$F$309,"P")</f>
        <v/>
      </c>
      <c r="DN10" s="2">
        <f>COUNTIFS(SessionLog!$B$2:$B$309,$A10,SessionLog!$E$2:$E$309,"SE_neo4j.Tags.id",SessionLog!$F$2:$F$309,"M")</f>
        <v/>
      </c>
      <c r="DO10" s="2">
        <f>COUNTIFS(SessionLog!$B$2:$B$309,$A10,SessionLog!$E$2:$E$309,"SE_neo4j.Tags.id",SessionLog!$F$2:$F$309,"P")</f>
        <v/>
      </c>
      <c r="DP10" s="2">
        <f>COUNTIFS(SessionLog!$B$2:$B$309,$A10,SessionLog!$E$2:$E$309,"SE_neo4j.Tags.count",SessionLog!$F$2:$F$309,"M")</f>
        <v/>
      </c>
      <c r="DQ10" s="2">
        <f>COUNTIFS(SessionLog!$B$2:$B$309,$A10,SessionLog!$E$2:$E$309,"SE_neo4j.Tags.count",SessionLog!$F$2:$F$309,"P")</f>
        <v/>
      </c>
      <c r="DR10" s="2">
        <f>COUNTIFS(SessionLog!$B$2:$B$309,$A10,SessionLog!$E$2:$E$309,"SE_neo4j.Tags.wikipostid",SessionLog!$F$2:$F$309,"M")</f>
        <v/>
      </c>
      <c r="DS10" s="2">
        <f>COUNTIFS(SessionLog!$B$2:$B$309,$A10,SessionLog!$E$2:$E$309,"SE_neo4j.Tags.wikipostid",SessionLog!$F$2:$F$309,"P")</f>
        <v/>
      </c>
      <c r="DT10" s="2">
        <f>COUNTIFS(SessionLog!$B$2:$B$309,$A10,SessionLog!$E$2:$E$309,"SE_neo4j.Tags.tagname",SessionLog!$F$2:$F$309,"M")</f>
        <v/>
      </c>
      <c r="DU10" s="2">
        <f>COUNTIFS(SessionLog!$B$2:$B$309,$A10,SessionLog!$E$2:$E$309,"SE_neo4j.Tags.tagname",SessionLog!$F$2:$F$309,"P")</f>
        <v/>
      </c>
      <c r="DV10" s="2">
        <f>COUNTIFS(SessionLog!$B$2:$B$309,$A10,SessionLog!$E$2:$E$309,"SE_neo4j.Tags.excerptpostid",SessionLog!$F$2:$F$309,"M")</f>
        <v/>
      </c>
      <c r="DW10" s="2">
        <f>COUNTIFS(SessionLog!$B$2:$B$309,$A10,SessionLog!$E$2:$E$309,"SE_neo4j.Tags.excerptpostid",SessionLog!$F$2:$F$309,"P")</f>
        <v/>
      </c>
    </row>
    <row r="11">
      <c r="A11" s="2" t="inlineStr">
        <is>
          <t>D1</t>
        </is>
      </c>
      <c r="B11" s="2">
        <f>COUNTIFS(SessionLog!$B$2:$B$309,$A11,SessionLog!$E$2:$E$309,"SE_mysql.postes.Id",SessionLog!$F$2:$F$309,"M")</f>
        <v/>
      </c>
      <c r="C11" s="2">
        <f>COUNTIFS(SessionLog!$B$2:$B$309,$A11,SessionLog!$E$2:$E$309,"SE_mysql.postes.Id",SessionLog!$F$2:$F$309,"P")</f>
        <v/>
      </c>
      <c r="D11" s="2">
        <f>COUNTIFS(SessionLog!$B$2:$B$309,$A11,SessionLog!$E$2:$E$309,"SE_mysql.postes.PostTypeId",SessionLog!$F$2:$F$309,"M")</f>
        <v/>
      </c>
      <c r="E11" s="2">
        <f>COUNTIFS(SessionLog!$B$2:$B$309,$A11,SessionLog!$E$2:$E$309,"SE_mysql.postes.PostTypeId",SessionLog!$F$2:$F$309,"P")</f>
        <v/>
      </c>
      <c r="F11" s="2">
        <f>COUNTIFS(SessionLog!$B$2:$B$309,$A11,SessionLog!$E$2:$E$309,"SE_mysql.postes.Title",SessionLog!$F$2:$F$309,"M")</f>
        <v/>
      </c>
      <c r="G11" s="2">
        <f>COUNTIFS(SessionLog!$B$2:$B$309,$A11,SessionLog!$E$2:$E$309,"SE_mysql.postes.Title",SessionLog!$F$2:$F$309,"P")</f>
        <v/>
      </c>
      <c r="H11" s="2">
        <f>COUNTIFS(SessionLog!$B$2:$B$309,$A11,SessionLog!$E$2:$E$309,"SE_mysql.postes.OwnerUserId",SessionLog!$F$2:$F$309,"M")</f>
        <v/>
      </c>
      <c r="I11" s="2">
        <f>COUNTIFS(SessionLog!$B$2:$B$309,$A11,SessionLog!$E$2:$E$309,"SE_mysql.postes.OwnerUserId",SessionLog!$F$2:$F$309,"P")</f>
        <v/>
      </c>
      <c r="J11" s="2">
        <f>COUNTIFS(SessionLog!$B$2:$B$309,$A11,SessionLog!$E$2:$E$309,"SE_mysql.postes.ViewCount",SessionLog!$F$2:$F$309,"M")</f>
        <v/>
      </c>
      <c r="K11" s="2">
        <f>COUNTIFS(SessionLog!$B$2:$B$309,$A11,SessionLog!$E$2:$E$309,"SE_mysql.postes.ViewCount",SessionLog!$F$2:$F$309,"P")</f>
        <v/>
      </c>
      <c r="L11" s="2">
        <f>COUNTIFS(SessionLog!$B$2:$B$309,$A11,SessionLog!$E$2:$E$309,"SE_mysql.postes.LastEditDate",SessionLog!$F$2:$F$309,"M")</f>
        <v/>
      </c>
      <c r="M11" s="2">
        <f>COUNTIFS(SessionLog!$B$2:$B$309,$A11,SessionLog!$E$2:$E$309,"SE_mysql.postes.LastEditDate",SessionLog!$F$2:$F$309,"P")</f>
        <v/>
      </c>
      <c r="N11" s="2">
        <f>COUNTIFS(SessionLog!$B$2:$B$309,$A11,SessionLog!$E$2:$E$309,"SE_mysql.postes.LastEditorUserId",SessionLog!$F$2:$F$309,"M")</f>
        <v/>
      </c>
      <c r="O11" s="2">
        <f>COUNTIFS(SessionLog!$B$2:$B$309,$A11,SessionLog!$E$2:$E$309,"SE_mysql.postes.LastEditorUserId",SessionLog!$F$2:$F$309,"P")</f>
        <v/>
      </c>
      <c r="P11" s="2">
        <f>COUNTIFS(SessionLog!$B$2:$B$309,$A11,SessionLog!$E$2:$E$309,"SE_mysql.postes.CreationDate",SessionLog!$F$2:$F$309,"M")</f>
        <v/>
      </c>
      <c r="Q11" s="2">
        <f>COUNTIFS(SessionLog!$B$2:$B$309,$A11,SessionLog!$E$2:$E$309,"SE_mysql.postes.CreationDate",SessionLog!$F$2:$F$309,"P")</f>
        <v/>
      </c>
      <c r="R11" s="2">
        <f>COUNTIFS(SessionLog!$B$2:$B$309,$A11,SessionLog!$E$2:$E$309,"SE_mysql.Posttypes.Id",SessionLog!$F$2:$F$309,"M")</f>
        <v/>
      </c>
      <c r="S11" s="2">
        <f>COUNTIFS(SessionLog!$B$2:$B$309,$A11,SessionLog!$E$2:$E$309,"SE_mysql.Posttypes.Id",SessionLog!$F$2:$F$309,"P")</f>
        <v/>
      </c>
      <c r="T11" s="2">
        <f>COUNTIFS(SessionLog!$B$2:$B$309,$A11,SessionLog!$E$2:$E$309,"SE_mysql.Posttypes.Name",SessionLog!$F$2:$F$309,"M")</f>
        <v/>
      </c>
      <c r="U11" s="2">
        <f>COUNTIFS(SessionLog!$B$2:$B$309,$A11,SessionLog!$E$2:$E$309,"SE_mysql.Posttypes.Name",SessionLog!$F$2:$F$309,"P")</f>
        <v/>
      </c>
      <c r="V11" s="2">
        <f>COUNTIFS(SessionLog!$B$2:$B$309,$A11,SessionLog!$E$2:$E$309,"SE_mysql.Users.Id",SessionLog!$F$2:$F$309,"M")</f>
        <v/>
      </c>
      <c r="W11" s="2">
        <f>COUNTIFS(SessionLog!$B$2:$B$309,$A11,SessionLog!$E$2:$E$309,"SE_mysql.Users.Id",SessionLog!$F$2:$F$309,"P")</f>
        <v/>
      </c>
      <c r="X11" s="2">
        <f>COUNTIFS(SessionLog!$B$2:$B$309,$A11,SessionLog!$E$2:$E$309,"SE_mysql.Users.Views",SessionLog!$F$2:$F$309,"M")</f>
        <v/>
      </c>
      <c r="Y11" s="2">
        <f>COUNTIFS(SessionLog!$B$2:$B$309,$A11,SessionLog!$E$2:$E$309,"SE_mysql.Users.Views",SessionLog!$F$2:$F$309,"P")</f>
        <v/>
      </c>
      <c r="Z11" s="2">
        <f>COUNTIFS(SessionLog!$B$2:$B$309,$A11,SessionLog!$E$2:$E$309,"SE_mysql.Users.UpVotes",SessionLog!$F$2:$F$309,"M")</f>
        <v/>
      </c>
      <c r="AA11" s="2">
        <f>COUNTIFS(SessionLog!$B$2:$B$309,$A11,SessionLog!$E$2:$E$309,"SE_mysql.Users.UpVotes",SessionLog!$F$2:$F$309,"P")</f>
        <v/>
      </c>
      <c r="AB11" s="2">
        <f>COUNTIFS(SessionLog!$B$2:$B$309,$A11,SessionLog!$E$2:$E$309,"SE_mysql.Users.DisplayName",SessionLog!$F$2:$F$309,"M")</f>
        <v/>
      </c>
      <c r="AC11" s="2">
        <f>COUNTIFS(SessionLog!$B$2:$B$309,$A11,SessionLog!$E$2:$E$309,"SE_mysql.Users.DisplayName",SessionLog!$F$2:$F$309,"P")</f>
        <v/>
      </c>
      <c r="AD11" s="2">
        <f>COUNTIFS(SessionLog!$B$2:$B$309,$A11,SessionLog!$E$2:$E$309,"SE_mysql.Users.DownVotes",SessionLog!$F$2:$F$309,"M")</f>
        <v/>
      </c>
      <c r="AE11" s="2">
        <f>COUNTIFS(SessionLog!$B$2:$B$309,$A11,SessionLog!$E$2:$E$309,"SE_mysql.Users.DownVotes",SessionLog!$F$2:$F$309,"P")</f>
        <v/>
      </c>
      <c r="AF11" s="2">
        <f>COUNTIFS(SessionLog!$B$2:$B$309,$A11,SessionLog!$E$2:$E$309,"SE_mysql.Users.LastAccessDate",SessionLog!$F$2:$F$309,"M")</f>
        <v/>
      </c>
      <c r="AG11" s="2">
        <f>COUNTIFS(SessionLog!$B$2:$B$309,$A11,SessionLog!$E$2:$E$309,"SE_mysql.Users.LastAccessDate",SessionLog!$F$2:$F$309,"P")</f>
        <v/>
      </c>
      <c r="AH11" s="2">
        <f>COUNTIFS(SessionLog!$B$2:$B$309,$A11,SessionLog!$E$2:$E$309,"SE_mysql.Users.Reputation",SessionLog!$F$2:$F$309,"M")</f>
        <v/>
      </c>
      <c r="AI11" s="2">
        <f>COUNTIFS(SessionLog!$B$2:$B$309,$A11,SessionLog!$E$2:$E$309,"SE_mysql.Users.Reputation",SessionLog!$F$2:$F$309,"P")</f>
        <v/>
      </c>
      <c r="AJ11" s="2">
        <f>COUNTIFS(SessionLog!$B$2:$B$309,$A11,SessionLog!$E$2:$E$309,"SE_mysql.Flagtypes.Id",SessionLog!$F$2:$F$309,"M")</f>
        <v/>
      </c>
      <c r="AK11" s="2">
        <f>COUNTIFS(SessionLog!$B$2:$B$309,$A11,SessionLog!$E$2:$E$309,"SE_mysql.Flagtypes.Id",SessionLog!$F$2:$F$309,"P")</f>
        <v/>
      </c>
      <c r="AL11" s="2">
        <f>COUNTIFS(SessionLog!$B$2:$B$309,$A11,SessionLog!$E$2:$E$309,"SE_mysql.Flagtypes.Name",SessionLog!$F$2:$F$309,"M")</f>
        <v/>
      </c>
      <c r="AM11" s="2">
        <f>COUNTIFS(SessionLog!$B$2:$B$309,$A11,SessionLog!$E$2:$E$309,"SE_mysql.Flagtypes.Name",SessionLog!$F$2:$F$309,"P")</f>
        <v/>
      </c>
      <c r="AN11" s="2">
        <f>COUNTIFS(SessionLog!$B$2:$B$309,$A11,SessionLog!$E$2:$E$309,"SE_mysql.Votes.Id",SessionLog!$F$2:$F$309,"M")</f>
        <v/>
      </c>
      <c r="AO11" s="2">
        <f>COUNTIFS(SessionLog!$B$2:$B$309,$A11,SessionLog!$E$2:$E$309,"SE_mysql.Votes.Id",SessionLog!$F$2:$F$309,"P")</f>
        <v/>
      </c>
      <c r="AP11" s="2">
        <f>COUNTIFS(SessionLog!$B$2:$B$309,$A11,SessionLog!$E$2:$E$309,"SE_mysql.Votes.UserId",SessionLog!$F$2:$F$309,"M")</f>
        <v/>
      </c>
      <c r="AQ11" s="2">
        <f>COUNTIFS(SessionLog!$B$2:$B$309,$A11,SessionLog!$E$2:$E$309,"SE_mysql.Votes.UserId",SessionLog!$F$2:$F$309,"P")</f>
        <v/>
      </c>
      <c r="AR11" s="2">
        <f>COUNTIFS(SessionLog!$B$2:$B$309,$A11,SessionLog!$E$2:$E$309,"SE_mysql.Votes.BountyAmount",SessionLog!$F$2:$F$309,"M")</f>
        <v/>
      </c>
      <c r="AS11" s="2">
        <f>COUNTIFS(SessionLog!$B$2:$B$309,$A11,SessionLog!$E$2:$E$309,"SE_mysql.Votes.BountyAmount",SessionLog!$F$2:$F$309,"P")</f>
        <v/>
      </c>
      <c r="AT11" s="2">
        <f>COUNTIFS(SessionLog!$B$2:$B$309,$A11,SessionLog!$E$2:$E$309,"SE_mysql.Votes.CreationDate",SessionLog!$F$2:$F$309,"M")</f>
        <v/>
      </c>
      <c r="AU11" s="2">
        <f>COUNTIFS(SessionLog!$B$2:$B$309,$A11,SessionLog!$E$2:$E$309,"SE_mysql.Votes.CreationDate",SessionLog!$F$2:$F$309,"P")</f>
        <v/>
      </c>
      <c r="AV11" s="2">
        <f>COUNTIFS(SessionLog!$B$2:$B$309,$A11,SessionLog!$E$2:$E$309,"SE_mysql.Votes.PostId",SessionLog!$F$2:$F$309,"M")</f>
        <v/>
      </c>
      <c r="AW11" s="2">
        <f>COUNTIFS(SessionLog!$B$2:$B$309,$A11,SessionLog!$E$2:$E$309,"SE_mysql.Votes.PostId",SessionLog!$F$2:$F$309,"P")</f>
        <v/>
      </c>
      <c r="AX11" s="2">
        <f>COUNTIFS(SessionLog!$B$2:$B$309,$A11,SessionLog!$E$2:$E$309,"SE_mysql.Votes.VoteTypeId",SessionLog!$F$2:$F$309,"M")</f>
        <v/>
      </c>
      <c r="AY11" s="2">
        <f>COUNTIFS(SessionLog!$B$2:$B$309,$A11,SessionLog!$E$2:$E$309,"SE_mysql.Votes.VoteTypeId",SessionLog!$F$2:$F$309,"P")</f>
        <v/>
      </c>
      <c r="AZ11" s="2">
        <f>COUNTIFS(SessionLog!$B$2:$B$309,$A11,SessionLog!$E$2:$E$309,"SE_mysql.Votetypes.Id",SessionLog!$F$2:$F$309,"M")</f>
        <v/>
      </c>
      <c r="BA11" s="2">
        <f>COUNTIFS(SessionLog!$B$2:$B$309,$A11,SessionLog!$E$2:$E$309,"SE_mysql.Votetypes.Id",SessionLog!$F$2:$F$309,"P")</f>
        <v/>
      </c>
      <c r="BB11" s="2">
        <f>COUNTIFS(SessionLog!$B$2:$B$309,$A11,SessionLog!$E$2:$E$309,"SE_mysql.Votetypes.Name",SessionLog!$F$2:$F$309,"M")</f>
        <v/>
      </c>
      <c r="BC11" s="2">
        <f>COUNTIFS(SessionLog!$B$2:$B$309,$A11,SessionLog!$E$2:$E$309,"SE_mysql.Votetypes.Name",SessionLog!$F$2:$F$309,"P")</f>
        <v/>
      </c>
      <c r="BD11" s="2">
        <f>COUNTIFS(SessionLog!$B$2:$B$309,$A11,SessionLog!$E$2:$E$309,"SE_mongodb.Badges.Id",SessionLog!$F$2:$F$309,"M")</f>
        <v/>
      </c>
      <c r="BE11" s="2">
        <f>COUNTIFS(SessionLog!$B$2:$B$309,$A11,SessionLog!$E$2:$E$309,"SE_mongodb.Badges.Id",SessionLog!$F$2:$F$309,"P")</f>
        <v/>
      </c>
      <c r="BF11" s="2">
        <f>COUNTIFS(SessionLog!$B$2:$B$309,$A11,SessionLog!$E$2:$E$309,"SE_mongodb.Badges.UserId",SessionLog!$F$2:$F$309,"M")</f>
        <v/>
      </c>
      <c r="BG11" s="2">
        <f>COUNTIFS(SessionLog!$B$2:$B$309,$A11,SessionLog!$E$2:$E$309,"SE_mongodb.Badges.UserId",SessionLog!$F$2:$F$309,"P")</f>
        <v/>
      </c>
      <c r="BH11" s="2">
        <f>COUNTIFS(SessionLog!$B$2:$B$309,$A11,SessionLog!$E$2:$E$309,"SE_mongodb.Badges.Name",SessionLog!$F$2:$F$309,"M")</f>
        <v/>
      </c>
      <c r="BI11" s="2">
        <f>COUNTIFS(SessionLog!$B$2:$B$309,$A11,SessionLog!$E$2:$E$309,"SE_mongodb.Badges.Name",SessionLog!$F$2:$F$309,"P")</f>
        <v/>
      </c>
      <c r="BJ11" s="2">
        <f>COUNTIFS(SessionLog!$B$2:$B$309,$A11,SessionLog!$E$2:$E$309,"SE_mongodb.Badges.Date",SessionLog!$F$2:$F$309,"M")</f>
        <v/>
      </c>
      <c r="BK11" s="2">
        <f>COUNTIFS(SessionLog!$B$2:$B$309,$A11,SessionLog!$E$2:$E$309,"SE_mongodb.Badges.Date",SessionLog!$F$2:$F$309,"P")</f>
        <v/>
      </c>
      <c r="BL11" s="2">
        <f>COUNTIFS(SessionLog!$B$2:$B$309,$A11,SessionLog!$E$2:$E$309,"SE_mongodb.Posts.Id",SessionLog!$F$2:$F$309,"M")</f>
        <v/>
      </c>
      <c r="BM11" s="2">
        <f>COUNTIFS(SessionLog!$B$2:$B$309,$A11,SessionLog!$E$2:$E$309,"SE_mongodb.Posts.Id",SessionLog!$F$2:$F$309,"P")</f>
        <v/>
      </c>
      <c r="BN11" s="2">
        <f>COUNTIFS(SessionLog!$B$2:$B$309,$A11,SessionLog!$E$2:$E$309,"SE_mongodb.Posts.Tags",SessionLog!$F$2:$F$309,"M")</f>
        <v/>
      </c>
      <c r="BO11" s="2">
        <f>COUNTIFS(SessionLog!$B$2:$B$309,$A11,SessionLog!$E$2:$E$309,"SE_mongodb.Posts.Tags",SessionLog!$F$2:$F$309,"P")</f>
        <v/>
      </c>
      <c r="BP11" s="2">
        <f>COUNTIFS(SessionLog!$B$2:$B$309,$A11,SessionLog!$E$2:$E$309,"SE_mongodb.Posts.Body",SessionLog!$F$2:$F$309,"M")</f>
        <v/>
      </c>
      <c r="BQ11" s="2">
        <f>COUNTIFS(SessionLog!$B$2:$B$309,$A11,SessionLog!$E$2:$E$309,"SE_mongodb.Posts.Body",SessionLog!$F$2:$F$309,"P")</f>
        <v/>
      </c>
      <c r="BR11" s="2">
        <f>COUNTIFS(SessionLog!$B$2:$B$309,$A11,SessionLog!$E$2:$E$309,"SE_mongodb.Users.Id",SessionLog!$F$2:$F$309,"M")</f>
        <v/>
      </c>
      <c r="BS11" s="2">
        <f>COUNTIFS(SessionLog!$B$2:$B$309,$A11,SessionLog!$E$2:$E$309,"SE_mongodb.Users.Id",SessionLog!$F$2:$F$309,"P")</f>
        <v/>
      </c>
      <c r="BT11" s="2">
        <f>COUNTIFS(SessionLog!$B$2:$B$309,$A11,SessionLog!$E$2:$E$309,"SE_mongodb.Users.DisplayName",SessionLog!$F$2:$F$309,"M")</f>
        <v/>
      </c>
      <c r="BU11" s="2">
        <f>COUNTIFS(SessionLog!$B$2:$B$309,$A11,SessionLog!$E$2:$E$309,"SE_mongodb.Users.DisplayName",SessionLog!$F$2:$F$309,"P")</f>
        <v/>
      </c>
      <c r="BV11" s="2">
        <f>COUNTIFS(SessionLog!$B$2:$B$309,$A11,SessionLog!$E$2:$E$309,"SE_mongodb.Users.AboutMe",SessionLog!$F$2:$F$309,"M")</f>
        <v/>
      </c>
      <c r="BW11" s="2">
        <f>COUNTIFS(SessionLog!$B$2:$B$309,$A11,SessionLog!$E$2:$E$309,"SE_mongodb.Users.AboutMe",SessionLog!$F$2:$F$309,"P")</f>
        <v/>
      </c>
      <c r="BX11" s="2">
        <f>COUNTIFS(SessionLog!$B$2:$B$309,$A11,SessionLog!$E$2:$E$309,"SE_mongodb.Comments.Id",SessionLog!$F$2:$F$309,"M")</f>
        <v/>
      </c>
      <c r="BY11" s="2">
        <f>COUNTIFS(SessionLog!$B$2:$B$309,$A11,SessionLog!$E$2:$E$309,"SE_mongodb.Comments.Id",SessionLog!$F$2:$F$309,"P")</f>
        <v/>
      </c>
      <c r="BZ11" s="2">
        <f>COUNTIFS(SessionLog!$B$2:$B$309,$A11,SessionLog!$E$2:$E$309,"SE_mongodb.Comments.UserId",SessionLog!$F$2:$F$309,"M")</f>
        <v/>
      </c>
      <c r="CA11" s="2">
        <f>COUNTIFS(SessionLog!$B$2:$B$309,$A11,SessionLog!$E$2:$E$309,"SE_mongodb.Comments.UserId",SessionLog!$F$2:$F$309,"P")</f>
        <v/>
      </c>
      <c r="CB11" s="2">
        <f>COUNTIFS(SessionLog!$B$2:$B$309,$A11,SessionLog!$E$2:$E$309,"SE_mongodb.Comments.Text",SessionLog!$F$2:$F$309,"M")</f>
        <v/>
      </c>
      <c r="CC11" s="2">
        <f>COUNTIFS(SessionLog!$B$2:$B$309,$A11,SessionLog!$E$2:$E$309,"SE_mongodb.Comments.Text",SessionLog!$F$2:$F$309,"P")</f>
        <v/>
      </c>
      <c r="CD11" s="2">
        <f>COUNTIFS(SessionLog!$B$2:$B$309,$A11,SessionLog!$E$2:$E$309,"SE_mongodb.Comments.PostId",SessionLog!$F$2:$F$309,"M")</f>
        <v/>
      </c>
      <c r="CE11" s="2">
        <f>COUNTIFS(SessionLog!$B$2:$B$309,$A11,SessionLog!$E$2:$E$309,"SE_mongodb.Comments.PostId",SessionLog!$F$2:$F$309,"P")</f>
        <v/>
      </c>
      <c r="CF11" s="2">
        <f>COUNTIFS(SessionLog!$B$2:$B$309,$A11,SessionLog!$E$2:$E$309,"SE_neo4j.postlinks.id",SessionLog!$F$2:$F$309,"M")</f>
        <v/>
      </c>
      <c r="CG11" s="2">
        <f>COUNTIFS(SessionLog!$B$2:$B$309,$A11,SessionLog!$E$2:$E$309,"SE_neo4j.postlinks.id",SessionLog!$F$2:$F$309,"P")</f>
        <v/>
      </c>
      <c r="CH11" s="2">
        <f>COUNTIFS(SessionLog!$B$2:$B$309,$A11,SessionLog!$E$2:$E$309,"SE_neo4j.postlinks.LinkTypeId",SessionLog!$F$2:$F$309,"M")</f>
        <v/>
      </c>
      <c r="CI11" s="2">
        <f>COUNTIFS(SessionLog!$B$2:$B$309,$A11,SessionLog!$E$2:$E$309,"SE_neo4j.postlinks.LinkTypeId",SessionLog!$F$2:$F$309,"P")</f>
        <v/>
      </c>
      <c r="CJ11" s="2">
        <f>COUNTIFS(SessionLog!$B$2:$B$309,$A11,SessionLog!$E$2:$E$309,"SE_neo4j.postlinks.RelatedPostId",SessionLog!$F$2:$F$309,"M")</f>
        <v/>
      </c>
      <c r="CK11" s="2">
        <f>COUNTIFS(SessionLog!$B$2:$B$309,$A11,SessionLog!$E$2:$E$309,"SE_neo4j.postlinks.RelatedPostId",SessionLog!$F$2:$F$309,"P")</f>
        <v/>
      </c>
      <c r="CL11" s="2">
        <f>COUNTIFS(SessionLog!$B$2:$B$309,$A11,SessionLog!$E$2:$E$309,"SE_neo4j.postlinks.PostIdd",SessionLog!$F$2:$F$309,"M")</f>
        <v/>
      </c>
      <c r="CM11" s="2">
        <f>COUNTIFS(SessionLog!$B$2:$B$309,$A11,SessionLog!$E$2:$E$309,"SE_neo4j.postlinks.PostIdd",SessionLog!$F$2:$F$309,"P")</f>
        <v/>
      </c>
      <c r="CN11" s="2">
        <f>COUNTIFS(SessionLog!$B$2:$B$309,$A11,SessionLog!$E$2:$E$309,"SE_neo4j.postlinks.CreationDate",SessionLog!$F$2:$F$309,"M")</f>
        <v/>
      </c>
      <c r="CO11" s="2">
        <f>COUNTIFS(SessionLog!$B$2:$B$309,$A11,SessionLog!$E$2:$E$309,"SE_neo4j.postlinks.CreationDate",SessionLog!$F$2:$F$309,"P")</f>
        <v/>
      </c>
      <c r="CP11" s="2">
        <f>COUNTIFS(SessionLog!$B$2:$B$309,$A11,SessionLog!$E$2:$E$309,"SE_neo4j.Posts.id",SessionLog!$F$2:$F$309,"M")</f>
        <v/>
      </c>
      <c r="CQ11" s="2">
        <f>COUNTIFS(SessionLog!$B$2:$B$309,$A11,SessionLog!$E$2:$E$309,"SE_neo4j.Posts.id",SessionLog!$F$2:$F$309,"P")</f>
        <v/>
      </c>
      <c r="CR11" s="2">
        <f>COUNTIFS(SessionLog!$B$2:$B$309,$A11,SessionLog!$E$2:$E$309,"SE_neo4j.Posts.posttypeid",SessionLog!$F$2:$F$309,"M")</f>
        <v/>
      </c>
      <c r="CS11" s="2">
        <f>COUNTIFS(SessionLog!$B$2:$B$309,$A11,SessionLog!$E$2:$E$309,"SE_neo4j.Posts.posttypeid",SessionLog!$F$2:$F$309,"P")</f>
        <v/>
      </c>
      <c r="CT11" s="2">
        <f>COUNTIFS(SessionLog!$B$2:$B$309,$A11,SessionLog!$E$2:$E$309,"SE_neo4j.Posts.parentid",SessionLog!$F$2:$F$309,"M")</f>
        <v/>
      </c>
      <c r="CU11" s="2">
        <f>COUNTIFS(SessionLog!$B$2:$B$309,$A11,SessionLog!$E$2:$E$309,"SE_neo4j.Posts.parentid",SessionLog!$F$2:$F$309,"P")</f>
        <v/>
      </c>
      <c r="CV11" s="2">
        <f>COUNTIFS(SessionLog!$B$2:$B$309,$A11,SessionLog!$E$2:$E$309,"SE_neo4j.Posts.owneruserid",SessionLog!$F$2:$F$309,"M")</f>
        <v/>
      </c>
      <c r="CW11" s="2">
        <f>COUNTIFS(SessionLog!$B$2:$B$309,$A11,SessionLog!$E$2:$E$309,"SE_neo4j.Posts.owneruserid",SessionLog!$F$2:$F$309,"P")</f>
        <v/>
      </c>
      <c r="CX11" s="2">
        <f>COUNTIFS(SessionLog!$B$2:$B$309,$A11,SessionLog!$E$2:$E$309,"SE_neo4j.Posts.acceptedanswerid",SessionLog!$F$2:$F$309,"M")</f>
        <v/>
      </c>
      <c r="CY11" s="2">
        <f>COUNTIFS(SessionLog!$B$2:$B$309,$A11,SessionLog!$E$2:$E$309,"SE_neo4j.Posts.acceptedanswerid",SessionLog!$F$2:$F$309,"P")</f>
        <v/>
      </c>
      <c r="CZ11" s="2">
        <f>COUNTIFS(SessionLog!$B$2:$B$309,$A11,SessionLog!$E$2:$E$309,"SE_neo4j.Comments.id",SessionLog!$F$2:$F$309,"M")</f>
        <v/>
      </c>
      <c r="DA11" s="2">
        <f>COUNTIFS(SessionLog!$B$2:$B$309,$A11,SessionLog!$E$2:$E$309,"SE_neo4j.Comments.id",SessionLog!$F$2:$F$309,"P")</f>
        <v/>
      </c>
      <c r="DB11" s="2">
        <f>COUNTIFS(SessionLog!$B$2:$B$309,$A11,SessionLog!$E$2:$E$309,"SE_neo4j.Comments.creationdate",SessionLog!$F$2:$F$309,"M")</f>
        <v/>
      </c>
      <c r="DC11" s="2">
        <f>COUNTIFS(SessionLog!$B$2:$B$309,$A11,SessionLog!$E$2:$E$309,"SE_neo4j.Comments.creationdate",SessionLog!$F$2:$F$309,"P")</f>
        <v/>
      </c>
      <c r="DD11" s="2">
        <f>COUNTIFS(SessionLog!$B$2:$B$309,$A11,SessionLog!$E$2:$E$309,"SE_neo4j.Comments.score",SessionLog!$F$2:$F$309,"M")</f>
        <v/>
      </c>
      <c r="DE11" s="2">
        <f>COUNTIFS(SessionLog!$B$2:$B$309,$A11,SessionLog!$E$2:$E$309,"SE_neo4j.Comments.score",SessionLog!$F$2:$F$309,"P")</f>
        <v/>
      </c>
      <c r="DF11" s="2">
        <f>COUNTIFS(SessionLog!$B$2:$B$309,$A11,SessionLog!$E$2:$E$309,"SE_neo4j.Users.id",SessionLog!$F$2:$F$309,"M")</f>
        <v/>
      </c>
      <c r="DG11" s="2">
        <f>COUNTIFS(SessionLog!$B$2:$B$309,$A11,SessionLog!$E$2:$E$309,"SE_neo4j.Users.id",SessionLog!$F$2:$F$309,"P")</f>
        <v/>
      </c>
      <c r="DH11" s="2">
        <f>COUNTIFS(SessionLog!$B$2:$B$309,$A11,SessionLog!$E$2:$E$309,"SE_neo4j.Users.accountid",SessionLog!$F$2:$F$309,"M")</f>
        <v/>
      </c>
      <c r="DI11" s="2">
        <f>COUNTIFS(SessionLog!$B$2:$B$309,$A11,SessionLog!$E$2:$E$309,"SE_neo4j.Users.accountid",SessionLog!$F$2:$F$309,"P")</f>
        <v/>
      </c>
      <c r="DJ11" s="2">
        <f>COUNTIFS(SessionLog!$B$2:$B$309,$A11,SessionLog!$E$2:$E$309,"SE_neo4j.Users.displayname",SessionLog!$F$2:$F$309,"M")</f>
        <v/>
      </c>
      <c r="DK11" s="2">
        <f>COUNTIFS(SessionLog!$B$2:$B$309,$A11,SessionLog!$E$2:$E$309,"SE_neo4j.Users.displayname",SessionLog!$F$2:$F$309,"P")</f>
        <v/>
      </c>
      <c r="DL11" s="2">
        <f>COUNTIFS(SessionLog!$B$2:$B$309,$A11,SessionLog!$E$2:$E$309,"SE_neo4j.Users.creationdate",SessionLog!$F$2:$F$309,"M")</f>
        <v/>
      </c>
      <c r="DM11" s="2">
        <f>COUNTIFS(SessionLog!$B$2:$B$309,$A11,SessionLog!$E$2:$E$309,"SE_neo4j.Users.creationdate",SessionLog!$F$2:$F$309,"P")</f>
        <v/>
      </c>
      <c r="DN11" s="2">
        <f>COUNTIFS(SessionLog!$B$2:$B$309,$A11,SessionLog!$E$2:$E$309,"SE_neo4j.Tags.id",SessionLog!$F$2:$F$309,"M")</f>
        <v/>
      </c>
      <c r="DO11" s="2">
        <f>COUNTIFS(SessionLog!$B$2:$B$309,$A11,SessionLog!$E$2:$E$309,"SE_neo4j.Tags.id",SessionLog!$F$2:$F$309,"P")</f>
        <v/>
      </c>
      <c r="DP11" s="2">
        <f>COUNTIFS(SessionLog!$B$2:$B$309,$A11,SessionLog!$E$2:$E$309,"SE_neo4j.Tags.count",SessionLog!$F$2:$F$309,"M")</f>
        <v/>
      </c>
      <c r="DQ11" s="2">
        <f>COUNTIFS(SessionLog!$B$2:$B$309,$A11,SessionLog!$E$2:$E$309,"SE_neo4j.Tags.count",SessionLog!$F$2:$F$309,"P")</f>
        <v/>
      </c>
      <c r="DR11" s="2">
        <f>COUNTIFS(SessionLog!$B$2:$B$309,$A11,SessionLog!$E$2:$E$309,"SE_neo4j.Tags.wikipostid",SessionLog!$F$2:$F$309,"M")</f>
        <v/>
      </c>
      <c r="DS11" s="2">
        <f>COUNTIFS(SessionLog!$B$2:$B$309,$A11,SessionLog!$E$2:$E$309,"SE_neo4j.Tags.wikipostid",SessionLog!$F$2:$F$309,"P")</f>
        <v/>
      </c>
      <c r="DT11" s="2">
        <f>COUNTIFS(SessionLog!$B$2:$B$309,$A11,SessionLog!$E$2:$E$309,"SE_neo4j.Tags.tagname",SessionLog!$F$2:$F$309,"M")</f>
        <v/>
      </c>
      <c r="DU11" s="2">
        <f>COUNTIFS(SessionLog!$B$2:$B$309,$A11,SessionLog!$E$2:$E$309,"SE_neo4j.Tags.tagname",SessionLog!$F$2:$F$309,"P")</f>
        <v/>
      </c>
      <c r="DV11" s="2">
        <f>COUNTIFS(SessionLog!$B$2:$B$309,$A11,SessionLog!$E$2:$E$309,"SE_neo4j.Tags.excerptpostid",SessionLog!$F$2:$F$309,"M")</f>
        <v/>
      </c>
      <c r="DW11" s="2">
        <f>COUNTIFS(SessionLog!$B$2:$B$309,$A11,SessionLog!$E$2:$E$309,"SE_neo4j.Tags.excerptpostid",SessionLog!$F$2:$F$309,"P")</f>
        <v/>
      </c>
    </row>
    <row r="12">
      <c r="A12" s="2" t="inlineStr">
        <is>
          <t>D2</t>
        </is>
      </c>
      <c r="B12" s="2">
        <f>COUNTIFS(SessionLog!$B$2:$B$309,$A12,SessionLog!$E$2:$E$309,"SE_mysql.postes.Id",SessionLog!$F$2:$F$309,"M")</f>
        <v/>
      </c>
      <c r="C12" s="2">
        <f>COUNTIFS(SessionLog!$B$2:$B$309,$A12,SessionLog!$E$2:$E$309,"SE_mysql.postes.Id",SessionLog!$F$2:$F$309,"P")</f>
        <v/>
      </c>
      <c r="D12" s="2">
        <f>COUNTIFS(SessionLog!$B$2:$B$309,$A12,SessionLog!$E$2:$E$309,"SE_mysql.postes.PostTypeId",SessionLog!$F$2:$F$309,"M")</f>
        <v/>
      </c>
      <c r="E12" s="2">
        <f>COUNTIFS(SessionLog!$B$2:$B$309,$A12,SessionLog!$E$2:$E$309,"SE_mysql.postes.PostTypeId",SessionLog!$F$2:$F$309,"P")</f>
        <v/>
      </c>
      <c r="F12" s="2">
        <f>COUNTIFS(SessionLog!$B$2:$B$309,$A12,SessionLog!$E$2:$E$309,"SE_mysql.postes.Title",SessionLog!$F$2:$F$309,"M")</f>
        <v/>
      </c>
      <c r="G12" s="2">
        <f>COUNTIFS(SessionLog!$B$2:$B$309,$A12,SessionLog!$E$2:$E$309,"SE_mysql.postes.Title",SessionLog!$F$2:$F$309,"P")</f>
        <v/>
      </c>
      <c r="H12" s="2">
        <f>COUNTIFS(SessionLog!$B$2:$B$309,$A12,SessionLog!$E$2:$E$309,"SE_mysql.postes.OwnerUserId",SessionLog!$F$2:$F$309,"M")</f>
        <v/>
      </c>
      <c r="I12" s="2">
        <f>COUNTIFS(SessionLog!$B$2:$B$309,$A12,SessionLog!$E$2:$E$309,"SE_mysql.postes.OwnerUserId",SessionLog!$F$2:$F$309,"P")</f>
        <v/>
      </c>
      <c r="J12" s="2">
        <f>COUNTIFS(SessionLog!$B$2:$B$309,$A12,SessionLog!$E$2:$E$309,"SE_mysql.postes.ViewCount",SessionLog!$F$2:$F$309,"M")</f>
        <v/>
      </c>
      <c r="K12" s="2">
        <f>COUNTIFS(SessionLog!$B$2:$B$309,$A12,SessionLog!$E$2:$E$309,"SE_mysql.postes.ViewCount",SessionLog!$F$2:$F$309,"P")</f>
        <v/>
      </c>
      <c r="L12" s="2">
        <f>COUNTIFS(SessionLog!$B$2:$B$309,$A12,SessionLog!$E$2:$E$309,"SE_mysql.postes.LastEditDate",SessionLog!$F$2:$F$309,"M")</f>
        <v/>
      </c>
      <c r="M12" s="2">
        <f>COUNTIFS(SessionLog!$B$2:$B$309,$A12,SessionLog!$E$2:$E$309,"SE_mysql.postes.LastEditDate",SessionLog!$F$2:$F$309,"P")</f>
        <v/>
      </c>
      <c r="N12" s="2">
        <f>COUNTIFS(SessionLog!$B$2:$B$309,$A12,SessionLog!$E$2:$E$309,"SE_mysql.postes.LastEditorUserId",SessionLog!$F$2:$F$309,"M")</f>
        <v/>
      </c>
      <c r="O12" s="2">
        <f>COUNTIFS(SessionLog!$B$2:$B$309,$A12,SessionLog!$E$2:$E$309,"SE_mysql.postes.LastEditorUserId",SessionLog!$F$2:$F$309,"P")</f>
        <v/>
      </c>
      <c r="P12" s="2">
        <f>COUNTIFS(SessionLog!$B$2:$B$309,$A12,SessionLog!$E$2:$E$309,"SE_mysql.postes.CreationDate",SessionLog!$F$2:$F$309,"M")</f>
        <v/>
      </c>
      <c r="Q12" s="2">
        <f>COUNTIFS(SessionLog!$B$2:$B$309,$A12,SessionLog!$E$2:$E$309,"SE_mysql.postes.CreationDate",SessionLog!$F$2:$F$309,"P")</f>
        <v/>
      </c>
      <c r="R12" s="2">
        <f>COUNTIFS(SessionLog!$B$2:$B$309,$A12,SessionLog!$E$2:$E$309,"SE_mysql.Posttypes.Id",SessionLog!$F$2:$F$309,"M")</f>
        <v/>
      </c>
      <c r="S12" s="2">
        <f>COUNTIFS(SessionLog!$B$2:$B$309,$A12,SessionLog!$E$2:$E$309,"SE_mysql.Posttypes.Id",SessionLog!$F$2:$F$309,"P")</f>
        <v/>
      </c>
      <c r="T12" s="2">
        <f>COUNTIFS(SessionLog!$B$2:$B$309,$A12,SessionLog!$E$2:$E$309,"SE_mysql.Posttypes.Name",SessionLog!$F$2:$F$309,"M")</f>
        <v/>
      </c>
      <c r="U12" s="2">
        <f>COUNTIFS(SessionLog!$B$2:$B$309,$A12,SessionLog!$E$2:$E$309,"SE_mysql.Posttypes.Name",SessionLog!$F$2:$F$309,"P")</f>
        <v/>
      </c>
      <c r="V12" s="2">
        <f>COUNTIFS(SessionLog!$B$2:$B$309,$A12,SessionLog!$E$2:$E$309,"SE_mysql.Users.Id",SessionLog!$F$2:$F$309,"M")</f>
        <v/>
      </c>
      <c r="W12" s="2">
        <f>COUNTIFS(SessionLog!$B$2:$B$309,$A12,SessionLog!$E$2:$E$309,"SE_mysql.Users.Id",SessionLog!$F$2:$F$309,"P")</f>
        <v/>
      </c>
      <c r="X12" s="2">
        <f>COUNTIFS(SessionLog!$B$2:$B$309,$A12,SessionLog!$E$2:$E$309,"SE_mysql.Users.Views",SessionLog!$F$2:$F$309,"M")</f>
        <v/>
      </c>
      <c r="Y12" s="2">
        <f>COUNTIFS(SessionLog!$B$2:$B$309,$A12,SessionLog!$E$2:$E$309,"SE_mysql.Users.Views",SessionLog!$F$2:$F$309,"P")</f>
        <v/>
      </c>
      <c r="Z12" s="2">
        <f>COUNTIFS(SessionLog!$B$2:$B$309,$A12,SessionLog!$E$2:$E$309,"SE_mysql.Users.UpVotes",SessionLog!$F$2:$F$309,"M")</f>
        <v/>
      </c>
      <c r="AA12" s="2">
        <f>COUNTIFS(SessionLog!$B$2:$B$309,$A12,SessionLog!$E$2:$E$309,"SE_mysql.Users.UpVotes",SessionLog!$F$2:$F$309,"P")</f>
        <v/>
      </c>
      <c r="AB12" s="2">
        <f>COUNTIFS(SessionLog!$B$2:$B$309,$A12,SessionLog!$E$2:$E$309,"SE_mysql.Users.DisplayName",SessionLog!$F$2:$F$309,"M")</f>
        <v/>
      </c>
      <c r="AC12" s="2">
        <f>COUNTIFS(SessionLog!$B$2:$B$309,$A12,SessionLog!$E$2:$E$309,"SE_mysql.Users.DisplayName",SessionLog!$F$2:$F$309,"P")</f>
        <v/>
      </c>
      <c r="AD12" s="2">
        <f>COUNTIFS(SessionLog!$B$2:$B$309,$A12,SessionLog!$E$2:$E$309,"SE_mysql.Users.DownVotes",SessionLog!$F$2:$F$309,"M")</f>
        <v/>
      </c>
      <c r="AE12" s="2">
        <f>COUNTIFS(SessionLog!$B$2:$B$309,$A12,SessionLog!$E$2:$E$309,"SE_mysql.Users.DownVotes",SessionLog!$F$2:$F$309,"P")</f>
        <v/>
      </c>
      <c r="AF12" s="2">
        <f>COUNTIFS(SessionLog!$B$2:$B$309,$A12,SessionLog!$E$2:$E$309,"SE_mysql.Users.LastAccessDate",SessionLog!$F$2:$F$309,"M")</f>
        <v/>
      </c>
      <c r="AG12" s="2">
        <f>COUNTIFS(SessionLog!$B$2:$B$309,$A12,SessionLog!$E$2:$E$309,"SE_mysql.Users.LastAccessDate",SessionLog!$F$2:$F$309,"P")</f>
        <v/>
      </c>
      <c r="AH12" s="2">
        <f>COUNTIFS(SessionLog!$B$2:$B$309,$A12,SessionLog!$E$2:$E$309,"SE_mysql.Users.Reputation",SessionLog!$F$2:$F$309,"M")</f>
        <v/>
      </c>
      <c r="AI12" s="2">
        <f>COUNTIFS(SessionLog!$B$2:$B$309,$A12,SessionLog!$E$2:$E$309,"SE_mysql.Users.Reputation",SessionLog!$F$2:$F$309,"P")</f>
        <v/>
      </c>
      <c r="AJ12" s="2">
        <f>COUNTIFS(SessionLog!$B$2:$B$309,$A12,SessionLog!$E$2:$E$309,"SE_mysql.Flagtypes.Id",SessionLog!$F$2:$F$309,"M")</f>
        <v/>
      </c>
      <c r="AK12" s="2">
        <f>COUNTIFS(SessionLog!$B$2:$B$309,$A12,SessionLog!$E$2:$E$309,"SE_mysql.Flagtypes.Id",SessionLog!$F$2:$F$309,"P")</f>
        <v/>
      </c>
      <c r="AL12" s="2">
        <f>COUNTIFS(SessionLog!$B$2:$B$309,$A12,SessionLog!$E$2:$E$309,"SE_mysql.Flagtypes.Name",SessionLog!$F$2:$F$309,"M")</f>
        <v/>
      </c>
      <c r="AM12" s="2">
        <f>COUNTIFS(SessionLog!$B$2:$B$309,$A12,SessionLog!$E$2:$E$309,"SE_mysql.Flagtypes.Name",SessionLog!$F$2:$F$309,"P")</f>
        <v/>
      </c>
      <c r="AN12" s="2">
        <f>COUNTIFS(SessionLog!$B$2:$B$309,$A12,SessionLog!$E$2:$E$309,"SE_mysql.Votes.Id",SessionLog!$F$2:$F$309,"M")</f>
        <v/>
      </c>
      <c r="AO12" s="2">
        <f>COUNTIFS(SessionLog!$B$2:$B$309,$A12,SessionLog!$E$2:$E$309,"SE_mysql.Votes.Id",SessionLog!$F$2:$F$309,"P")</f>
        <v/>
      </c>
      <c r="AP12" s="2">
        <f>COUNTIFS(SessionLog!$B$2:$B$309,$A12,SessionLog!$E$2:$E$309,"SE_mysql.Votes.UserId",SessionLog!$F$2:$F$309,"M")</f>
        <v/>
      </c>
      <c r="AQ12" s="2">
        <f>COUNTIFS(SessionLog!$B$2:$B$309,$A12,SessionLog!$E$2:$E$309,"SE_mysql.Votes.UserId",SessionLog!$F$2:$F$309,"P")</f>
        <v/>
      </c>
      <c r="AR12" s="2">
        <f>COUNTIFS(SessionLog!$B$2:$B$309,$A12,SessionLog!$E$2:$E$309,"SE_mysql.Votes.BountyAmount",SessionLog!$F$2:$F$309,"M")</f>
        <v/>
      </c>
      <c r="AS12" s="2">
        <f>COUNTIFS(SessionLog!$B$2:$B$309,$A12,SessionLog!$E$2:$E$309,"SE_mysql.Votes.BountyAmount",SessionLog!$F$2:$F$309,"P")</f>
        <v/>
      </c>
      <c r="AT12" s="2">
        <f>COUNTIFS(SessionLog!$B$2:$B$309,$A12,SessionLog!$E$2:$E$309,"SE_mysql.Votes.CreationDate",SessionLog!$F$2:$F$309,"M")</f>
        <v/>
      </c>
      <c r="AU12" s="2">
        <f>COUNTIFS(SessionLog!$B$2:$B$309,$A12,SessionLog!$E$2:$E$309,"SE_mysql.Votes.CreationDate",SessionLog!$F$2:$F$309,"P")</f>
        <v/>
      </c>
      <c r="AV12" s="2">
        <f>COUNTIFS(SessionLog!$B$2:$B$309,$A12,SessionLog!$E$2:$E$309,"SE_mysql.Votes.PostId",SessionLog!$F$2:$F$309,"M")</f>
        <v/>
      </c>
      <c r="AW12" s="2">
        <f>COUNTIFS(SessionLog!$B$2:$B$309,$A12,SessionLog!$E$2:$E$309,"SE_mysql.Votes.PostId",SessionLog!$F$2:$F$309,"P")</f>
        <v/>
      </c>
      <c r="AX12" s="2">
        <f>COUNTIFS(SessionLog!$B$2:$B$309,$A12,SessionLog!$E$2:$E$309,"SE_mysql.Votes.VoteTypeId",SessionLog!$F$2:$F$309,"M")</f>
        <v/>
      </c>
      <c r="AY12" s="2">
        <f>COUNTIFS(SessionLog!$B$2:$B$309,$A12,SessionLog!$E$2:$E$309,"SE_mysql.Votes.VoteTypeId",SessionLog!$F$2:$F$309,"P")</f>
        <v/>
      </c>
      <c r="AZ12" s="2">
        <f>COUNTIFS(SessionLog!$B$2:$B$309,$A12,SessionLog!$E$2:$E$309,"SE_mysql.Votetypes.Id",SessionLog!$F$2:$F$309,"M")</f>
        <v/>
      </c>
      <c r="BA12" s="2">
        <f>COUNTIFS(SessionLog!$B$2:$B$309,$A12,SessionLog!$E$2:$E$309,"SE_mysql.Votetypes.Id",SessionLog!$F$2:$F$309,"P")</f>
        <v/>
      </c>
      <c r="BB12" s="2">
        <f>COUNTIFS(SessionLog!$B$2:$B$309,$A12,SessionLog!$E$2:$E$309,"SE_mysql.Votetypes.Name",SessionLog!$F$2:$F$309,"M")</f>
        <v/>
      </c>
      <c r="BC12" s="2">
        <f>COUNTIFS(SessionLog!$B$2:$B$309,$A12,SessionLog!$E$2:$E$309,"SE_mysql.Votetypes.Name",SessionLog!$F$2:$F$309,"P")</f>
        <v/>
      </c>
      <c r="BD12" s="2">
        <f>COUNTIFS(SessionLog!$B$2:$B$309,$A12,SessionLog!$E$2:$E$309,"SE_mongodb.Badges.Id",SessionLog!$F$2:$F$309,"M")</f>
        <v/>
      </c>
      <c r="BE12" s="2">
        <f>COUNTIFS(SessionLog!$B$2:$B$309,$A12,SessionLog!$E$2:$E$309,"SE_mongodb.Badges.Id",SessionLog!$F$2:$F$309,"P")</f>
        <v/>
      </c>
      <c r="BF12" s="2">
        <f>COUNTIFS(SessionLog!$B$2:$B$309,$A12,SessionLog!$E$2:$E$309,"SE_mongodb.Badges.UserId",SessionLog!$F$2:$F$309,"M")</f>
        <v/>
      </c>
      <c r="BG12" s="2">
        <f>COUNTIFS(SessionLog!$B$2:$B$309,$A12,SessionLog!$E$2:$E$309,"SE_mongodb.Badges.UserId",SessionLog!$F$2:$F$309,"P")</f>
        <v/>
      </c>
      <c r="BH12" s="2">
        <f>COUNTIFS(SessionLog!$B$2:$B$309,$A12,SessionLog!$E$2:$E$309,"SE_mongodb.Badges.Name",SessionLog!$F$2:$F$309,"M")</f>
        <v/>
      </c>
      <c r="BI12" s="2">
        <f>COUNTIFS(SessionLog!$B$2:$B$309,$A12,SessionLog!$E$2:$E$309,"SE_mongodb.Badges.Name",SessionLog!$F$2:$F$309,"P")</f>
        <v/>
      </c>
      <c r="BJ12" s="2">
        <f>COUNTIFS(SessionLog!$B$2:$B$309,$A12,SessionLog!$E$2:$E$309,"SE_mongodb.Badges.Date",SessionLog!$F$2:$F$309,"M")</f>
        <v/>
      </c>
      <c r="BK12" s="2">
        <f>COUNTIFS(SessionLog!$B$2:$B$309,$A12,SessionLog!$E$2:$E$309,"SE_mongodb.Badges.Date",SessionLog!$F$2:$F$309,"P")</f>
        <v/>
      </c>
      <c r="BL12" s="2">
        <f>COUNTIFS(SessionLog!$B$2:$B$309,$A12,SessionLog!$E$2:$E$309,"SE_mongodb.Posts.Id",SessionLog!$F$2:$F$309,"M")</f>
        <v/>
      </c>
      <c r="BM12" s="2">
        <f>COUNTIFS(SessionLog!$B$2:$B$309,$A12,SessionLog!$E$2:$E$309,"SE_mongodb.Posts.Id",SessionLog!$F$2:$F$309,"P")</f>
        <v/>
      </c>
      <c r="BN12" s="2">
        <f>COUNTIFS(SessionLog!$B$2:$B$309,$A12,SessionLog!$E$2:$E$309,"SE_mongodb.Posts.Tags",SessionLog!$F$2:$F$309,"M")</f>
        <v/>
      </c>
      <c r="BO12" s="2">
        <f>COUNTIFS(SessionLog!$B$2:$B$309,$A12,SessionLog!$E$2:$E$309,"SE_mongodb.Posts.Tags",SessionLog!$F$2:$F$309,"P")</f>
        <v/>
      </c>
      <c r="BP12" s="2">
        <f>COUNTIFS(SessionLog!$B$2:$B$309,$A12,SessionLog!$E$2:$E$309,"SE_mongodb.Posts.Body",SessionLog!$F$2:$F$309,"M")</f>
        <v/>
      </c>
      <c r="BQ12" s="2">
        <f>COUNTIFS(SessionLog!$B$2:$B$309,$A12,SessionLog!$E$2:$E$309,"SE_mongodb.Posts.Body",SessionLog!$F$2:$F$309,"P")</f>
        <v/>
      </c>
      <c r="BR12" s="2">
        <f>COUNTIFS(SessionLog!$B$2:$B$309,$A12,SessionLog!$E$2:$E$309,"SE_mongodb.Users.Id",SessionLog!$F$2:$F$309,"M")</f>
        <v/>
      </c>
      <c r="BS12" s="2">
        <f>COUNTIFS(SessionLog!$B$2:$B$309,$A12,SessionLog!$E$2:$E$309,"SE_mongodb.Users.Id",SessionLog!$F$2:$F$309,"P")</f>
        <v/>
      </c>
      <c r="BT12" s="2">
        <f>COUNTIFS(SessionLog!$B$2:$B$309,$A12,SessionLog!$E$2:$E$309,"SE_mongodb.Users.DisplayName",SessionLog!$F$2:$F$309,"M")</f>
        <v/>
      </c>
      <c r="BU12" s="2">
        <f>COUNTIFS(SessionLog!$B$2:$B$309,$A12,SessionLog!$E$2:$E$309,"SE_mongodb.Users.DisplayName",SessionLog!$F$2:$F$309,"P")</f>
        <v/>
      </c>
      <c r="BV12" s="2">
        <f>COUNTIFS(SessionLog!$B$2:$B$309,$A12,SessionLog!$E$2:$E$309,"SE_mongodb.Users.AboutMe",SessionLog!$F$2:$F$309,"M")</f>
        <v/>
      </c>
      <c r="BW12" s="2">
        <f>COUNTIFS(SessionLog!$B$2:$B$309,$A12,SessionLog!$E$2:$E$309,"SE_mongodb.Users.AboutMe",SessionLog!$F$2:$F$309,"P")</f>
        <v/>
      </c>
      <c r="BX12" s="2">
        <f>COUNTIFS(SessionLog!$B$2:$B$309,$A12,SessionLog!$E$2:$E$309,"SE_mongodb.Comments.Id",SessionLog!$F$2:$F$309,"M")</f>
        <v/>
      </c>
      <c r="BY12" s="2">
        <f>COUNTIFS(SessionLog!$B$2:$B$309,$A12,SessionLog!$E$2:$E$309,"SE_mongodb.Comments.Id",SessionLog!$F$2:$F$309,"P")</f>
        <v/>
      </c>
      <c r="BZ12" s="2">
        <f>COUNTIFS(SessionLog!$B$2:$B$309,$A12,SessionLog!$E$2:$E$309,"SE_mongodb.Comments.UserId",SessionLog!$F$2:$F$309,"M")</f>
        <v/>
      </c>
      <c r="CA12" s="2">
        <f>COUNTIFS(SessionLog!$B$2:$B$309,$A12,SessionLog!$E$2:$E$309,"SE_mongodb.Comments.UserId",SessionLog!$F$2:$F$309,"P")</f>
        <v/>
      </c>
      <c r="CB12" s="2">
        <f>COUNTIFS(SessionLog!$B$2:$B$309,$A12,SessionLog!$E$2:$E$309,"SE_mongodb.Comments.Text",SessionLog!$F$2:$F$309,"M")</f>
        <v/>
      </c>
      <c r="CC12" s="2">
        <f>COUNTIFS(SessionLog!$B$2:$B$309,$A12,SessionLog!$E$2:$E$309,"SE_mongodb.Comments.Text",SessionLog!$F$2:$F$309,"P")</f>
        <v/>
      </c>
      <c r="CD12" s="2">
        <f>COUNTIFS(SessionLog!$B$2:$B$309,$A12,SessionLog!$E$2:$E$309,"SE_mongodb.Comments.PostId",SessionLog!$F$2:$F$309,"M")</f>
        <v/>
      </c>
      <c r="CE12" s="2">
        <f>COUNTIFS(SessionLog!$B$2:$B$309,$A12,SessionLog!$E$2:$E$309,"SE_mongodb.Comments.PostId",SessionLog!$F$2:$F$309,"P")</f>
        <v/>
      </c>
      <c r="CF12" s="2">
        <f>COUNTIFS(SessionLog!$B$2:$B$309,$A12,SessionLog!$E$2:$E$309,"SE_neo4j.postlinks.id",SessionLog!$F$2:$F$309,"M")</f>
        <v/>
      </c>
      <c r="CG12" s="2">
        <f>COUNTIFS(SessionLog!$B$2:$B$309,$A12,SessionLog!$E$2:$E$309,"SE_neo4j.postlinks.id",SessionLog!$F$2:$F$309,"P")</f>
        <v/>
      </c>
      <c r="CH12" s="2">
        <f>COUNTIFS(SessionLog!$B$2:$B$309,$A12,SessionLog!$E$2:$E$309,"SE_neo4j.postlinks.LinkTypeId",SessionLog!$F$2:$F$309,"M")</f>
        <v/>
      </c>
      <c r="CI12" s="2">
        <f>COUNTIFS(SessionLog!$B$2:$B$309,$A12,SessionLog!$E$2:$E$309,"SE_neo4j.postlinks.LinkTypeId",SessionLog!$F$2:$F$309,"P")</f>
        <v/>
      </c>
      <c r="CJ12" s="2">
        <f>COUNTIFS(SessionLog!$B$2:$B$309,$A12,SessionLog!$E$2:$E$309,"SE_neo4j.postlinks.RelatedPostId",SessionLog!$F$2:$F$309,"M")</f>
        <v/>
      </c>
      <c r="CK12" s="2">
        <f>COUNTIFS(SessionLog!$B$2:$B$309,$A12,SessionLog!$E$2:$E$309,"SE_neo4j.postlinks.RelatedPostId",SessionLog!$F$2:$F$309,"P")</f>
        <v/>
      </c>
      <c r="CL12" s="2">
        <f>COUNTIFS(SessionLog!$B$2:$B$309,$A12,SessionLog!$E$2:$E$309,"SE_neo4j.postlinks.PostIdd",SessionLog!$F$2:$F$309,"M")</f>
        <v/>
      </c>
      <c r="CM12" s="2">
        <f>COUNTIFS(SessionLog!$B$2:$B$309,$A12,SessionLog!$E$2:$E$309,"SE_neo4j.postlinks.PostIdd",SessionLog!$F$2:$F$309,"P")</f>
        <v/>
      </c>
      <c r="CN12" s="2">
        <f>COUNTIFS(SessionLog!$B$2:$B$309,$A12,SessionLog!$E$2:$E$309,"SE_neo4j.postlinks.CreationDate",SessionLog!$F$2:$F$309,"M")</f>
        <v/>
      </c>
      <c r="CO12" s="2">
        <f>COUNTIFS(SessionLog!$B$2:$B$309,$A12,SessionLog!$E$2:$E$309,"SE_neo4j.postlinks.CreationDate",SessionLog!$F$2:$F$309,"P")</f>
        <v/>
      </c>
      <c r="CP12" s="2">
        <f>COUNTIFS(SessionLog!$B$2:$B$309,$A12,SessionLog!$E$2:$E$309,"SE_neo4j.Posts.id",SessionLog!$F$2:$F$309,"M")</f>
        <v/>
      </c>
      <c r="CQ12" s="2">
        <f>COUNTIFS(SessionLog!$B$2:$B$309,$A12,SessionLog!$E$2:$E$309,"SE_neo4j.Posts.id",SessionLog!$F$2:$F$309,"P")</f>
        <v/>
      </c>
      <c r="CR12" s="2">
        <f>COUNTIFS(SessionLog!$B$2:$B$309,$A12,SessionLog!$E$2:$E$309,"SE_neo4j.Posts.posttypeid",SessionLog!$F$2:$F$309,"M")</f>
        <v/>
      </c>
      <c r="CS12" s="2">
        <f>COUNTIFS(SessionLog!$B$2:$B$309,$A12,SessionLog!$E$2:$E$309,"SE_neo4j.Posts.posttypeid",SessionLog!$F$2:$F$309,"P")</f>
        <v/>
      </c>
      <c r="CT12" s="2">
        <f>COUNTIFS(SessionLog!$B$2:$B$309,$A12,SessionLog!$E$2:$E$309,"SE_neo4j.Posts.parentid",SessionLog!$F$2:$F$309,"M")</f>
        <v/>
      </c>
      <c r="CU12" s="2">
        <f>COUNTIFS(SessionLog!$B$2:$B$309,$A12,SessionLog!$E$2:$E$309,"SE_neo4j.Posts.parentid",SessionLog!$F$2:$F$309,"P")</f>
        <v/>
      </c>
      <c r="CV12" s="2">
        <f>COUNTIFS(SessionLog!$B$2:$B$309,$A12,SessionLog!$E$2:$E$309,"SE_neo4j.Posts.owneruserid",SessionLog!$F$2:$F$309,"M")</f>
        <v/>
      </c>
      <c r="CW12" s="2">
        <f>COUNTIFS(SessionLog!$B$2:$B$309,$A12,SessionLog!$E$2:$E$309,"SE_neo4j.Posts.owneruserid",SessionLog!$F$2:$F$309,"P")</f>
        <v/>
      </c>
      <c r="CX12" s="2">
        <f>COUNTIFS(SessionLog!$B$2:$B$309,$A12,SessionLog!$E$2:$E$309,"SE_neo4j.Posts.acceptedanswerid",SessionLog!$F$2:$F$309,"M")</f>
        <v/>
      </c>
      <c r="CY12" s="2">
        <f>COUNTIFS(SessionLog!$B$2:$B$309,$A12,SessionLog!$E$2:$E$309,"SE_neo4j.Posts.acceptedanswerid",SessionLog!$F$2:$F$309,"P")</f>
        <v/>
      </c>
      <c r="CZ12" s="2">
        <f>COUNTIFS(SessionLog!$B$2:$B$309,$A12,SessionLog!$E$2:$E$309,"SE_neo4j.Comments.id",SessionLog!$F$2:$F$309,"M")</f>
        <v/>
      </c>
      <c r="DA12" s="2">
        <f>COUNTIFS(SessionLog!$B$2:$B$309,$A12,SessionLog!$E$2:$E$309,"SE_neo4j.Comments.id",SessionLog!$F$2:$F$309,"P")</f>
        <v/>
      </c>
      <c r="DB12" s="2">
        <f>COUNTIFS(SessionLog!$B$2:$B$309,$A12,SessionLog!$E$2:$E$309,"SE_neo4j.Comments.creationdate",SessionLog!$F$2:$F$309,"M")</f>
        <v/>
      </c>
      <c r="DC12" s="2">
        <f>COUNTIFS(SessionLog!$B$2:$B$309,$A12,SessionLog!$E$2:$E$309,"SE_neo4j.Comments.creationdate",SessionLog!$F$2:$F$309,"P")</f>
        <v/>
      </c>
      <c r="DD12" s="2">
        <f>COUNTIFS(SessionLog!$B$2:$B$309,$A12,SessionLog!$E$2:$E$309,"SE_neo4j.Comments.score",SessionLog!$F$2:$F$309,"M")</f>
        <v/>
      </c>
      <c r="DE12" s="2">
        <f>COUNTIFS(SessionLog!$B$2:$B$309,$A12,SessionLog!$E$2:$E$309,"SE_neo4j.Comments.score",SessionLog!$F$2:$F$309,"P")</f>
        <v/>
      </c>
      <c r="DF12" s="2">
        <f>COUNTIFS(SessionLog!$B$2:$B$309,$A12,SessionLog!$E$2:$E$309,"SE_neo4j.Users.id",SessionLog!$F$2:$F$309,"M")</f>
        <v/>
      </c>
      <c r="DG12" s="2">
        <f>COUNTIFS(SessionLog!$B$2:$B$309,$A12,SessionLog!$E$2:$E$309,"SE_neo4j.Users.id",SessionLog!$F$2:$F$309,"P")</f>
        <v/>
      </c>
      <c r="DH12" s="2">
        <f>COUNTIFS(SessionLog!$B$2:$B$309,$A12,SessionLog!$E$2:$E$309,"SE_neo4j.Users.accountid",SessionLog!$F$2:$F$309,"M")</f>
        <v/>
      </c>
      <c r="DI12" s="2">
        <f>COUNTIFS(SessionLog!$B$2:$B$309,$A12,SessionLog!$E$2:$E$309,"SE_neo4j.Users.accountid",SessionLog!$F$2:$F$309,"P")</f>
        <v/>
      </c>
      <c r="DJ12" s="2">
        <f>COUNTIFS(SessionLog!$B$2:$B$309,$A12,SessionLog!$E$2:$E$309,"SE_neo4j.Users.displayname",SessionLog!$F$2:$F$309,"M")</f>
        <v/>
      </c>
      <c r="DK12" s="2">
        <f>COUNTIFS(SessionLog!$B$2:$B$309,$A12,SessionLog!$E$2:$E$309,"SE_neo4j.Users.displayname",SessionLog!$F$2:$F$309,"P")</f>
        <v/>
      </c>
      <c r="DL12" s="2">
        <f>COUNTIFS(SessionLog!$B$2:$B$309,$A12,SessionLog!$E$2:$E$309,"SE_neo4j.Users.creationdate",SessionLog!$F$2:$F$309,"M")</f>
        <v/>
      </c>
      <c r="DM12" s="2">
        <f>COUNTIFS(SessionLog!$B$2:$B$309,$A12,SessionLog!$E$2:$E$309,"SE_neo4j.Users.creationdate",SessionLog!$F$2:$F$309,"P")</f>
        <v/>
      </c>
      <c r="DN12" s="2">
        <f>COUNTIFS(SessionLog!$B$2:$B$309,$A12,SessionLog!$E$2:$E$309,"SE_neo4j.Tags.id",SessionLog!$F$2:$F$309,"M")</f>
        <v/>
      </c>
      <c r="DO12" s="2">
        <f>COUNTIFS(SessionLog!$B$2:$B$309,$A12,SessionLog!$E$2:$E$309,"SE_neo4j.Tags.id",SessionLog!$F$2:$F$309,"P")</f>
        <v/>
      </c>
      <c r="DP12" s="2">
        <f>COUNTIFS(SessionLog!$B$2:$B$309,$A12,SessionLog!$E$2:$E$309,"SE_neo4j.Tags.count",SessionLog!$F$2:$F$309,"M")</f>
        <v/>
      </c>
      <c r="DQ12" s="2">
        <f>COUNTIFS(SessionLog!$B$2:$B$309,$A12,SessionLog!$E$2:$E$309,"SE_neo4j.Tags.count",SessionLog!$F$2:$F$309,"P")</f>
        <v/>
      </c>
      <c r="DR12" s="2">
        <f>COUNTIFS(SessionLog!$B$2:$B$309,$A12,SessionLog!$E$2:$E$309,"SE_neo4j.Tags.wikipostid",SessionLog!$F$2:$F$309,"M")</f>
        <v/>
      </c>
      <c r="DS12" s="2">
        <f>COUNTIFS(SessionLog!$B$2:$B$309,$A12,SessionLog!$E$2:$E$309,"SE_neo4j.Tags.wikipostid",SessionLog!$F$2:$F$309,"P")</f>
        <v/>
      </c>
      <c r="DT12" s="2">
        <f>COUNTIFS(SessionLog!$B$2:$B$309,$A12,SessionLog!$E$2:$E$309,"SE_neo4j.Tags.tagname",SessionLog!$F$2:$F$309,"M")</f>
        <v/>
      </c>
      <c r="DU12" s="2">
        <f>COUNTIFS(SessionLog!$B$2:$B$309,$A12,SessionLog!$E$2:$E$309,"SE_neo4j.Tags.tagname",SessionLog!$F$2:$F$309,"P")</f>
        <v/>
      </c>
      <c r="DV12" s="2">
        <f>COUNTIFS(SessionLog!$B$2:$B$309,$A12,SessionLog!$E$2:$E$309,"SE_neo4j.Tags.excerptpostid",SessionLog!$F$2:$F$309,"M")</f>
        <v/>
      </c>
      <c r="DW12" s="2">
        <f>COUNTIFS(SessionLog!$B$2:$B$309,$A12,SessionLog!$E$2:$E$309,"SE_neo4j.Tags.excerptpostid",SessionLog!$F$2:$F$309,"P")</f>
        <v/>
      </c>
    </row>
    <row r="13">
      <c r="A13" s="2" t="inlineStr">
        <is>
          <t>E1</t>
        </is>
      </c>
      <c r="B13" s="2">
        <f>COUNTIFS(SessionLog!$B$2:$B$309,$A13,SessionLog!$E$2:$E$309,"SE_mysql.postes.Id",SessionLog!$F$2:$F$309,"M")</f>
        <v/>
      </c>
      <c r="C13" s="2">
        <f>COUNTIFS(SessionLog!$B$2:$B$309,$A13,SessionLog!$E$2:$E$309,"SE_mysql.postes.Id",SessionLog!$F$2:$F$309,"P")</f>
        <v/>
      </c>
      <c r="D13" s="2">
        <f>COUNTIFS(SessionLog!$B$2:$B$309,$A13,SessionLog!$E$2:$E$309,"SE_mysql.postes.PostTypeId",SessionLog!$F$2:$F$309,"M")</f>
        <v/>
      </c>
      <c r="E13" s="2">
        <f>COUNTIFS(SessionLog!$B$2:$B$309,$A13,SessionLog!$E$2:$E$309,"SE_mysql.postes.PostTypeId",SessionLog!$F$2:$F$309,"P")</f>
        <v/>
      </c>
      <c r="F13" s="2">
        <f>COUNTIFS(SessionLog!$B$2:$B$309,$A13,SessionLog!$E$2:$E$309,"SE_mysql.postes.Title",SessionLog!$F$2:$F$309,"M")</f>
        <v/>
      </c>
      <c r="G13" s="2">
        <f>COUNTIFS(SessionLog!$B$2:$B$309,$A13,SessionLog!$E$2:$E$309,"SE_mysql.postes.Title",SessionLog!$F$2:$F$309,"P")</f>
        <v/>
      </c>
      <c r="H13" s="2">
        <f>COUNTIFS(SessionLog!$B$2:$B$309,$A13,SessionLog!$E$2:$E$309,"SE_mysql.postes.OwnerUserId",SessionLog!$F$2:$F$309,"M")</f>
        <v/>
      </c>
      <c r="I13" s="2">
        <f>COUNTIFS(SessionLog!$B$2:$B$309,$A13,SessionLog!$E$2:$E$309,"SE_mysql.postes.OwnerUserId",SessionLog!$F$2:$F$309,"P")</f>
        <v/>
      </c>
      <c r="J13" s="2">
        <f>COUNTIFS(SessionLog!$B$2:$B$309,$A13,SessionLog!$E$2:$E$309,"SE_mysql.postes.ViewCount",SessionLog!$F$2:$F$309,"M")</f>
        <v/>
      </c>
      <c r="K13" s="2">
        <f>COUNTIFS(SessionLog!$B$2:$B$309,$A13,SessionLog!$E$2:$E$309,"SE_mysql.postes.ViewCount",SessionLog!$F$2:$F$309,"P")</f>
        <v/>
      </c>
      <c r="L13" s="2">
        <f>COUNTIFS(SessionLog!$B$2:$B$309,$A13,SessionLog!$E$2:$E$309,"SE_mysql.postes.LastEditDate",SessionLog!$F$2:$F$309,"M")</f>
        <v/>
      </c>
      <c r="M13" s="2">
        <f>COUNTIFS(SessionLog!$B$2:$B$309,$A13,SessionLog!$E$2:$E$309,"SE_mysql.postes.LastEditDate",SessionLog!$F$2:$F$309,"P")</f>
        <v/>
      </c>
      <c r="N13" s="2">
        <f>COUNTIFS(SessionLog!$B$2:$B$309,$A13,SessionLog!$E$2:$E$309,"SE_mysql.postes.LastEditorUserId",SessionLog!$F$2:$F$309,"M")</f>
        <v/>
      </c>
      <c r="O13" s="2">
        <f>COUNTIFS(SessionLog!$B$2:$B$309,$A13,SessionLog!$E$2:$E$309,"SE_mysql.postes.LastEditorUserId",SessionLog!$F$2:$F$309,"P")</f>
        <v/>
      </c>
      <c r="P13" s="2">
        <f>COUNTIFS(SessionLog!$B$2:$B$309,$A13,SessionLog!$E$2:$E$309,"SE_mysql.postes.CreationDate",SessionLog!$F$2:$F$309,"M")</f>
        <v/>
      </c>
      <c r="Q13" s="2">
        <f>COUNTIFS(SessionLog!$B$2:$B$309,$A13,SessionLog!$E$2:$E$309,"SE_mysql.postes.CreationDate",SessionLog!$F$2:$F$309,"P")</f>
        <v/>
      </c>
      <c r="R13" s="2">
        <f>COUNTIFS(SessionLog!$B$2:$B$309,$A13,SessionLog!$E$2:$E$309,"SE_mysql.Posttypes.Id",SessionLog!$F$2:$F$309,"M")</f>
        <v/>
      </c>
      <c r="S13" s="2">
        <f>COUNTIFS(SessionLog!$B$2:$B$309,$A13,SessionLog!$E$2:$E$309,"SE_mysql.Posttypes.Id",SessionLog!$F$2:$F$309,"P")</f>
        <v/>
      </c>
      <c r="T13" s="2">
        <f>COUNTIFS(SessionLog!$B$2:$B$309,$A13,SessionLog!$E$2:$E$309,"SE_mysql.Posttypes.Name",SessionLog!$F$2:$F$309,"M")</f>
        <v/>
      </c>
      <c r="U13" s="2">
        <f>COUNTIFS(SessionLog!$B$2:$B$309,$A13,SessionLog!$E$2:$E$309,"SE_mysql.Posttypes.Name",SessionLog!$F$2:$F$309,"P")</f>
        <v/>
      </c>
      <c r="V13" s="2">
        <f>COUNTIFS(SessionLog!$B$2:$B$309,$A13,SessionLog!$E$2:$E$309,"SE_mysql.Users.Id",SessionLog!$F$2:$F$309,"M")</f>
        <v/>
      </c>
      <c r="W13" s="2">
        <f>COUNTIFS(SessionLog!$B$2:$B$309,$A13,SessionLog!$E$2:$E$309,"SE_mysql.Users.Id",SessionLog!$F$2:$F$309,"P")</f>
        <v/>
      </c>
      <c r="X13" s="2">
        <f>COUNTIFS(SessionLog!$B$2:$B$309,$A13,SessionLog!$E$2:$E$309,"SE_mysql.Users.Views",SessionLog!$F$2:$F$309,"M")</f>
        <v/>
      </c>
      <c r="Y13" s="2">
        <f>COUNTIFS(SessionLog!$B$2:$B$309,$A13,SessionLog!$E$2:$E$309,"SE_mysql.Users.Views",SessionLog!$F$2:$F$309,"P")</f>
        <v/>
      </c>
      <c r="Z13" s="2">
        <f>COUNTIFS(SessionLog!$B$2:$B$309,$A13,SessionLog!$E$2:$E$309,"SE_mysql.Users.UpVotes",SessionLog!$F$2:$F$309,"M")</f>
        <v/>
      </c>
      <c r="AA13" s="2">
        <f>COUNTIFS(SessionLog!$B$2:$B$309,$A13,SessionLog!$E$2:$E$309,"SE_mysql.Users.UpVotes",SessionLog!$F$2:$F$309,"P")</f>
        <v/>
      </c>
      <c r="AB13" s="2">
        <f>COUNTIFS(SessionLog!$B$2:$B$309,$A13,SessionLog!$E$2:$E$309,"SE_mysql.Users.DisplayName",SessionLog!$F$2:$F$309,"M")</f>
        <v/>
      </c>
      <c r="AC13" s="2">
        <f>COUNTIFS(SessionLog!$B$2:$B$309,$A13,SessionLog!$E$2:$E$309,"SE_mysql.Users.DisplayName",SessionLog!$F$2:$F$309,"P")</f>
        <v/>
      </c>
      <c r="AD13" s="2">
        <f>COUNTIFS(SessionLog!$B$2:$B$309,$A13,SessionLog!$E$2:$E$309,"SE_mysql.Users.DownVotes",SessionLog!$F$2:$F$309,"M")</f>
        <v/>
      </c>
      <c r="AE13" s="2">
        <f>COUNTIFS(SessionLog!$B$2:$B$309,$A13,SessionLog!$E$2:$E$309,"SE_mysql.Users.DownVotes",SessionLog!$F$2:$F$309,"P")</f>
        <v/>
      </c>
      <c r="AF13" s="2">
        <f>COUNTIFS(SessionLog!$B$2:$B$309,$A13,SessionLog!$E$2:$E$309,"SE_mysql.Users.LastAccessDate",SessionLog!$F$2:$F$309,"M")</f>
        <v/>
      </c>
      <c r="AG13" s="2">
        <f>COUNTIFS(SessionLog!$B$2:$B$309,$A13,SessionLog!$E$2:$E$309,"SE_mysql.Users.LastAccessDate",SessionLog!$F$2:$F$309,"P")</f>
        <v/>
      </c>
      <c r="AH13" s="2">
        <f>COUNTIFS(SessionLog!$B$2:$B$309,$A13,SessionLog!$E$2:$E$309,"SE_mysql.Users.Reputation",SessionLog!$F$2:$F$309,"M")</f>
        <v/>
      </c>
      <c r="AI13" s="2">
        <f>COUNTIFS(SessionLog!$B$2:$B$309,$A13,SessionLog!$E$2:$E$309,"SE_mysql.Users.Reputation",SessionLog!$F$2:$F$309,"P")</f>
        <v/>
      </c>
      <c r="AJ13" s="2">
        <f>COUNTIFS(SessionLog!$B$2:$B$309,$A13,SessionLog!$E$2:$E$309,"SE_mysql.Flagtypes.Id",SessionLog!$F$2:$F$309,"M")</f>
        <v/>
      </c>
      <c r="AK13" s="2">
        <f>COUNTIFS(SessionLog!$B$2:$B$309,$A13,SessionLog!$E$2:$E$309,"SE_mysql.Flagtypes.Id",SessionLog!$F$2:$F$309,"P")</f>
        <v/>
      </c>
      <c r="AL13" s="2">
        <f>COUNTIFS(SessionLog!$B$2:$B$309,$A13,SessionLog!$E$2:$E$309,"SE_mysql.Flagtypes.Name",SessionLog!$F$2:$F$309,"M")</f>
        <v/>
      </c>
      <c r="AM13" s="2">
        <f>COUNTIFS(SessionLog!$B$2:$B$309,$A13,SessionLog!$E$2:$E$309,"SE_mysql.Flagtypes.Name",SessionLog!$F$2:$F$309,"P")</f>
        <v/>
      </c>
      <c r="AN13" s="2">
        <f>COUNTIFS(SessionLog!$B$2:$B$309,$A13,SessionLog!$E$2:$E$309,"SE_mysql.Votes.Id",SessionLog!$F$2:$F$309,"M")</f>
        <v/>
      </c>
      <c r="AO13" s="2">
        <f>COUNTIFS(SessionLog!$B$2:$B$309,$A13,SessionLog!$E$2:$E$309,"SE_mysql.Votes.Id",SessionLog!$F$2:$F$309,"P")</f>
        <v/>
      </c>
      <c r="AP13" s="2">
        <f>COUNTIFS(SessionLog!$B$2:$B$309,$A13,SessionLog!$E$2:$E$309,"SE_mysql.Votes.UserId",SessionLog!$F$2:$F$309,"M")</f>
        <v/>
      </c>
      <c r="AQ13" s="2">
        <f>COUNTIFS(SessionLog!$B$2:$B$309,$A13,SessionLog!$E$2:$E$309,"SE_mysql.Votes.UserId",SessionLog!$F$2:$F$309,"P")</f>
        <v/>
      </c>
      <c r="AR13" s="2">
        <f>COUNTIFS(SessionLog!$B$2:$B$309,$A13,SessionLog!$E$2:$E$309,"SE_mysql.Votes.BountyAmount",SessionLog!$F$2:$F$309,"M")</f>
        <v/>
      </c>
      <c r="AS13" s="2">
        <f>COUNTIFS(SessionLog!$B$2:$B$309,$A13,SessionLog!$E$2:$E$309,"SE_mysql.Votes.BountyAmount",SessionLog!$F$2:$F$309,"P")</f>
        <v/>
      </c>
      <c r="AT13" s="2">
        <f>COUNTIFS(SessionLog!$B$2:$B$309,$A13,SessionLog!$E$2:$E$309,"SE_mysql.Votes.CreationDate",SessionLog!$F$2:$F$309,"M")</f>
        <v/>
      </c>
      <c r="AU13" s="2">
        <f>COUNTIFS(SessionLog!$B$2:$B$309,$A13,SessionLog!$E$2:$E$309,"SE_mysql.Votes.CreationDate",SessionLog!$F$2:$F$309,"P")</f>
        <v/>
      </c>
      <c r="AV13" s="2">
        <f>COUNTIFS(SessionLog!$B$2:$B$309,$A13,SessionLog!$E$2:$E$309,"SE_mysql.Votes.PostId",SessionLog!$F$2:$F$309,"M")</f>
        <v/>
      </c>
      <c r="AW13" s="2">
        <f>COUNTIFS(SessionLog!$B$2:$B$309,$A13,SessionLog!$E$2:$E$309,"SE_mysql.Votes.PostId",SessionLog!$F$2:$F$309,"P")</f>
        <v/>
      </c>
      <c r="AX13" s="2">
        <f>COUNTIFS(SessionLog!$B$2:$B$309,$A13,SessionLog!$E$2:$E$309,"SE_mysql.Votes.VoteTypeId",SessionLog!$F$2:$F$309,"M")</f>
        <v/>
      </c>
      <c r="AY13" s="2">
        <f>COUNTIFS(SessionLog!$B$2:$B$309,$A13,SessionLog!$E$2:$E$309,"SE_mysql.Votes.VoteTypeId",SessionLog!$F$2:$F$309,"P")</f>
        <v/>
      </c>
      <c r="AZ13" s="2">
        <f>COUNTIFS(SessionLog!$B$2:$B$309,$A13,SessionLog!$E$2:$E$309,"SE_mysql.Votetypes.Id",SessionLog!$F$2:$F$309,"M")</f>
        <v/>
      </c>
      <c r="BA13" s="2">
        <f>COUNTIFS(SessionLog!$B$2:$B$309,$A13,SessionLog!$E$2:$E$309,"SE_mysql.Votetypes.Id",SessionLog!$F$2:$F$309,"P")</f>
        <v/>
      </c>
      <c r="BB13" s="2">
        <f>COUNTIFS(SessionLog!$B$2:$B$309,$A13,SessionLog!$E$2:$E$309,"SE_mysql.Votetypes.Name",SessionLog!$F$2:$F$309,"M")</f>
        <v/>
      </c>
      <c r="BC13" s="2">
        <f>COUNTIFS(SessionLog!$B$2:$B$309,$A13,SessionLog!$E$2:$E$309,"SE_mysql.Votetypes.Name",SessionLog!$F$2:$F$309,"P")</f>
        <v/>
      </c>
      <c r="BD13" s="2">
        <f>COUNTIFS(SessionLog!$B$2:$B$309,$A13,SessionLog!$E$2:$E$309,"SE_mongodb.Badges.Id",SessionLog!$F$2:$F$309,"M")</f>
        <v/>
      </c>
      <c r="BE13" s="2">
        <f>COUNTIFS(SessionLog!$B$2:$B$309,$A13,SessionLog!$E$2:$E$309,"SE_mongodb.Badges.Id",SessionLog!$F$2:$F$309,"P")</f>
        <v/>
      </c>
      <c r="BF13" s="2">
        <f>COUNTIFS(SessionLog!$B$2:$B$309,$A13,SessionLog!$E$2:$E$309,"SE_mongodb.Badges.UserId",SessionLog!$F$2:$F$309,"M")</f>
        <v/>
      </c>
      <c r="BG13" s="2">
        <f>COUNTIFS(SessionLog!$B$2:$B$309,$A13,SessionLog!$E$2:$E$309,"SE_mongodb.Badges.UserId",SessionLog!$F$2:$F$309,"P")</f>
        <v/>
      </c>
      <c r="BH13" s="2">
        <f>COUNTIFS(SessionLog!$B$2:$B$309,$A13,SessionLog!$E$2:$E$309,"SE_mongodb.Badges.Name",SessionLog!$F$2:$F$309,"M")</f>
        <v/>
      </c>
      <c r="BI13" s="2">
        <f>COUNTIFS(SessionLog!$B$2:$B$309,$A13,SessionLog!$E$2:$E$309,"SE_mongodb.Badges.Name",SessionLog!$F$2:$F$309,"P")</f>
        <v/>
      </c>
      <c r="BJ13" s="2">
        <f>COUNTIFS(SessionLog!$B$2:$B$309,$A13,SessionLog!$E$2:$E$309,"SE_mongodb.Badges.Date",SessionLog!$F$2:$F$309,"M")</f>
        <v/>
      </c>
      <c r="BK13" s="2">
        <f>COUNTIFS(SessionLog!$B$2:$B$309,$A13,SessionLog!$E$2:$E$309,"SE_mongodb.Badges.Date",SessionLog!$F$2:$F$309,"P")</f>
        <v/>
      </c>
      <c r="BL13" s="2">
        <f>COUNTIFS(SessionLog!$B$2:$B$309,$A13,SessionLog!$E$2:$E$309,"SE_mongodb.Posts.Id",SessionLog!$F$2:$F$309,"M")</f>
        <v/>
      </c>
      <c r="BM13" s="2">
        <f>COUNTIFS(SessionLog!$B$2:$B$309,$A13,SessionLog!$E$2:$E$309,"SE_mongodb.Posts.Id",SessionLog!$F$2:$F$309,"P")</f>
        <v/>
      </c>
      <c r="BN13" s="2">
        <f>COUNTIFS(SessionLog!$B$2:$B$309,$A13,SessionLog!$E$2:$E$309,"SE_mongodb.Posts.Tags",SessionLog!$F$2:$F$309,"M")</f>
        <v/>
      </c>
      <c r="BO13" s="2">
        <f>COUNTIFS(SessionLog!$B$2:$B$309,$A13,SessionLog!$E$2:$E$309,"SE_mongodb.Posts.Tags",SessionLog!$F$2:$F$309,"P")</f>
        <v/>
      </c>
      <c r="BP13" s="2">
        <f>COUNTIFS(SessionLog!$B$2:$B$309,$A13,SessionLog!$E$2:$E$309,"SE_mongodb.Posts.Body",SessionLog!$F$2:$F$309,"M")</f>
        <v/>
      </c>
      <c r="BQ13" s="2">
        <f>COUNTIFS(SessionLog!$B$2:$B$309,$A13,SessionLog!$E$2:$E$309,"SE_mongodb.Posts.Body",SessionLog!$F$2:$F$309,"P")</f>
        <v/>
      </c>
      <c r="BR13" s="2">
        <f>COUNTIFS(SessionLog!$B$2:$B$309,$A13,SessionLog!$E$2:$E$309,"SE_mongodb.Users.Id",SessionLog!$F$2:$F$309,"M")</f>
        <v/>
      </c>
      <c r="BS13" s="2">
        <f>COUNTIFS(SessionLog!$B$2:$B$309,$A13,SessionLog!$E$2:$E$309,"SE_mongodb.Users.Id",SessionLog!$F$2:$F$309,"P")</f>
        <v/>
      </c>
      <c r="BT13" s="2">
        <f>COUNTIFS(SessionLog!$B$2:$B$309,$A13,SessionLog!$E$2:$E$309,"SE_mongodb.Users.DisplayName",SessionLog!$F$2:$F$309,"M")</f>
        <v/>
      </c>
      <c r="BU13" s="2">
        <f>COUNTIFS(SessionLog!$B$2:$B$309,$A13,SessionLog!$E$2:$E$309,"SE_mongodb.Users.DisplayName",SessionLog!$F$2:$F$309,"P")</f>
        <v/>
      </c>
      <c r="BV13" s="2">
        <f>COUNTIFS(SessionLog!$B$2:$B$309,$A13,SessionLog!$E$2:$E$309,"SE_mongodb.Users.AboutMe",SessionLog!$F$2:$F$309,"M")</f>
        <v/>
      </c>
      <c r="BW13" s="2">
        <f>COUNTIFS(SessionLog!$B$2:$B$309,$A13,SessionLog!$E$2:$E$309,"SE_mongodb.Users.AboutMe",SessionLog!$F$2:$F$309,"P")</f>
        <v/>
      </c>
      <c r="BX13" s="2">
        <f>COUNTIFS(SessionLog!$B$2:$B$309,$A13,SessionLog!$E$2:$E$309,"SE_mongodb.Comments.Id",SessionLog!$F$2:$F$309,"M")</f>
        <v/>
      </c>
      <c r="BY13" s="2">
        <f>COUNTIFS(SessionLog!$B$2:$B$309,$A13,SessionLog!$E$2:$E$309,"SE_mongodb.Comments.Id",SessionLog!$F$2:$F$309,"P")</f>
        <v/>
      </c>
      <c r="BZ13" s="2">
        <f>COUNTIFS(SessionLog!$B$2:$B$309,$A13,SessionLog!$E$2:$E$309,"SE_mongodb.Comments.UserId",SessionLog!$F$2:$F$309,"M")</f>
        <v/>
      </c>
      <c r="CA13" s="2">
        <f>COUNTIFS(SessionLog!$B$2:$B$309,$A13,SessionLog!$E$2:$E$309,"SE_mongodb.Comments.UserId",SessionLog!$F$2:$F$309,"P")</f>
        <v/>
      </c>
      <c r="CB13" s="2">
        <f>COUNTIFS(SessionLog!$B$2:$B$309,$A13,SessionLog!$E$2:$E$309,"SE_mongodb.Comments.Text",SessionLog!$F$2:$F$309,"M")</f>
        <v/>
      </c>
      <c r="CC13" s="2">
        <f>COUNTIFS(SessionLog!$B$2:$B$309,$A13,SessionLog!$E$2:$E$309,"SE_mongodb.Comments.Text",SessionLog!$F$2:$F$309,"P")</f>
        <v/>
      </c>
      <c r="CD13" s="2">
        <f>COUNTIFS(SessionLog!$B$2:$B$309,$A13,SessionLog!$E$2:$E$309,"SE_mongodb.Comments.PostId",SessionLog!$F$2:$F$309,"M")</f>
        <v/>
      </c>
      <c r="CE13" s="2">
        <f>COUNTIFS(SessionLog!$B$2:$B$309,$A13,SessionLog!$E$2:$E$309,"SE_mongodb.Comments.PostId",SessionLog!$F$2:$F$309,"P")</f>
        <v/>
      </c>
      <c r="CF13" s="2">
        <f>COUNTIFS(SessionLog!$B$2:$B$309,$A13,SessionLog!$E$2:$E$309,"SE_neo4j.postlinks.id",SessionLog!$F$2:$F$309,"M")</f>
        <v/>
      </c>
      <c r="CG13" s="2">
        <f>COUNTIFS(SessionLog!$B$2:$B$309,$A13,SessionLog!$E$2:$E$309,"SE_neo4j.postlinks.id",SessionLog!$F$2:$F$309,"P")</f>
        <v/>
      </c>
      <c r="CH13" s="2">
        <f>COUNTIFS(SessionLog!$B$2:$B$309,$A13,SessionLog!$E$2:$E$309,"SE_neo4j.postlinks.LinkTypeId",SessionLog!$F$2:$F$309,"M")</f>
        <v/>
      </c>
      <c r="CI13" s="2">
        <f>COUNTIFS(SessionLog!$B$2:$B$309,$A13,SessionLog!$E$2:$E$309,"SE_neo4j.postlinks.LinkTypeId",SessionLog!$F$2:$F$309,"P")</f>
        <v/>
      </c>
      <c r="CJ13" s="2">
        <f>COUNTIFS(SessionLog!$B$2:$B$309,$A13,SessionLog!$E$2:$E$309,"SE_neo4j.postlinks.RelatedPostId",SessionLog!$F$2:$F$309,"M")</f>
        <v/>
      </c>
      <c r="CK13" s="2">
        <f>COUNTIFS(SessionLog!$B$2:$B$309,$A13,SessionLog!$E$2:$E$309,"SE_neo4j.postlinks.RelatedPostId",SessionLog!$F$2:$F$309,"P")</f>
        <v/>
      </c>
      <c r="CL13" s="2">
        <f>COUNTIFS(SessionLog!$B$2:$B$309,$A13,SessionLog!$E$2:$E$309,"SE_neo4j.postlinks.PostIdd",SessionLog!$F$2:$F$309,"M")</f>
        <v/>
      </c>
      <c r="CM13" s="2">
        <f>COUNTIFS(SessionLog!$B$2:$B$309,$A13,SessionLog!$E$2:$E$309,"SE_neo4j.postlinks.PostIdd",SessionLog!$F$2:$F$309,"P")</f>
        <v/>
      </c>
      <c r="CN13" s="2">
        <f>COUNTIFS(SessionLog!$B$2:$B$309,$A13,SessionLog!$E$2:$E$309,"SE_neo4j.postlinks.CreationDate",SessionLog!$F$2:$F$309,"M")</f>
        <v/>
      </c>
      <c r="CO13" s="2">
        <f>COUNTIFS(SessionLog!$B$2:$B$309,$A13,SessionLog!$E$2:$E$309,"SE_neo4j.postlinks.CreationDate",SessionLog!$F$2:$F$309,"P")</f>
        <v/>
      </c>
      <c r="CP13" s="2">
        <f>COUNTIFS(SessionLog!$B$2:$B$309,$A13,SessionLog!$E$2:$E$309,"SE_neo4j.Posts.id",SessionLog!$F$2:$F$309,"M")</f>
        <v/>
      </c>
      <c r="CQ13" s="2">
        <f>COUNTIFS(SessionLog!$B$2:$B$309,$A13,SessionLog!$E$2:$E$309,"SE_neo4j.Posts.id",SessionLog!$F$2:$F$309,"P")</f>
        <v/>
      </c>
      <c r="CR13" s="2">
        <f>COUNTIFS(SessionLog!$B$2:$B$309,$A13,SessionLog!$E$2:$E$309,"SE_neo4j.Posts.posttypeid",SessionLog!$F$2:$F$309,"M")</f>
        <v/>
      </c>
      <c r="CS13" s="2">
        <f>COUNTIFS(SessionLog!$B$2:$B$309,$A13,SessionLog!$E$2:$E$309,"SE_neo4j.Posts.posttypeid",SessionLog!$F$2:$F$309,"P")</f>
        <v/>
      </c>
      <c r="CT13" s="2">
        <f>COUNTIFS(SessionLog!$B$2:$B$309,$A13,SessionLog!$E$2:$E$309,"SE_neo4j.Posts.parentid",SessionLog!$F$2:$F$309,"M")</f>
        <v/>
      </c>
      <c r="CU13" s="2">
        <f>COUNTIFS(SessionLog!$B$2:$B$309,$A13,SessionLog!$E$2:$E$309,"SE_neo4j.Posts.parentid",SessionLog!$F$2:$F$309,"P")</f>
        <v/>
      </c>
      <c r="CV13" s="2">
        <f>COUNTIFS(SessionLog!$B$2:$B$309,$A13,SessionLog!$E$2:$E$309,"SE_neo4j.Posts.owneruserid",SessionLog!$F$2:$F$309,"M")</f>
        <v/>
      </c>
      <c r="CW13" s="2">
        <f>COUNTIFS(SessionLog!$B$2:$B$309,$A13,SessionLog!$E$2:$E$309,"SE_neo4j.Posts.owneruserid",SessionLog!$F$2:$F$309,"P")</f>
        <v/>
      </c>
      <c r="CX13" s="2">
        <f>COUNTIFS(SessionLog!$B$2:$B$309,$A13,SessionLog!$E$2:$E$309,"SE_neo4j.Posts.acceptedanswerid",SessionLog!$F$2:$F$309,"M")</f>
        <v/>
      </c>
      <c r="CY13" s="2">
        <f>COUNTIFS(SessionLog!$B$2:$B$309,$A13,SessionLog!$E$2:$E$309,"SE_neo4j.Posts.acceptedanswerid",SessionLog!$F$2:$F$309,"P")</f>
        <v/>
      </c>
      <c r="CZ13" s="2">
        <f>COUNTIFS(SessionLog!$B$2:$B$309,$A13,SessionLog!$E$2:$E$309,"SE_neo4j.Comments.id",SessionLog!$F$2:$F$309,"M")</f>
        <v/>
      </c>
      <c r="DA13" s="2">
        <f>COUNTIFS(SessionLog!$B$2:$B$309,$A13,SessionLog!$E$2:$E$309,"SE_neo4j.Comments.id",SessionLog!$F$2:$F$309,"P")</f>
        <v/>
      </c>
      <c r="DB13" s="2">
        <f>COUNTIFS(SessionLog!$B$2:$B$309,$A13,SessionLog!$E$2:$E$309,"SE_neo4j.Comments.creationdate",SessionLog!$F$2:$F$309,"M")</f>
        <v/>
      </c>
      <c r="DC13" s="2">
        <f>COUNTIFS(SessionLog!$B$2:$B$309,$A13,SessionLog!$E$2:$E$309,"SE_neo4j.Comments.creationdate",SessionLog!$F$2:$F$309,"P")</f>
        <v/>
      </c>
      <c r="DD13" s="2">
        <f>COUNTIFS(SessionLog!$B$2:$B$309,$A13,SessionLog!$E$2:$E$309,"SE_neo4j.Comments.score",SessionLog!$F$2:$F$309,"M")</f>
        <v/>
      </c>
      <c r="DE13" s="2">
        <f>COUNTIFS(SessionLog!$B$2:$B$309,$A13,SessionLog!$E$2:$E$309,"SE_neo4j.Comments.score",SessionLog!$F$2:$F$309,"P")</f>
        <v/>
      </c>
      <c r="DF13" s="2">
        <f>COUNTIFS(SessionLog!$B$2:$B$309,$A13,SessionLog!$E$2:$E$309,"SE_neo4j.Users.id",SessionLog!$F$2:$F$309,"M")</f>
        <v/>
      </c>
      <c r="DG13" s="2">
        <f>COUNTIFS(SessionLog!$B$2:$B$309,$A13,SessionLog!$E$2:$E$309,"SE_neo4j.Users.id",SessionLog!$F$2:$F$309,"P")</f>
        <v/>
      </c>
      <c r="DH13" s="2">
        <f>COUNTIFS(SessionLog!$B$2:$B$309,$A13,SessionLog!$E$2:$E$309,"SE_neo4j.Users.accountid",SessionLog!$F$2:$F$309,"M")</f>
        <v/>
      </c>
      <c r="DI13" s="2">
        <f>COUNTIFS(SessionLog!$B$2:$B$309,$A13,SessionLog!$E$2:$E$309,"SE_neo4j.Users.accountid",SessionLog!$F$2:$F$309,"P")</f>
        <v/>
      </c>
      <c r="DJ13" s="2">
        <f>COUNTIFS(SessionLog!$B$2:$B$309,$A13,SessionLog!$E$2:$E$309,"SE_neo4j.Users.displayname",SessionLog!$F$2:$F$309,"M")</f>
        <v/>
      </c>
      <c r="DK13" s="2">
        <f>COUNTIFS(SessionLog!$B$2:$B$309,$A13,SessionLog!$E$2:$E$309,"SE_neo4j.Users.displayname",SessionLog!$F$2:$F$309,"P")</f>
        <v/>
      </c>
      <c r="DL13" s="2">
        <f>COUNTIFS(SessionLog!$B$2:$B$309,$A13,SessionLog!$E$2:$E$309,"SE_neo4j.Users.creationdate",SessionLog!$F$2:$F$309,"M")</f>
        <v/>
      </c>
      <c r="DM13" s="2">
        <f>COUNTIFS(SessionLog!$B$2:$B$309,$A13,SessionLog!$E$2:$E$309,"SE_neo4j.Users.creationdate",SessionLog!$F$2:$F$309,"P")</f>
        <v/>
      </c>
      <c r="DN13" s="2">
        <f>COUNTIFS(SessionLog!$B$2:$B$309,$A13,SessionLog!$E$2:$E$309,"SE_neo4j.Tags.id",SessionLog!$F$2:$F$309,"M")</f>
        <v/>
      </c>
      <c r="DO13" s="2">
        <f>COUNTIFS(SessionLog!$B$2:$B$309,$A13,SessionLog!$E$2:$E$309,"SE_neo4j.Tags.id",SessionLog!$F$2:$F$309,"P")</f>
        <v/>
      </c>
      <c r="DP13" s="2">
        <f>COUNTIFS(SessionLog!$B$2:$B$309,$A13,SessionLog!$E$2:$E$309,"SE_neo4j.Tags.count",SessionLog!$F$2:$F$309,"M")</f>
        <v/>
      </c>
      <c r="DQ13" s="2">
        <f>COUNTIFS(SessionLog!$B$2:$B$309,$A13,SessionLog!$E$2:$E$309,"SE_neo4j.Tags.count",SessionLog!$F$2:$F$309,"P")</f>
        <v/>
      </c>
      <c r="DR13" s="2">
        <f>COUNTIFS(SessionLog!$B$2:$B$309,$A13,SessionLog!$E$2:$E$309,"SE_neo4j.Tags.wikipostid",SessionLog!$F$2:$F$309,"M")</f>
        <v/>
      </c>
      <c r="DS13" s="2">
        <f>COUNTIFS(SessionLog!$B$2:$B$309,$A13,SessionLog!$E$2:$E$309,"SE_neo4j.Tags.wikipostid",SessionLog!$F$2:$F$309,"P")</f>
        <v/>
      </c>
      <c r="DT13" s="2">
        <f>COUNTIFS(SessionLog!$B$2:$B$309,$A13,SessionLog!$E$2:$E$309,"SE_neo4j.Tags.tagname",SessionLog!$F$2:$F$309,"M")</f>
        <v/>
      </c>
      <c r="DU13" s="2">
        <f>COUNTIFS(SessionLog!$B$2:$B$309,$A13,SessionLog!$E$2:$E$309,"SE_neo4j.Tags.tagname",SessionLog!$F$2:$F$309,"P")</f>
        <v/>
      </c>
      <c r="DV13" s="2">
        <f>COUNTIFS(SessionLog!$B$2:$B$309,$A13,SessionLog!$E$2:$E$309,"SE_neo4j.Tags.excerptpostid",SessionLog!$F$2:$F$309,"M")</f>
        <v/>
      </c>
      <c r="DW13" s="2">
        <f>COUNTIFS(SessionLog!$B$2:$B$309,$A13,SessionLog!$E$2:$E$309,"SE_neo4j.Tags.excerptpostid",SessionLog!$F$2:$F$309,"P")</f>
        <v/>
      </c>
    </row>
    <row r="14">
      <c r="A14" s="2" t="inlineStr">
        <is>
          <t>E2</t>
        </is>
      </c>
      <c r="B14" s="2">
        <f>COUNTIFS(SessionLog!$B$2:$B$309,$A14,SessionLog!$E$2:$E$309,"SE_mysql.postes.Id",SessionLog!$F$2:$F$309,"M")</f>
        <v/>
      </c>
      <c r="C14" s="2">
        <f>COUNTIFS(SessionLog!$B$2:$B$309,$A14,SessionLog!$E$2:$E$309,"SE_mysql.postes.Id",SessionLog!$F$2:$F$309,"P")</f>
        <v/>
      </c>
      <c r="D14" s="2">
        <f>COUNTIFS(SessionLog!$B$2:$B$309,$A14,SessionLog!$E$2:$E$309,"SE_mysql.postes.PostTypeId",SessionLog!$F$2:$F$309,"M")</f>
        <v/>
      </c>
      <c r="E14" s="2">
        <f>COUNTIFS(SessionLog!$B$2:$B$309,$A14,SessionLog!$E$2:$E$309,"SE_mysql.postes.PostTypeId",SessionLog!$F$2:$F$309,"P")</f>
        <v/>
      </c>
      <c r="F14" s="2">
        <f>COUNTIFS(SessionLog!$B$2:$B$309,$A14,SessionLog!$E$2:$E$309,"SE_mysql.postes.Title",SessionLog!$F$2:$F$309,"M")</f>
        <v/>
      </c>
      <c r="G14" s="2">
        <f>COUNTIFS(SessionLog!$B$2:$B$309,$A14,SessionLog!$E$2:$E$309,"SE_mysql.postes.Title",SessionLog!$F$2:$F$309,"P")</f>
        <v/>
      </c>
      <c r="H14" s="2">
        <f>COUNTIFS(SessionLog!$B$2:$B$309,$A14,SessionLog!$E$2:$E$309,"SE_mysql.postes.OwnerUserId",SessionLog!$F$2:$F$309,"M")</f>
        <v/>
      </c>
      <c r="I14" s="2">
        <f>COUNTIFS(SessionLog!$B$2:$B$309,$A14,SessionLog!$E$2:$E$309,"SE_mysql.postes.OwnerUserId",SessionLog!$F$2:$F$309,"P")</f>
        <v/>
      </c>
      <c r="J14" s="2">
        <f>COUNTIFS(SessionLog!$B$2:$B$309,$A14,SessionLog!$E$2:$E$309,"SE_mysql.postes.ViewCount",SessionLog!$F$2:$F$309,"M")</f>
        <v/>
      </c>
      <c r="K14" s="2">
        <f>COUNTIFS(SessionLog!$B$2:$B$309,$A14,SessionLog!$E$2:$E$309,"SE_mysql.postes.ViewCount",SessionLog!$F$2:$F$309,"P")</f>
        <v/>
      </c>
      <c r="L14" s="2">
        <f>COUNTIFS(SessionLog!$B$2:$B$309,$A14,SessionLog!$E$2:$E$309,"SE_mysql.postes.LastEditDate",SessionLog!$F$2:$F$309,"M")</f>
        <v/>
      </c>
      <c r="M14" s="2">
        <f>COUNTIFS(SessionLog!$B$2:$B$309,$A14,SessionLog!$E$2:$E$309,"SE_mysql.postes.LastEditDate",SessionLog!$F$2:$F$309,"P")</f>
        <v/>
      </c>
      <c r="N14" s="2">
        <f>COUNTIFS(SessionLog!$B$2:$B$309,$A14,SessionLog!$E$2:$E$309,"SE_mysql.postes.LastEditorUserId",SessionLog!$F$2:$F$309,"M")</f>
        <v/>
      </c>
      <c r="O14" s="2">
        <f>COUNTIFS(SessionLog!$B$2:$B$309,$A14,SessionLog!$E$2:$E$309,"SE_mysql.postes.LastEditorUserId",SessionLog!$F$2:$F$309,"P")</f>
        <v/>
      </c>
      <c r="P14" s="2">
        <f>COUNTIFS(SessionLog!$B$2:$B$309,$A14,SessionLog!$E$2:$E$309,"SE_mysql.postes.CreationDate",SessionLog!$F$2:$F$309,"M")</f>
        <v/>
      </c>
      <c r="Q14" s="2">
        <f>COUNTIFS(SessionLog!$B$2:$B$309,$A14,SessionLog!$E$2:$E$309,"SE_mysql.postes.CreationDate",SessionLog!$F$2:$F$309,"P")</f>
        <v/>
      </c>
      <c r="R14" s="2">
        <f>COUNTIFS(SessionLog!$B$2:$B$309,$A14,SessionLog!$E$2:$E$309,"SE_mysql.Posttypes.Id",SessionLog!$F$2:$F$309,"M")</f>
        <v/>
      </c>
      <c r="S14" s="2">
        <f>COUNTIFS(SessionLog!$B$2:$B$309,$A14,SessionLog!$E$2:$E$309,"SE_mysql.Posttypes.Id",SessionLog!$F$2:$F$309,"P")</f>
        <v/>
      </c>
      <c r="T14" s="2">
        <f>COUNTIFS(SessionLog!$B$2:$B$309,$A14,SessionLog!$E$2:$E$309,"SE_mysql.Posttypes.Name",SessionLog!$F$2:$F$309,"M")</f>
        <v/>
      </c>
      <c r="U14" s="2">
        <f>COUNTIFS(SessionLog!$B$2:$B$309,$A14,SessionLog!$E$2:$E$309,"SE_mysql.Posttypes.Name",SessionLog!$F$2:$F$309,"P")</f>
        <v/>
      </c>
      <c r="V14" s="2">
        <f>COUNTIFS(SessionLog!$B$2:$B$309,$A14,SessionLog!$E$2:$E$309,"SE_mysql.Users.Id",SessionLog!$F$2:$F$309,"M")</f>
        <v/>
      </c>
      <c r="W14" s="2">
        <f>COUNTIFS(SessionLog!$B$2:$B$309,$A14,SessionLog!$E$2:$E$309,"SE_mysql.Users.Id",SessionLog!$F$2:$F$309,"P")</f>
        <v/>
      </c>
      <c r="X14" s="2">
        <f>COUNTIFS(SessionLog!$B$2:$B$309,$A14,SessionLog!$E$2:$E$309,"SE_mysql.Users.Views",SessionLog!$F$2:$F$309,"M")</f>
        <v/>
      </c>
      <c r="Y14" s="2">
        <f>COUNTIFS(SessionLog!$B$2:$B$309,$A14,SessionLog!$E$2:$E$309,"SE_mysql.Users.Views",SessionLog!$F$2:$F$309,"P")</f>
        <v/>
      </c>
      <c r="Z14" s="2">
        <f>COUNTIFS(SessionLog!$B$2:$B$309,$A14,SessionLog!$E$2:$E$309,"SE_mysql.Users.UpVotes",SessionLog!$F$2:$F$309,"M")</f>
        <v/>
      </c>
      <c r="AA14" s="2">
        <f>COUNTIFS(SessionLog!$B$2:$B$309,$A14,SessionLog!$E$2:$E$309,"SE_mysql.Users.UpVotes",SessionLog!$F$2:$F$309,"P")</f>
        <v/>
      </c>
      <c r="AB14" s="2">
        <f>COUNTIFS(SessionLog!$B$2:$B$309,$A14,SessionLog!$E$2:$E$309,"SE_mysql.Users.DisplayName",SessionLog!$F$2:$F$309,"M")</f>
        <v/>
      </c>
      <c r="AC14" s="2">
        <f>COUNTIFS(SessionLog!$B$2:$B$309,$A14,SessionLog!$E$2:$E$309,"SE_mysql.Users.DisplayName",SessionLog!$F$2:$F$309,"P")</f>
        <v/>
      </c>
      <c r="AD14" s="2">
        <f>COUNTIFS(SessionLog!$B$2:$B$309,$A14,SessionLog!$E$2:$E$309,"SE_mysql.Users.DownVotes",SessionLog!$F$2:$F$309,"M")</f>
        <v/>
      </c>
      <c r="AE14" s="2">
        <f>COUNTIFS(SessionLog!$B$2:$B$309,$A14,SessionLog!$E$2:$E$309,"SE_mysql.Users.DownVotes",SessionLog!$F$2:$F$309,"P")</f>
        <v/>
      </c>
      <c r="AF14" s="2">
        <f>COUNTIFS(SessionLog!$B$2:$B$309,$A14,SessionLog!$E$2:$E$309,"SE_mysql.Users.LastAccessDate",SessionLog!$F$2:$F$309,"M")</f>
        <v/>
      </c>
      <c r="AG14" s="2">
        <f>COUNTIFS(SessionLog!$B$2:$B$309,$A14,SessionLog!$E$2:$E$309,"SE_mysql.Users.LastAccessDate",SessionLog!$F$2:$F$309,"P")</f>
        <v/>
      </c>
      <c r="AH14" s="2">
        <f>COUNTIFS(SessionLog!$B$2:$B$309,$A14,SessionLog!$E$2:$E$309,"SE_mysql.Users.Reputation",SessionLog!$F$2:$F$309,"M")</f>
        <v/>
      </c>
      <c r="AI14" s="2">
        <f>COUNTIFS(SessionLog!$B$2:$B$309,$A14,SessionLog!$E$2:$E$309,"SE_mysql.Users.Reputation",SessionLog!$F$2:$F$309,"P")</f>
        <v/>
      </c>
      <c r="AJ14" s="2">
        <f>COUNTIFS(SessionLog!$B$2:$B$309,$A14,SessionLog!$E$2:$E$309,"SE_mysql.Flagtypes.Id",SessionLog!$F$2:$F$309,"M")</f>
        <v/>
      </c>
      <c r="AK14" s="2">
        <f>COUNTIFS(SessionLog!$B$2:$B$309,$A14,SessionLog!$E$2:$E$309,"SE_mysql.Flagtypes.Id",SessionLog!$F$2:$F$309,"P")</f>
        <v/>
      </c>
      <c r="AL14" s="2">
        <f>COUNTIFS(SessionLog!$B$2:$B$309,$A14,SessionLog!$E$2:$E$309,"SE_mysql.Flagtypes.Name",SessionLog!$F$2:$F$309,"M")</f>
        <v/>
      </c>
      <c r="AM14" s="2">
        <f>COUNTIFS(SessionLog!$B$2:$B$309,$A14,SessionLog!$E$2:$E$309,"SE_mysql.Flagtypes.Name",SessionLog!$F$2:$F$309,"P")</f>
        <v/>
      </c>
      <c r="AN14" s="2">
        <f>COUNTIFS(SessionLog!$B$2:$B$309,$A14,SessionLog!$E$2:$E$309,"SE_mysql.Votes.Id",SessionLog!$F$2:$F$309,"M")</f>
        <v/>
      </c>
      <c r="AO14" s="2">
        <f>COUNTIFS(SessionLog!$B$2:$B$309,$A14,SessionLog!$E$2:$E$309,"SE_mysql.Votes.Id",SessionLog!$F$2:$F$309,"P")</f>
        <v/>
      </c>
      <c r="AP14" s="2">
        <f>COUNTIFS(SessionLog!$B$2:$B$309,$A14,SessionLog!$E$2:$E$309,"SE_mysql.Votes.UserId",SessionLog!$F$2:$F$309,"M")</f>
        <v/>
      </c>
      <c r="AQ14" s="2">
        <f>COUNTIFS(SessionLog!$B$2:$B$309,$A14,SessionLog!$E$2:$E$309,"SE_mysql.Votes.UserId",SessionLog!$F$2:$F$309,"P")</f>
        <v/>
      </c>
      <c r="AR14" s="2">
        <f>COUNTIFS(SessionLog!$B$2:$B$309,$A14,SessionLog!$E$2:$E$309,"SE_mysql.Votes.BountyAmount",SessionLog!$F$2:$F$309,"M")</f>
        <v/>
      </c>
      <c r="AS14" s="2">
        <f>COUNTIFS(SessionLog!$B$2:$B$309,$A14,SessionLog!$E$2:$E$309,"SE_mysql.Votes.BountyAmount",SessionLog!$F$2:$F$309,"P")</f>
        <v/>
      </c>
      <c r="AT14" s="2">
        <f>COUNTIFS(SessionLog!$B$2:$B$309,$A14,SessionLog!$E$2:$E$309,"SE_mysql.Votes.CreationDate",SessionLog!$F$2:$F$309,"M")</f>
        <v/>
      </c>
      <c r="AU14" s="2">
        <f>COUNTIFS(SessionLog!$B$2:$B$309,$A14,SessionLog!$E$2:$E$309,"SE_mysql.Votes.CreationDate",SessionLog!$F$2:$F$309,"P")</f>
        <v/>
      </c>
      <c r="AV14" s="2">
        <f>COUNTIFS(SessionLog!$B$2:$B$309,$A14,SessionLog!$E$2:$E$309,"SE_mysql.Votes.PostId",SessionLog!$F$2:$F$309,"M")</f>
        <v/>
      </c>
      <c r="AW14" s="2">
        <f>COUNTIFS(SessionLog!$B$2:$B$309,$A14,SessionLog!$E$2:$E$309,"SE_mysql.Votes.PostId",SessionLog!$F$2:$F$309,"P")</f>
        <v/>
      </c>
      <c r="AX14" s="2">
        <f>COUNTIFS(SessionLog!$B$2:$B$309,$A14,SessionLog!$E$2:$E$309,"SE_mysql.Votes.VoteTypeId",SessionLog!$F$2:$F$309,"M")</f>
        <v/>
      </c>
      <c r="AY14" s="2">
        <f>COUNTIFS(SessionLog!$B$2:$B$309,$A14,SessionLog!$E$2:$E$309,"SE_mysql.Votes.VoteTypeId",SessionLog!$F$2:$F$309,"P")</f>
        <v/>
      </c>
      <c r="AZ14" s="2">
        <f>COUNTIFS(SessionLog!$B$2:$B$309,$A14,SessionLog!$E$2:$E$309,"SE_mysql.Votetypes.Id",SessionLog!$F$2:$F$309,"M")</f>
        <v/>
      </c>
      <c r="BA14" s="2">
        <f>COUNTIFS(SessionLog!$B$2:$B$309,$A14,SessionLog!$E$2:$E$309,"SE_mysql.Votetypes.Id",SessionLog!$F$2:$F$309,"P")</f>
        <v/>
      </c>
      <c r="BB14" s="2">
        <f>COUNTIFS(SessionLog!$B$2:$B$309,$A14,SessionLog!$E$2:$E$309,"SE_mysql.Votetypes.Name",SessionLog!$F$2:$F$309,"M")</f>
        <v/>
      </c>
      <c r="BC14" s="2">
        <f>COUNTIFS(SessionLog!$B$2:$B$309,$A14,SessionLog!$E$2:$E$309,"SE_mysql.Votetypes.Name",SessionLog!$F$2:$F$309,"P")</f>
        <v/>
      </c>
      <c r="BD14" s="2">
        <f>COUNTIFS(SessionLog!$B$2:$B$309,$A14,SessionLog!$E$2:$E$309,"SE_mongodb.Badges.Id",SessionLog!$F$2:$F$309,"M")</f>
        <v/>
      </c>
      <c r="BE14" s="2">
        <f>COUNTIFS(SessionLog!$B$2:$B$309,$A14,SessionLog!$E$2:$E$309,"SE_mongodb.Badges.Id",SessionLog!$F$2:$F$309,"P")</f>
        <v/>
      </c>
      <c r="BF14" s="2">
        <f>COUNTIFS(SessionLog!$B$2:$B$309,$A14,SessionLog!$E$2:$E$309,"SE_mongodb.Badges.UserId",SessionLog!$F$2:$F$309,"M")</f>
        <v/>
      </c>
      <c r="BG14" s="2">
        <f>COUNTIFS(SessionLog!$B$2:$B$309,$A14,SessionLog!$E$2:$E$309,"SE_mongodb.Badges.UserId",SessionLog!$F$2:$F$309,"P")</f>
        <v/>
      </c>
      <c r="BH14" s="2">
        <f>COUNTIFS(SessionLog!$B$2:$B$309,$A14,SessionLog!$E$2:$E$309,"SE_mongodb.Badges.Name",SessionLog!$F$2:$F$309,"M")</f>
        <v/>
      </c>
      <c r="BI14" s="2">
        <f>COUNTIFS(SessionLog!$B$2:$B$309,$A14,SessionLog!$E$2:$E$309,"SE_mongodb.Badges.Name",SessionLog!$F$2:$F$309,"P")</f>
        <v/>
      </c>
      <c r="BJ14" s="2">
        <f>COUNTIFS(SessionLog!$B$2:$B$309,$A14,SessionLog!$E$2:$E$309,"SE_mongodb.Badges.Date",SessionLog!$F$2:$F$309,"M")</f>
        <v/>
      </c>
      <c r="BK14" s="2">
        <f>COUNTIFS(SessionLog!$B$2:$B$309,$A14,SessionLog!$E$2:$E$309,"SE_mongodb.Badges.Date",SessionLog!$F$2:$F$309,"P")</f>
        <v/>
      </c>
      <c r="BL14" s="2">
        <f>COUNTIFS(SessionLog!$B$2:$B$309,$A14,SessionLog!$E$2:$E$309,"SE_mongodb.Posts.Id",SessionLog!$F$2:$F$309,"M")</f>
        <v/>
      </c>
      <c r="BM14" s="2">
        <f>COUNTIFS(SessionLog!$B$2:$B$309,$A14,SessionLog!$E$2:$E$309,"SE_mongodb.Posts.Id",SessionLog!$F$2:$F$309,"P")</f>
        <v/>
      </c>
      <c r="BN14" s="2">
        <f>COUNTIFS(SessionLog!$B$2:$B$309,$A14,SessionLog!$E$2:$E$309,"SE_mongodb.Posts.Tags",SessionLog!$F$2:$F$309,"M")</f>
        <v/>
      </c>
      <c r="BO14" s="2">
        <f>COUNTIFS(SessionLog!$B$2:$B$309,$A14,SessionLog!$E$2:$E$309,"SE_mongodb.Posts.Tags",SessionLog!$F$2:$F$309,"P")</f>
        <v/>
      </c>
      <c r="BP14" s="2">
        <f>COUNTIFS(SessionLog!$B$2:$B$309,$A14,SessionLog!$E$2:$E$309,"SE_mongodb.Posts.Body",SessionLog!$F$2:$F$309,"M")</f>
        <v/>
      </c>
      <c r="BQ14" s="2">
        <f>COUNTIFS(SessionLog!$B$2:$B$309,$A14,SessionLog!$E$2:$E$309,"SE_mongodb.Posts.Body",SessionLog!$F$2:$F$309,"P")</f>
        <v/>
      </c>
      <c r="BR14" s="2">
        <f>COUNTIFS(SessionLog!$B$2:$B$309,$A14,SessionLog!$E$2:$E$309,"SE_mongodb.Users.Id",SessionLog!$F$2:$F$309,"M")</f>
        <v/>
      </c>
      <c r="BS14" s="2">
        <f>COUNTIFS(SessionLog!$B$2:$B$309,$A14,SessionLog!$E$2:$E$309,"SE_mongodb.Users.Id",SessionLog!$F$2:$F$309,"P")</f>
        <v/>
      </c>
      <c r="BT14" s="2">
        <f>COUNTIFS(SessionLog!$B$2:$B$309,$A14,SessionLog!$E$2:$E$309,"SE_mongodb.Users.DisplayName",SessionLog!$F$2:$F$309,"M")</f>
        <v/>
      </c>
      <c r="BU14" s="2">
        <f>COUNTIFS(SessionLog!$B$2:$B$309,$A14,SessionLog!$E$2:$E$309,"SE_mongodb.Users.DisplayName",SessionLog!$F$2:$F$309,"P")</f>
        <v/>
      </c>
      <c r="BV14" s="2">
        <f>COUNTIFS(SessionLog!$B$2:$B$309,$A14,SessionLog!$E$2:$E$309,"SE_mongodb.Users.AboutMe",SessionLog!$F$2:$F$309,"M")</f>
        <v/>
      </c>
      <c r="BW14" s="2">
        <f>COUNTIFS(SessionLog!$B$2:$B$309,$A14,SessionLog!$E$2:$E$309,"SE_mongodb.Users.AboutMe",SessionLog!$F$2:$F$309,"P")</f>
        <v/>
      </c>
      <c r="BX14" s="2">
        <f>COUNTIFS(SessionLog!$B$2:$B$309,$A14,SessionLog!$E$2:$E$309,"SE_mongodb.Comments.Id",SessionLog!$F$2:$F$309,"M")</f>
        <v/>
      </c>
      <c r="BY14" s="2">
        <f>COUNTIFS(SessionLog!$B$2:$B$309,$A14,SessionLog!$E$2:$E$309,"SE_mongodb.Comments.Id",SessionLog!$F$2:$F$309,"P")</f>
        <v/>
      </c>
      <c r="BZ14" s="2">
        <f>COUNTIFS(SessionLog!$B$2:$B$309,$A14,SessionLog!$E$2:$E$309,"SE_mongodb.Comments.UserId",SessionLog!$F$2:$F$309,"M")</f>
        <v/>
      </c>
      <c r="CA14" s="2">
        <f>COUNTIFS(SessionLog!$B$2:$B$309,$A14,SessionLog!$E$2:$E$309,"SE_mongodb.Comments.UserId",SessionLog!$F$2:$F$309,"P")</f>
        <v/>
      </c>
      <c r="CB14" s="2">
        <f>COUNTIFS(SessionLog!$B$2:$B$309,$A14,SessionLog!$E$2:$E$309,"SE_mongodb.Comments.Text",SessionLog!$F$2:$F$309,"M")</f>
        <v/>
      </c>
      <c r="CC14" s="2">
        <f>COUNTIFS(SessionLog!$B$2:$B$309,$A14,SessionLog!$E$2:$E$309,"SE_mongodb.Comments.Text",SessionLog!$F$2:$F$309,"P")</f>
        <v/>
      </c>
      <c r="CD14" s="2">
        <f>COUNTIFS(SessionLog!$B$2:$B$309,$A14,SessionLog!$E$2:$E$309,"SE_mongodb.Comments.PostId",SessionLog!$F$2:$F$309,"M")</f>
        <v/>
      </c>
      <c r="CE14" s="2">
        <f>COUNTIFS(SessionLog!$B$2:$B$309,$A14,SessionLog!$E$2:$E$309,"SE_mongodb.Comments.PostId",SessionLog!$F$2:$F$309,"P")</f>
        <v/>
      </c>
      <c r="CF14" s="2">
        <f>COUNTIFS(SessionLog!$B$2:$B$309,$A14,SessionLog!$E$2:$E$309,"SE_neo4j.postlinks.id",SessionLog!$F$2:$F$309,"M")</f>
        <v/>
      </c>
      <c r="CG14" s="2">
        <f>COUNTIFS(SessionLog!$B$2:$B$309,$A14,SessionLog!$E$2:$E$309,"SE_neo4j.postlinks.id",SessionLog!$F$2:$F$309,"P")</f>
        <v/>
      </c>
      <c r="CH14" s="2">
        <f>COUNTIFS(SessionLog!$B$2:$B$309,$A14,SessionLog!$E$2:$E$309,"SE_neo4j.postlinks.LinkTypeId",SessionLog!$F$2:$F$309,"M")</f>
        <v/>
      </c>
      <c r="CI14" s="2">
        <f>COUNTIFS(SessionLog!$B$2:$B$309,$A14,SessionLog!$E$2:$E$309,"SE_neo4j.postlinks.LinkTypeId",SessionLog!$F$2:$F$309,"P")</f>
        <v/>
      </c>
      <c r="CJ14" s="2">
        <f>COUNTIFS(SessionLog!$B$2:$B$309,$A14,SessionLog!$E$2:$E$309,"SE_neo4j.postlinks.RelatedPostId",SessionLog!$F$2:$F$309,"M")</f>
        <v/>
      </c>
      <c r="CK14" s="2">
        <f>COUNTIFS(SessionLog!$B$2:$B$309,$A14,SessionLog!$E$2:$E$309,"SE_neo4j.postlinks.RelatedPostId",SessionLog!$F$2:$F$309,"P")</f>
        <v/>
      </c>
      <c r="CL14" s="2">
        <f>COUNTIFS(SessionLog!$B$2:$B$309,$A14,SessionLog!$E$2:$E$309,"SE_neo4j.postlinks.PostIdd",SessionLog!$F$2:$F$309,"M")</f>
        <v/>
      </c>
      <c r="CM14" s="2">
        <f>COUNTIFS(SessionLog!$B$2:$B$309,$A14,SessionLog!$E$2:$E$309,"SE_neo4j.postlinks.PostIdd",SessionLog!$F$2:$F$309,"P")</f>
        <v/>
      </c>
      <c r="CN14" s="2">
        <f>COUNTIFS(SessionLog!$B$2:$B$309,$A14,SessionLog!$E$2:$E$309,"SE_neo4j.postlinks.CreationDate",SessionLog!$F$2:$F$309,"M")</f>
        <v/>
      </c>
      <c r="CO14" s="2">
        <f>COUNTIFS(SessionLog!$B$2:$B$309,$A14,SessionLog!$E$2:$E$309,"SE_neo4j.postlinks.CreationDate",SessionLog!$F$2:$F$309,"P")</f>
        <v/>
      </c>
      <c r="CP14" s="2">
        <f>COUNTIFS(SessionLog!$B$2:$B$309,$A14,SessionLog!$E$2:$E$309,"SE_neo4j.Posts.id",SessionLog!$F$2:$F$309,"M")</f>
        <v/>
      </c>
      <c r="CQ14" s="2">
        <f>COUNTIFS(SessionLog!$B$2:$B$309,$A14,SessionLog!$E$2:$E$309,"SE_neo4j.Posts.id",SessionLog!$F$2:$F$309,"P")</f>
        <v/>
      </c>
      <c r="CR14" s="2">
        <f>COUNTIFS(SessionLog!$B$2:$B$309,$A14,SessionLog!$E$2:$E$309,"SE_neo4j.Posts.posttypeid",SessionLog!$F$2:$F$309,"M")</f>
        <v/>
      </c>
      <c r="CS14" s="2">
        <f>COUNTIFS(SessionLog!$B$2:$B$309,$A14,SessionLog!$E$2:$E$309,"SE_neo4j.Posts.posttypeid",SessionLog!$F$2:$F$309,"P")</f>
        <v/>
      </c>
      <c r="CT14" s="2">
        <f>COUNTIFS(SessionLog!$B$2:$B$309,$A14,SessionLog!$E$2:$E$309,"SE_neo4j.Posts.parentid",SessionLog!$F$2:$F$309,"M")</f>
        <v/>
      </c>
      <c r="CU14" s="2">
        <f>COUNTIFS(SessionLog!$B$2:$B$309,$A14,SessionLog!$E$2:$E$309,"SE_neo4j.Posts.parentid",SessionLog!$F$2:$F$309,"P")</f>
        <v/>
      </c>
      <c r="CV14" s="2">
        <f>COUNTIFS(SessionLog!$B$2:$B$309,$A14,SessionLog!$E$2:$E$309,"SE_neo4j.Posts.owneruserid",SessionLog!$F$2:$F$309,"M")</f>
        <v/>
      </c>
      <c r="CW14" s="2">
        <f>COUNTIFS(SessionLog!$B$2:$B$309,$A14,SessionLog!$E$2:$E$309,"SE_neo4j.Posts.owneruserid",SessionLog!$F$2:$F$309,"P")</f>
        <v/>
      </c>
      <c r="CX14" s="2">
        <f>COUNTIFS(SessionLog!$B$2:$B$309,$A14,SessionLog!$E$2:$E$309,"SE_neo4j.Posts.acceptedanswerid",SessionLog!$F$2:$F$309,"M")</f>
        <v/>
      </c>
      <c r="CY14" s="2">
        <f>COUNTIFS(SessionLog!$B$2:$B$309,$A14,SessionLog!$E$2:$E$309,"SE_neo4j.Posts.acceptedanswerid",SessionLog!$F$2:$F$309,"P")</f>
        <v/>
      </c>
      <c r="CZ14" s="2">
        <f>COUNTIFS(SessionLog!$B$2:$B$309,$A14,SessionLog!$E$2:$E$309,"SE_neo4j.Comments.id",SessionLog!$F$2:$F$309,"M")</f>
        <v/>
      </c>
      <c r="DA14" s="2">
        <f>COUNTIFS(SessionLog!$B$2:$B$309,$A14,SessionLog!$E$2:$E$309,"SE_neo4j.Comments.id",SessionLog!$F$2:$F$309,"P")</f>
        <v/>
      </c>
      <c r="DB14" s="2">
        <f>COUNTIFS(SessionLog!$B$2:$B$309,$A14,SessionLog!$E$2:$E$309,"SE_neo4j.Comments.creationdate",SessionLog!$F$2:$F$309,"M")</f>
        <v/>
      </c>
      <c r="DC14" s="2">
        <f>COUNTIFS(SessionLog!$B$2:$B$309,$A14,SessionLog!$E$2:$E$309,"SE_neo4j.Comments.creationdate",SessionLog!$F$2:$F$309,"P")</f>
        <v/>
      </c>
      <c r="DD14" s="2">
        <f>COUNTIFS(SessionLog!$B$2:$B$309,$A14,SessionLog!$E$2:$E$309,"SE_neo4j.Comments.score",SessionLog!$F$2:$F$309,"M")</f>
        <v/>
      </c>
      <c r="DE14" s="2">
        <f>COUNTIFS(SessionLog!$B$2:$B$309,$A14,SessionLog!$E$2:$E$309,"SE_neo4j.Comments.score",SessionLog!$F$2:$F$309,"P")</f>
        <v/>
      </c>
      <c r="DF14" s="2">
        <f>COUNTIFS(SessionLog!$B$2:$B$309,$A14,SessionLog!$E$2:$E$309,"SE_neo4j.Users.id",SessionLog!$F$2:$F$309,"M")</f>
        <v/>
      </c>
      <c r="DG14" s="2">
        <f>COUNTIFS(SessionLog!$B$2:$B$309,$A14,SessionLog!$E$2:$E$309,"SE_neo4j.Users.id",SessionLog!$F$2:$F$309,"P")</f>
        <v/>
      </c>
      <c r="DH14" s="2">
        <f>COUNTIFS(SessionLog!$B$2:$B$309,$A14,SessionLog!$E$2:$E$309,"SE_neo4j.Users.accountid",SessionLog!$F$2:$F$309,"M")</f>
        <v/>
      </c>
      <c r="DI14" s="2">
        <f>COUNTIFS(SessionLog!$B$2:$B$309,$A14,SessionLog!$E$2:$E$309,"SE_neo4j.Users.accountid",SessionLog!$F$2:$F$309,"P")</f>
        <v/>
      </c>
      <c r="DJ14" s="2">
        <f>COUNTIFS(SessionLog!$B$2:$B$309,$A14,SessionLog!$E$2:$E$309,"SE_neo4j.Users.displayname",SessionLog!$F$2:$F$309,"M")</f>
        <v/>
      </c>
      <c r="DK14" s="2">
        <f>COUNTIFS(SessionLog!$B$2:$B$309,$A14,SessionLog!$E$2:$E$309,"SE_neo4j.Users.displayname",SessionLog!$F$2:$F$309,"P")</f>
        <v/>
      </c>
      <c r="DL14" s="2">
        <f>COUNTIFS(SessionLog!$B$2:$B$309,$A14,SessionLog!$E$2:$E$309,"SE_neo4j.Users.creationdate",SessionLog!$F$2:$F$309,"M")</f>
        <v/>
      </c>
      <c r="DM14" s="2">
        <f>COUNTIFS(SessionLog!$B$2:$B$309,$A14,SessionLog!$E$2:$E$309,"SE_neo4j.Users.creationdate",SessionLog!$F$2:$F$309,"P")</f>
        <v/>
      </c>
      <c r="DN14" s="2">
        <f>COUNTIFS(SessionLog!$B$2:$B$309,$A14,SessionLog!$E$2:$E$309,"SE_neo4j.Tags.id",SessionLog!$F$2:$F$309,"M")</f>
        <v/>
      </c>
      <c r="DO14" s="2">
        <f>COUNTIFS(SessionLog!$B$2:$B$309,$A14,SessionLog!$E$2:$E$309,"SE_neo4j.Tags.id",SessionLog!$F$2:$F$309,"P")</f>
        <v/>
      </c>
      <c r="DP14" s="2">
        <f>COUNTIFS(SessionLog!$B$2:$B$309,$A14,SessionLog!$E$2:$E$309,"SE_neo4j.Tags.count",SessionLog!$F$2:$F$309,"M")</f>
        <v/>
      </c>
      <c r="DQ14" s="2">
        <f>COUNTIFS(SessionLog!$B$2:$B$309,$A14,SessionLog!$E$2:$E$309,"SE_neo4j.Tags.count",SessionLog!$F$2:$F$309,"P")</f>
        <v/>
      </c>
      <c r="DR14" s="2">
        <f>COUNTIFS(SessionLog!$B$2:$B$309,$A14,SessionLog!$E$2:$E$309,"SE_neo4j.Tags.wikipostid",SessionLog!$F$2:$F$309,"M")</f>
        <v/>
      </c>
      <c r="DS14" s="2">
        <f>COUNTIFS(SessionLog!$B$2:$B$309,$A14,SessionLog!$E$2:$E$309,"SE_neo4j.Tags.wikipostid",SessionLog!$F$2:$F$309,"P")</f>
        <v/>
      </c>
      <c r="DT14" s="2">
        <f>COUNTIFS(SessionLog!$B$2:$B$309,$A14,SessionLog!$E$2:$E$309,"SE_neo4j.Tags.tagname",SessionLog!$F$2:$F$309,"M")</f>
        <v/>
      </c>
      <c r="DU14" s="2">
        <f>COUNTIFS(SessionLog!$B$2:$B$309,$A14,SessionLog!$E$2:$E$309,"SE_neo4j.Tags.tagname",SessionLog!$F$2:$F$309,"P")</f>
        <v/>
      </c>
      <c r="DV14" s="2">
        <f>COUNTIFS(SessionLog!$B$2:$B$309,$A14,SessionLog!$E$2:$E$309,"SE_neo4j.Tags.excerptpostid",SessionLog!$F$2:$F$309,"M")</f>
        <v/>
      </c>
      <c r="DW14" s="2">
        <f>COUNTIFS(SessionLog!$B$2:$B$309,$A14,SessionLog!$E$2:$E$309,"SE_neo4j.Tags.excerptpostid",SessionLog!$F$2:$F$309,"P")</f>
        <v/>
      </c>
    </row>
    <row r="15">
      <c r="A15" s="2" t="inlineStr">
        <is>
          <t>X1</t>
        </is>
      </c>
      <c r="B15" s="2">
        <f>COUNTIFS(SessionLog!$B$2:$B$309,$A15,SessionLog!$E$2:$E$309,"SE_mysql.postes.Id",SessionLog!$F$2:$F$309,"M")</f>
        <v/>
      </c>
      <c r="C15" s="2">
        <f>COUNTIFS(SessionLog!$B$2:$B$309,$A15,SessionLog!$E$2:$E$309,"SE_mysql.postes.Id",SessionLog!$F$2:$F$309,"P")</f>
        <v/>
      </c>
      <c r="D15" s="2">
        <f>COUNTIFS(SessionLog!$B$2:$B$309,$A15,SessionLog!$E$2:$E$309,"SE_mysql.postes.PostTypeId",SessionLog!$F$2:$F$309,"M")</f>
        <v/>
      </c>
      <c r="E15" s="2">
        <f>COUNTIFS(SessionLog!$B$2:$B$309,$A15,SessionLog!$E$2:$E$309,"SE_mysql.postes.PostTypeId",SessionLog!$F$2:$F$309,"P")</f>
        <v/>
      </c>
      <c r="F15" s="2">
        <f>COUNTIFS(SessionLog!$B$2:$B$309,$A15,SessionLog!$E$2:$E$309,"SE_mysql.postes.Title",SessionLog!$F$2:$F$309,"M")</f>
        <v/>
      </c>
      <c r="G15" s="2">
        <f>COUNTIFS(SessionLog!$B$2:$B$309,$A15,SessionLog!$E$2:$E$309,"SE_mysql.postes.Title",SessionLog!$F$2:$F$309,"P")</f>
        <v/>
      </c>
      <c r="H15" s="2">
        <f>COUNTIFS(SessionLog!$B$2:$B$309,$A15,SessionLog!$E$2:$E$309,"SE_mysql.postes.OwnerUserId",SessionLog!$F$2:$F$309,"M")</f>
        <v/>
      </c>
      <c r="I15" s="2">
        <f>COUNTIFS(SessionLog!$B$2:$B$309,$A15,SessionLog!$E$2:$E$309,"SE_mysql.postes.OwnerUserId",SessionLog!$F$2:$F$309,"P")</f>
        <v/>
      </c>
      <c r="J15" s="2">
        <f>COUNTIFS(SessionLog!$B$2:$B$309,$A15,SessionLog!$E$2:$E$309,"SE_mysql.postes.ViewCount",SessionLog!$F$2:$F$309,"M")</f>
        <v/>
      </c>
      <c r="K15" s="2">
        <f>COUNTIFS(SessionLog!$B$2:$B$309,$A15,SessionLog!$E$2:$E$309,"SE_mysql.postes.ViewCount",SessionLog!$F$2:$F$309,"P")</f>
        <v/>
      </c>
      <c r="L15" s="2">
        <f>COUNTIFS(SessionLog!$B$2:$B$309,$A15,SessionLog!$E$2:$E$309,"SE_mysql.postes.LastEditDate",SessionLog!$F$2:$F$309,"M")</f>
        <v/>
      </c>
      <c r="M15" s="2">
        <f>COUNTIFS(SessionLog!$B$2:$B$309,$A15,SessionLog!$E$2:$E$309,"SE_mysql.postes.LastEditDate",SessionLog!$F$2:$F$309,"P")</f>
        <v/>
      </c>
      <c r="N15" s="2">
        <f>COUNTIFS(SessionLog!$B$2:$B$309,$A15,SessionLog!$E$2:$E$309,"SE_mysql.postes.LastEditorUserId",SessionLog!$F$2:$F$309,"M")</f>
        <v/>
      </c>
      <c r="O15" s="2">
        <f>COUNTIFS(SessionLog!$B$2:$B$309,$A15,SessionLog!$E$2:$E$309,"SE_mysql.postes.LastEditorUserId",SessionLog!$F$2:$F$309,"P")</f>
        <v/>
      </c>
      <c r="P15" s="2">
        <f>COUNTIFS(SessionLog!$B$2:$B$309,$A15,SessionLog!$E$2:$E$309,"SE_mysql.postes.CreationDate",SessionLog!$F$2:$F$309,"M")</f>
        <v/>
      </c>
      <c r="Q15" s="2">
        <f>COUNTIFS(SessionLog!$B$2:$B$309,$A15,SessionLog!$E$2:$E$309,"SE_mysql.postes.CreationDate",SessionLog!$F$2:$F$309,"P")</f>
        <v/>
      </c>
      <c r="R15" s="2">
        <f>COUNTIFS(SessionLog!$B$2:$B$309,$A15,SessionLog!$E$2:$E$309,"SE_mysql.Posttypes.Id",SessionLog!$F$2:$F$309,"M")</f>
        <v/>
      </c>
      <c r="S15" s="2">
        <f>COUNTIFS(SessionLog!$B$2:$B$309,$A15,SessionLog!$E$2:$E$309,"SE_mysql.Posttypes.Id",SessionLog!$F$2:$F$309,"P")</f>
        <v/>
      </c>
      <c r="T15" s="2">
        <f>COUNTIFS(SessionLog!$B$2:$B$309,$A15,SessionLog!$E$2:$E$309,"SE_mysql.Posttypes.Name",SessionLog!$F$2:$F$309,"M")</f>
        <v/>
      </c>
      <c r="U15" s="2">
        <f>COUNTIFS(SessionLog!$B$2:$B$309,$A15,SessionLog!$E$2:$E$309,"SE_mysql.Posttypes.Name",SessionLog!$F$2:$F$309,"P")</f>
        <v/>
      </c>
      <c r="V15" s="2">
        <f>COUNTIFS(SessionLog!$B$2:$B$309,$A15,SessionLog!$E$2:$E$309,"SE_mysql.Users.Id",SessionLog!$F$2:$F$309,"M")</f>
        <v/>
      </c>
      <c r="W15" s="2">
        <f>COUNTIFS(SessionLog!$B$2:$B$309,$A15,SessionLog!$E$2:$E$309,"SE_mysql.Users.Id",SessionLog!$F$2:$F$309,"P")</f>
        <v/>
      </c>
      <c r="X15" s="2">
        <f>COUNTIFS(SessionLog!$B$2:$B$309,$A15,SessionLog!$E$2:$E$309,"SE_mysql.Users.Views",SessionLog!$F$2:$F$309,"M")</f>
        <v/>
      </c>
      <c r="Y15" s="2">
        <f>COUNTIFS(SessionLog!$B$2:$B$309,$A15,SessionLog!$E$2:$E$309,"SE_mysql.Users.Views",SessionLog!$F$2:$F$309,"P")</f>
        <v/>
      </c>
      <c r="Z15" s="2">
        <f>COUNTIFS(SessionLog!$B$2:$B$309,$A15,SessionLog!$E$2:$E$309,"SE_mysql.Users.UpVotes",SessionLog!$F$2:$F$309,"M")</f>
        <v/>
      </c>
      <c r="AA15" s="2">
        <f>COUNTIFS(SessionLog!$B$2:$B$309,$A15,SessionLog!$E$2:$E$309,"SE_mysql.Users.UpVotes",SessionLog!$F$2:$F$309,"P")</f>
        <v/>
      </c>
      <c r="AB15" s="2">
        <f>COUNTIFS(SessionLog!$B$2:$B$309,$A15,SessionLog!$E$2:$E$309,"SE_mysql.Users.DisplayName",SessionLog!$F$2:$F$309,"M")</f>
        <v/>
      </c>
      <c r="AC15" s="2">
        <f>COUNTIFS(SessionLog!$B$2:$B$309,$A15,SessionLog!$E$2:$E$309,"SE_mysql.Users.DisplayName",SessionLog!$F$2:$F$309,"P")</f>
        <v/>
      </c>
      <c r="AD15" s="2">
        <f>COUNTIFS(SessionLog!$B$2:$B$309,$A15,SessionLog!$E$2:$E$309,"SE_mysql.Users.DownVotes",SessionLog!$F$2:$F$309,"M")</f>
        <v/>
      </c>
      <c r="AE15" s="2">
        <f>COUNTIFS(SessionLog!$B$2:$B$309,$A15,SessionLog!$E$2:$E$309,"SE_mysql.Users.DownVotes",SessionLog!$F$2:$F$309,"P")</f>
        <v/>
      </c>
      <c r="AF15" s="2">
        <f>COUNTIFS(SessionLog!$B$2:$B$309,$A15,SessionLog!$E$2:$E$309,"SE_mysql.Users.LastAccessDate",SessionLog!$F$2:$F$309,"M")</f>
        <v/>
      </c>
      <c r="AG15" s="2">
        <f>COUNTIFS(SessionLog!$B$2:$B$309,$A15,SessionLog!$E$2:$E$309,"SE_mysql.Users.LastAccessDate",SessionLog!$F$2:$F$309,"P")</f>
        <v/>
      </c>
      <c r="AH15" s="2">
        <f>COUNTIFS(SessionLog!$B$2:$B$309,$A15,SessionLog!$E$2:$E$309,"SE_mysql.Users.Reputation",SessionLog!$F$2:$F$309,"M")</f>
        <v/>
      </c>
      <c r="AI15" s="2">
        <f>COUNTIFS(SessionLog!$B$2:$B$309,$A15,SessionLog!$E$2:$E$309,"SE_mysql.Users.Reputation",SessionLog!$F$2:$F$309,"P")</f>
        <v/>
      </c>
      <c r="AJ15" s="2">
        <f>COUNTIFS(SessionLog!$B$2:$B$309,$A15,SessionLog!$E$2:$E$309,"SE_mysql.Flagtypes.Id",SessionLog!$F$2:$F$309,"M")</f>
        <v/>
      </c>
      <c r="AK15" s="2">
        <f>COUNTIFS(SessionLog!$B$2:$B$309,$A15,SessionLog!$E$2:$E$309,"SE_mysql.Flagtypes.Id",SessionLog!$F$2:$F$309,"P")</f>
        <v/>
      </c>
      <c r="AL15" s="2">
        <f>COUNTIFS(SessionLog!$B$2:$B$309,$A15,SessionLog!$E$2:$E$309,"SE_mysql.Flagtypes.Name",SessionLog!$F$2:$F$309,"M")</f>
        <v/>
      </c>
      <c r="AM15" s="2">
        <f>COUNTIFS(SessionLog!$B$2:$B$309,$A15,SessionLog!$E$2:$E$309,"SE_mysql.Flagtypes.Name",SessionLog!$F$2:$F$309,"P")</f>
        <v/>
      </c>
      <c r="AN15" s="2">
        <f>COUNTIFS(SessionLog!$B$2:$B$309,$A15,SessionLog!$E$2:$E$309,"SE_mysql.Votes.Id",SessionLog!$F$2:$F$309,"M")</f>
        <v/>
      </c>
      <c r="AO15" s="2">
        <f>COUNTIFS(SessionLog!$B$2:$B$309,$A15,SessionLog!$E$2:$E$309,"SE_mysql.Votes.Id",SessionLog!$F$2:$F$309,"P")</f>
        <v/>
      </c>
      <c r="AP15" s="2">
        <f>COUNTIFS(SessionLog!$B$2:$B$309,$A15,SessionLog!$E$2:$E$309,"SE_mysql.Votes.UserId",SessionLog!$F$2:$F$309,"M")</f>
        <v/>
      </c>
      <c r="AQ15" s="2">
        <f>COUNTIFS(SessionLog!$B$2:$B$309,$A15,SessionLog!$E$2:$E$309,"SE_mysql.Votes.UserId",SessionLog!$F$2:$F$309,"P")</f>
        <v/>
      </c>
      <c r="AR15" s="2">
        <f>COUNTIFS(SessionLog!$B$2:$B$309,$A15,SessionLog!$E$2:$E$309,"SE_mysql.Votes.BountyAmount",SessionLog!$F$2:$F$309,"M")</f>
        <v/>
      </c>
      <c r="AS15" s="2">
        <f>COUNTIFS(SessionLog!$B$2:$B$309,$A15,SessionLog!$E$2:$E$309,"SE_mysql.Votes.BountyAmount",SessionLog!$F$2:$F$309,"P")</f>
        <v/>
      </c>
      <c r="AT15" s="2">
        <f>COUNTIFS(SessionLog!$B$2:$B$309,$A15,SessionLog!$E$2:$E$309,"SE_mysql.Votes.CreationDate",SessionLog!$F$2:$F$309,"M")</f>
        <v/>
      </c>
      <c r="AU15" s="2">
        <f>COUNTIFS(SessionLog!$B$2:$B$309,$A15,SessionLog!$E$2:$E$309,"SE_mysql.Votes.CreationDate",SessionLog!$F$2:$F$309,"P")</f>
        <v/>
      </c>
      <c r="AV15" s="2">
        <f>COUNTIFS(SessionLog!$B$2:$B$309,$A15,SessionLog!$E$2:$E$309,"SE_mysql.Votes.PostId",SessionLog!$F$2:$F$309,"M")</f>
        <v/>
      </c>
      <c r="AW15" s="2">
        <f>COUNTIFS(SessionLog!$B$2:$B$309,$A15,SessionLog!$E$2:$E$309,"SE_mysql.Votes.PostId",SessionLog!$F$2:$F$309,"P")</f>
        <v/>
      </c>
      <c r="AX15" s="2">
        <f>COUNTIFS(SessionLog!$B$2:$B$309,$A15,SessionLog!$E$2:$E$309,"SE_mysql.Votes.VoteTypeId",SessionLog!$F$2:$F$309,"M")</f>
        <v/>
      </c>
      <c r="AY15" s="2">
        <f>COUNTIFS(SessionLog!$B$2:$B$309,$A15,SessionLog!$E$2:$E$309,"SE_mysql.Votes.VoteTypeId",SessionLog!$F$2:$F$309,"P")</f>
        <v/>
      </c>
      <c r="AZ15" s="2">
        <f>COUNTIFS(SessionLog!$B$2:$B$309,$A15,SessionLog!$E$2:$E$309,"SE_mysql.Votetypes.Id",SessionLog!$F$2:$F$309,"M")</f>
        <v/>
      </c>
      <c r="BA15" s="2">
        <f>COUNTIFS(SessionLog!$B$2:$B$309,$A15,SessionLog!$E$2:$E$309,"SE_mysql.Votetypes.Id",SessionLog!$F$2:$F$309,"P")</f>
        <v/>
      </c>
      <c r="BB15" s="2">
        <f>COUNTIFS(SessionLog!$B$2:$B$309,$A15,SessionLog!$E$2:$E$309,"SE_mysql.Votetypes.Name",SessionLog!$F$2:$F$309,"M")</f>
        <v/>
      </c>
      <c r="BC15" s="2">
        <f>COUNTIFS(SessionLog!$B$2:$B$309,$A15,SessionLog!$E$2:$E$309,"SE_mysql.Votetypes.Name",SessionLog!$F$2:$F$309,"P")</f>
        <v/>
      </c>
      <c r="BD15" s="2">
        <f>COUNTIFS(SessionLog!$B$2:$B$309,$A15,SessionLog!$E$2:$E$309,"SE_mongodb.Badges.Id",SessionLog!$F$2:$F$309,"M")</f>
        <v/>
      </c>
      <c r="BE15" s="2">
        <f>COUNTIFS(SessionLog!$B$2:$B$309,$A15,SessionLog!$E$2:$E$309,"SE_mongodb.Badges.Id",SessionLog!$F$2:$F$309,"P")</f>
        <v/>
      </c>
      <c r="BF15" s="2">
        <f>COUNTIFS(SessionLog!$B$2:$B$309,$A15,SessionLog!$E$2:$E$309,"SE_mongodb.Badges.UserId",SessionLog!$F$2:$F$309,"M")</f>
        <v/>
      </c>
      <c r="BG15" s="2">
        <f>COUNTIFS(SessionLog!$B$2:$B$309,$A15,SessionLog!$E$2:$E$309,"SE_mongodb.Badges.UserId",SessionLog!$F$2:$F$309,"P")</f>
        <v/>
      </c>
      <c r="BH15" s="2">
        <f>COUNTIFS(SessionLog!$B$2:$B$309,$A15,SessionLog!$E$2:$E$309,"SE_mongodb.Badges.Name",SessionLog!$F$2:$F$309,"M")</f>
        <v/>
      </c>
      <c r="BI15" s="2">
        <f>COUNTIFS(SessionLog!$B$2:$B$309,$A15,SessionLog!$E$2:$E$309,"SE_mongodb.Badges.Name",SessionLog!$F$2:$F$309,"P")</f>
        <v/>
      </c>
      <c r="BJ15" s="2">
        <f>COUNTIFS(SessionLog!$B$2:$B$309,$A15,SessionLog!$E$2:$E$309,"SE_mongodb.Badges.Date",SessionLog!$F$2:$F$309,"M")</f>
        <v/>
      </c>
      <c r="BK15" s="2">
        <f>COUNTIFS(SessionLog!$B$2:$B$309,$A15,SessionLog!$E$2:$E$309,"SE_mongodb.Badges.Date",SessionLog!$F$2:$F$309,"P")</f>
        <v/>
      </c>
      <c r="BL15" s="2">
        <f>COUNTIFS(SessionLog!$B$2:$B$309,$A15,SessionLog!$E$2:$E$309,"SE_mongodb.Posts.Id",SessionLog!$F$2:$F$309,"M")</f>
        <v/>
      </c>
      <c r="BM15" s="2">
        <f>COUNTIFS(SessionLog!$B$2:$B$309,$A15,SessionLog!$E$2:$E$309,"SE_mongodb.Posts.Id",SessionLog!$F$2:$F$309,"P")</f>
        <v/>
      </c>
      <c r="BN15" s="2">
        <f>COUNTIFS(SessionLog!$B$2:$B$309,$A15,SessionLog!$E$2:$E$309,"SE_mongodb.Posts.Tags",SessionLog!$F$2:$F$309,"M")</f>
        <v/>
      </c>
      <c r="BO15" s="2">
        <f>COUNTIFS(SessionLog!$B$2:$B$309,$A15,SessionLog!$E$2:$E$309,"SE_mongodb.Posts.Tags",SessionLog!$F$2:$F$309,"P")</f>
        <v/>
      </c>
      <c r="BP15" s="2">
        <f>COUNTIFS(SessionLog!$B$2:$B$309,$A15,SessionLog!$E$2:$E$309,"SE_mongodb.Posts.Body",SessionLog!$F$2:$F$309,"M")</f>
        <v/>
      </c>
      <c r="BQ15" s="2">
        <f>COUNTIFS(SessionLog!$B$2:$B$309,$A15,SessionLog!$E$2:$E$309,"SE_mongodb.Posts.Body",SessionLog!$F$2:$F$309,"P")</f>
        <v/>
      </c>
      <c r="BR15" s="2">
        <f>COUNTIFS(SessionLog!$B$2:$B$309,$A15,SessionLog!$E$2:$E$309,"SE_mongodb.Users.Id",SessionLog!$F$2:$F$309,"M")</f>
        <v/>
      </c>
      <c r="BS15" s="2">
        <f>COUNTIFS(SessionLog!$B$2:$B$309,$A15,SessionLog!$E$2:$E$309,"SE_mongodb.Users.Id",SessionLog!$F$2:$F$309,"P")</f>
        <v/>
      </c>
      <c r="BT15" s="2">
        <f>COUNTIFS(SessionLog!$B$2:$B$309,$A15,SessionLog!$E$2:$E$309,"SE_mongodb.Users.DisplayName",SessionLog!$F$2:$F$309,"M")</f>
        <v/>
      </c>
      <c r="BU15" s="2">
        <f>COUNTIFS(SessionLog!$B$2:$B$309,$A15,SessionLog!$E$2:$E$309,"SE_mongodb.Users.DisplayName",SessionLog!$F$2:$F$309,"P")</f>
        <v/>
      </c>
      <c r="BV15" s="2">
        <f>COUNTIFS(SessionLog!$B$2:$B$309,$A15,SessionLog!$E$2:$E$309,"SE_mongodb.Users.AboutMe",SessionLog!$F$2:$F$309,"M")</f>
        <v/>
      </c>
      <c r="BW15" s="2">
        <f>COUNTIFS(SessionLog!$B$2:$B$309,$A15,SessionLog!$E$2:$E$309,"SE_mongodb.Users.AboutMe",SessionLog!$F$2:$F$309,"P")</f>
        <v/>
      </c>
      <c r="BX15" s="2">
        <f>COUNTIFS(SessionLog!$B$2:$B$309,$A15,SessionLog!$E$2:$E$309,"SE_mongodb.Comments.Id",SessionLog!$F$2:$F$309,"M")</f>
        <v/>
      </c>
      <c r="BY15" s="2">
        <f>COUNTIFS(SessionLog!$B$2:$B$309,$A15,SessionLog!$E$2:$E$309,"SE_mongodb.Comments.Id",SessionLog!$F$2:$F$309,"P")</f>
        <v/>
      </c>
      <c r="BZ15" s="2">
        <f>COUNTIFS(SessionLog!$B$2:$B$309,$A15,SessionLog!$E$2:$E$309,"SE_mongodb.Comments.UserId",SessionLog!$F$2:$F$309,"M")</f>
        <v/>
      </c>
      <c r="CA15" s="2">
        <f>COUNTIFS(SessionLog!$B$2:$B$309,$A15,SessionLog!$E$2:$E$309,"SE_mongodb.Comments.UserId",SessionLog!$F$2:$F$309,"P")</f>
        <v/>
      </c>
      <c r="CB15" s="2">
        <f>COUNTIFS(SessionLog!$B$2:$B$309,$A15,SessionLog!$E$2:$E$309,"SE_mongodb.Comments.Text",SessionLog!$F$2:$F$309,"M")</f>
        <v/>
      </c>
      <c r="CC15" s="2">
        <f>COUNTIFS(SessionLog!$B$2:$B$309,$A15,SessionLog!$E$2:$E$309,"SE_mongodb.Comments.Text",SessionLog!$F$2:$F$309,"P")</f>
        <v/>
      </c>
      <c r="CD15" s="2">
        <f>COUNTIFS(SessionLog!$B$2:$B$309,$A15,SessionLog!$E$2:$E$309,"SE_mongodb.Comments.PostId",SessionLog!$F$2:$F$309,"M")</f>
        <v/>
      </c>
      <c r="CE15" s="2">
        <f>COUNTIFS(SessionLog!$B$2:$B$309,$A15,SessionLog!$E$2:$E$309,"SE_mongodb.Comments.PostId",SessionLog!$F$2:$F$309,"P")</f>
        <v/>
      </c>
      <c r="CF15" s="2">
        <f>COUNTIFS(SessionLog!$B$2:$B$309,$A15,SessionLog!$E$2:$E$309,"SE_neo4j.postlinks.id",SessionLog!$F$2:$F$309,"M")</f>
        <v/>
      </c>
      <c r="CG15" s="2">
        <f>COUNTIFS(SessionLog!$B$2:$B$309,$A15,SessionLog!$E$2:$E$309,"SE_neo4j.postlinks.id",SessionLog!$F$2:$F$309,"P")</f>
        <v/>
      </c>
      <c r="CH15" s="2">
        <f>COUNTIFS(SessionLog!$B$2:$B$309,$A15,SessionLog!$E$2:$E$309,"SE_neo4j.postlinks.LinkTypeId",SessionLog!$F$2:$F$309,"M")</f>
        <v/>
      </c>
      <c r="CI15" s="2">
        <f>COUNTIFS(SessionLog!$B$2:$B$309,$A15,SessionLog!$E$2:$E$309,"SE_neo4j.postlinks.LinkTypeId",SessionLog!$F$2:$F$309,"P")</f>
        <v/>
      </c>
      <c r="CJ15" s="2">
        <f>COUNTIFS(SessionLog!$B$2:$B$309,$A15,SessionLog!$E$2:$E$309,"SE_neo4j.postlinks.RelatedPostId",SessionLog!$F$2:$F$309,"M")</f>
        <v/>
      </c>
      <c r="CK15" s="2">
        <f>COUNTIFS(SessionLog!$B$2:$B$309,$A15,SessionLog!$E$2:$E$309,"SE_neo4j.postlinks.RelatedPostId",SessionLog!$F$2:$F$309,"P")</f>
        <v/>
      </c>
      <c r="CL15" s="2">
        <f>COUNTIFS(SessionLog!$B$2:$B$309,$A15,SessionLog!$E$2:$E$309,"SE_neo4j.postlinks.PostIdd",SessionLog!$F$2:$F$309,"M")</f>
        <v/>
      </c>
      <c r="CM15" s="2">
        <f>COUNTIFS(SessionLog!$B$2:$B$309,$A15,SessionLog!$E$2:$E$309,"SE_neo4j.postlinks.PostIdd",SessionLog!$F$2:$F$309,"P")</f>
        <v/>
      </c>
      <c r="CN15" s="2">
        <f>COUNTIFS(SessionLog!$B$2:$B$309,$A15,SessionLog!$E$2:$E$309,"SE_neo4j.postlinks.CreationDate",SessionLog!$F$2:$F$309,"M")</f>
        <v/>
      </c>
      <c r="CO15" s="2">
        <f>COUNTIFS(SessionLog!$B$2:$B$309,$A15,SessionLog!$E$2:$E$309,"SE_neo4j.postlinks.CreationDate",SessionLog!$F$2:$F$309,"P")</f>
        <v/>
      </c>
      <c r="CP15" s="2">
        <f>COUNTIFS(SessionLog!$B$2:$B$309,$A15,SessionLog!$E$2:$E$309,"SE_neo4j.Posts.id",SessionLog!$F$2:$F$309,"M")</f>
        <v/>
      </c>
      <c r="CQ15" s="2">
        <f>COUNTIFS(SessionLog!$B$2:$B$309,$A15,SessionLog!$E$2:$E$309,"SE_neo4j.Posts.id",SessionLog!$F$2:$F$309,"P")</f>
        <v/>
      </c>
      <c r="CR15" s="2">
        <f>COUNTIFS(SessionLog!$B$2:$B$309,$A15,SessionLog!$E$2:$E$309,"SE_neo4j.Posts.posttypeid",SessionLog!$F$2:$F$309,"M")</f>
        <v/>
      </c>
      <c r="CS15" s="2">
        <f>COUNTIFS(SessionLog!$B$2:$B$309,$A15,SessionLog!$E$2:$E$309,"SE_neo4j.Posts.posttypeid",SessionLog!$F$2:$F$309,"P")</f>
        <v/>
      </c>
      <c r="CT15" s="2">
        <f>COUNTIFS(SessionLog!$B$2:$B$309,$A15,SessionLog!$E$2:$E$309,"SE_neo4j.Posts.parentid",SessionLog!$F$2:$F$309,"M")</f>
        <v/>
      </c>
      <c r="CU15" s="2">
        <f>COUNTIFS(SessionLog!$B$2:$B$309,$A15,SessionLog!$E$2:$E$309,"SE_neo4j.Posts.parentid",SessionLog!$F$2:$F$309,"P")</f>
        <v/>
      </c>
      <c r="CV15" s="2">
        <f>COUNTIFS(SessionLog!$B$2:$B$309,$A15,SessionLog!$E$2:$E$309,"SE_neo4j.Posts.owneruserid",SessionLog!$F$2:$F$309,"M")</f>
        <v/>
      </c>
      <c r="CW15" s="2">
        <f>COUNTIFS(SessionLog!$B$2:$B$309,$A15,SessionLog!$E$2:$E$309,"SE_neo4j.Posts.owneruserid",SessionLog!$F$2:$F$309,"P")</f>
        <v/>
      </c>
      <c r="CX15" s="2">
        <f>COUNTIFS(SessionLog!$B$2:$B$309,$A15,SessionLog!$E$2:$E$309,"SE_neo4j.Posts.acceptedanswerid",SessionLog!$F$2:$F$309,"M")</f>
        <v/>
      </c>
      <c r="CY15" s="2">
        <f>COUNTIFS(SessionLog!$B$2:$B$309,$A15,SessionLog!$E$2:$E$309,"SE_neo4j.Posts.acceptedanswerid",SessionLog!$F$2:$F$309,"P")</f>
        <v/>
      </c>
      <c r="CZ15" s="2">
        <f>COUNTIFS(SessionLog!$B$2:$B$309,$A15,SessionLog!$E$2:$E$309,"SE_neo4j.Comments.id",SessionLog!$F$2:$F$309,"M")</f>
        <v/>
      </c>
      <c r="DA15" s="2">
        <f>COUNTIFS(SessionLog!$B$2:$B$309,$A15,SessionLog!$E$2:$E$309,"SE_neo4j.Comments.id",SessionLog!$F$2:$F$309,"P")</f>
        <v/>
      </c>
      <c r="DB15" s="2">
        <f>COUNTIFS(SessionLog!$B$2:$B$309,$A15,SessionLog!$E$2:$E$309,"SE_neo4j.Comments.creationdate",SessionLog!$F$2:$F$309,"M")</f>
        <v/>
      </c>
      <c r="DC15" s="2">
        <f>COUNTIFS(SessionLog!$B$2:$B$309,$A15,SessionLog!$E$2:$E$309,"SE_neo4j.Comments.creationdate",SessionLog!$F$2:$F$309,"P")</f>
        <v/>
      </c>
      <c r="DD15" s="2">
        <f>COUNTIFS(SessionLog!$B$2:$B$309,$A15,SessionLog!$E$2:$E$309,"SE_neo4j.Comments.score",SessionLog!$F$2:$F$309,"M")</f>
        <v/>
      </c>
      <c r="DE15" s="2">
        <f>COUNTIFS(SessionLog!$B$2:$B$309,$A15,SessionLog!$E$2:$E$309,"SE_neo4j.Comments.score",SessionLog!$F$2:$F$309,"P")</f>
        <v/>
      </c>
      <c r="DF15" s="2">
        <f>COUNTIFS(SessionLog!$B$2:$B$309,$A15,SessionLog!$E$2:$E$309,"SE_neo4j.Users.id",SessionLog!$F$2:$F$309,"M")</f>
        <v/>
      </c>
      <c r="DG15" s="2">
        <f>COUNTIFS(SessionLog!$B$2:$B$309,$A15,SessionLog!$E$2:$E$309,"SE_neo4j.Users.id",SessionLog!$F$2:$F$309,"P")</f>
        <v/>
      </c>
      <c r="DH15" s="2">
        <f>COUNTIFS(SessionLog!$B$2:$B$309,$A15,SessionLog!$E$2:$E$309,"SE_neo4j.Users.accountid",SessionLog!$F$2:$F$309,"M")</f>
        <v/>
      </c>
      <c r="DI15" s="2">
        <f>COUNTIFS(SessionLog!$B$2:$B$309,$A15,SessionLog!$E$2:$E$309,"SE_neo4j.Users.accountid",SessionLog!$F$2:$F$309,"P")</f>
        <v/>
      </c>
      <c r="DJ15" s="2">
        <f>COUNTIFS(SessionLog!$B$2:$B$309,$A15,SessionLog!$E$2:$E$309,"SE_neo4j.Users.displayname",SessionLog!$F$2:$F$309,"M")</f>
        <v/>
      </c>
      <c r="DK15" s="2">
        <f>COUNTIFS(SessionLog!$B$2:$B$309,$A15,SessionLog!$E$2:$E$309,"SE_neo4j.Users.displayname",SessionLog!$F$2:$F$309,"P")</f>
        <v/>
      </c>
      <c r="DL15" s="2">
        <f>COUNTIFS(SessionLog!$B$2:$B$309,$A15,SessionLog!$E$2:$E$309,"SE_neo4j.Users.creationdate",SessionLog!$F$2:$F$309,"M")</f>
        <v/>
      </c>
      <c r="DM15" s="2">
        <f>COUNTIFS(SessionLog!$B$2:$B$309,$A15,SessionLog!$E$2:$E$309,"SE_neo4j.Users.creationdate",SessionLog!$F$2:$F$309,"P")</f>
        <v/>
      </c>
      <c r="DN15" s="2">
        <f>COUNTIFS(SessionLog!$B$2:$B$309,$A15,SessionLog!$E$2:$E$309,"SE_neo4j.Tags.id",SessionLog!$F$2:$F$309,"M")</f>
        <v/>
      </c>
      <c r="DO15" s="2">
        <f>COUNTIFS(SessionLog!$B$2:$B$309,$A15,SessionLog!$E$2:$E$309,"SE_neo4j.Tags.id",SessionLog!$F$2:$F$309,"P")</f>
        <v/>
      </c>
      <c r="DP15" s="2">
        <f>COUNTIFS(SessionLog!$B$2:$B$309,$A15,SessionLog!$E$2:$E$309,"SE_neo4j.Tags.count",SessionLog!$F$2:$F$309,"M")</f>
        <v/>
      </c>
      <c r="DQ15" s="2">
        <f>COUNTIFS(SessionLog!$B$2:$B$309,$A15,SessionLog!$E$2:$E$309,"SE_neo4j.Tags.count",SessionLog!$F$2:$F$309,"P")</f>
        <v/>
      </c>
      <c r="DR15" s="2">
        <f>COUNTIFS(SessionLog!$B$2:$B$309,$A15,SessionLog!$E$2:$E$309,"SE_neo4j.Tags.wikipostid",SessionLog!$F$2:$F$309,"M")</f>
        <v/>
      </c>
      <c r="DS15" s="2">
        <f>COUNTIFS(SessionLog!$B$2:$B$309,$A15,SessionLog!$E$2:$E$309,"SE_neo4j.Tags.wikipostid",SessionLog!$F$2:$F$309,"P")</f>
        <v/>
      </c>
      <c r="DT15" s="2">
        <f>COUNTIFS(SessionLog!$B$2:$B$309,$A15,SessionLog!$E$2:$E$309,"SE_neo4j.Tags.tagname",SessionLog!$F$2:$F$309,"M")</f>
        <v/>
      </c>
      <c r="DU15" s="2">
        <f>COUNTIFS(SessionLog!$B$2:$B$309,$A15,SessionLog!$E$2:$E$309,"SE_neo4j.Tags.tagname",SessionLog!$F$2:$F$309,"P")</f>
        <v/>
      </c>
      <c r="DV15" s="2">
        <f>COUNTIFS(SessionLog!$B$2:$B$309,$A15,SessionLog!$E$2:$E$309,"SE_neo4j.Tags.excerptpostid",SessionLog!$F$2:$F$309,"M")</f>
        <v/>
      </c>
      <c r="DW15" s="2">
        <f>COUNTIFS(SessionLog!$B$2:$B$309,$A15,SessionLog!$E$2:$E$309,"SE_neo4j.Tags.excerptpostid",SessionLog!$F$2:$F$309,"P")</f>
        <v/>
      </c>
    </row>
    <row r="16">
      <c r="A16" s="2" t="inlineStr">
        <is>
          <t>X2</t>
        </is>
      </c>
      <c r="B16" s="2">
        <f>COUNTIFS(SessionLog!$B$2:$B$309,$A16,SessionLog!$E$2:$E$309,"SE_mysql.postes.Id",SessionLog!$F$2:$F$309,"M")</f>
        <v/>
      </c>
      <c r="C16" s="2">
        <f>COUNTIFS(SessionLog!$B$2:$B$309,$A16,SessionLog!$E$2:$E$309,"SE_mysql.postes.Id",SessionLog!$F$2:$F$309,"P")</f>
        <v/>
      </c>
      <c r="D16" s="2">
        <f>COUNTIFS(SessionLog!$B$2:$B$309,$A16,SessionLog!$E$2:$E$309,"SE_mysql.postes.PostTypeId",SessionLog!$F$2:$F$309,"M")</f>
        <v/>
      </c>
      <c r="E16" s="2">
        <f>COUNTIFS(SessionLog!$B$2:$B$309,$A16,SessionLog!$E$2:$E$309,"SE_mysql.postes.PostTypeId",SessionLog!$F$2:$F$309,"P")</f>
        <v/>
      </c>
      <c r="F16" s="2">
        <f>COUNTIFS(SessionLog!$B$2:$B$309,$A16,SessionLog!$E$2:$E$309,"SE_mysql.postes.Title",SessionLog!$F$2:$F$309,"M")</f>
        <v/>
      </c>
      <c r="G16" s="2">
        <f>COUNTIFS(SessionLog!$B$2:$B$309,$A16,SessionLog!$E$2:$E$309,"SE_mysql.postes.Title",SessionLog!$F$2:$F$309,"P")</f>
        <v/>
      </c>
      <c r="H16" s="2">
        <f>COUNTIFS(SessionLog!$B$2:$B$309,$A16,SessionLog!$E$2:$E$309,"SE_mysql.postes.OwnerUserId",SessionLog!$F$2:$F$309,"M")</f>
        <v/>
      </c>
      <c r="I16" s="2">
        <f>COUNTIFS(SessionLog!$B$2:$B$309,$A16,SessionLog!$E$2:$E$309,"SE_mysql.postes.OwnerUserId",SessionLog!$F$2:$F$309,"P")</f>
        <v/>
      </c>
      <c r="J16" s="2">
        <f>COUNTIFS(SessionLog!$B$2:$B$309,$A16,SessionLog!$E$2:$E$309,"SE_mysql.postes.ViewCount",SessionLog!$F$2:$F$309,"M")</f>
        <v/>
      </c>
      <c r="K16" s="2">
        <f>COUNTIFS(SessionLog!$B$2:$B$309,$A16,SessionLog!$E$2:$E$309,"SE_mysql.postes.ViewCount",SessionLog!$F$2:$F$309,"P")</f>
        <v/>
      </c>
      <c r="L16" s="2">
        <f>COUNTIFS(SessionLog!$B$2:$B$309,$A16,SessionLog!$E$2:$E$309,"SE_mysql.postes.LastEditDate",SessionLog!$F$2:$F$309,"M")</f>
        <v/>
      </c>
      <c r="M16" s="2">
        <f>COUNTIFS(SessionLog!$B$2:$B$309,$A16,SessionLog!$E$2:$E$309,"SE_mysql.postes.LastEditDate",SessionLog!$F$2:$F$309,"P")</f>
        <v/>
      </c>
      <c r="N16" s="2">
        <f>COUNTIFS(SessionLog!$B$2:$B$309,$A16,SessionLog!$E$2:$E$309,"SE_mysql.postes.LastEditorUserId",SessionLog!$F$2:$F$309,"M")</f>
        <v/>
      </c>
      <c r="O16" s="2">
        <f>COUNTIFS(SessionLog!$B$2:$B$309,$A16,SessionLog!$E$2:$E$309,"SE_mysql.postes.LastEditorUserId",SessionLog!$F$2:$F$309,"P")</f>
        <v/>
      </c>
      <c r="P16" s="2">
        <f>COUNTIFS(SessionLog!$B$2:$B$309,$A16,SessionLog!$E$2:$E$309,"SE_mysql.postes.CreationDate",SessionLog!$F$2:$F$309,"M")</f>
        <v/>
      </c>
      <c r="Q16" s="2">
        <f>COUNTIFS(SessionLog!$B$2:$B$309,$A16,SessionLog!$E$2:$E$309,"SE_mysql.postes.CreationDate",SessionLog!$F$2:$F$309,"P")</f>
        <v/>
      </c>
      <c r="R16" s="2">
        <f>COUNTIFS(SessionLog!$B$2:$B$309,$A16,SessionLog!$E$2:$E$309,"SE_mysql.Posttypes.Id",SessionLog!$F$2:$F$309,"M")</f>
        <v/>
      </c>
      <c r="S16" s="2">
        <f>COUNTIFS(SessionLog!$B$2:$B$309,$A16,SessionLog!$E$2:$E$309,"SE_mysql.Posttypes.Id",SessionLog!$F$2:$F$309,"P")</f>
        <v/>
      </c>
      <c r="T16" s="2">
        <f>COUNTIFS(SessionLog!$B$2:$B$309,$A16,SessionLog!$E$2:$E$309,"SE_mysql.Posttypes.Name",SessionLog!$F$2:$F$309,"M")</f>
        <v/>
      </c>
      <c r="U16" s="2">
        <f>COUNTIFS(SessionLog!$B$2:$B$309,$A16,SessionLog!$E$2:$E$309,"SE_mysql.Posttypes.Name",SessionLog!$F$2:$F$309,"P")</f>
        <v/>
      </c>
      <c r="V16" s="2">
        <f>COUNTIFS(SessionLog!$B$2:$B$309,$A16,SessionLog!$E$2:$E$309,"SE_mysql.Users.Id",SessionLog!$F$2:$F$309,"M")</f>
        <v/>
      </c>
      <c r="W16" s="2">
        <f>COUNTIFS(SessionLog!$B$2:$B$309,$A16,SessionLog!$E$2:$E$309,"SE_mysql.Users.Id",SessionLog!$F$2:$F$309,"P")</f>
        <v/>
      </c>
      <c r="X16" s="2">
        <f>COUNTIFS(SessionLog!$B$2:$B$309,$A16,SessionLog!$E$2:$E$309,"SE_mysql.Users.Views",SessionLog!$F$2:$F$309,"M")</f>
        <v/>
      </c>
      <c r="Y16" s="2">
        <f>COUNTIFS(SessionLog!$B$2:$B$309,$A16,SessionLog!$E$2:$E$309,"SE_mysql.Users.Views",SessionLog!$F$2:$F$309,"P")</f>
        <v/>
      </c>
      <c r="Z16" s="2">
        <f>COUNTIFS(SessionLog!$B$2:$B$309,$A16,SessionLog!$E$2:$E$309,"SE_mysql.Users.UpVotes",SessionLog!$F$2:$F$309,"M")</f>
        <v/>
      </c>
      <c r="AA16" s="2">
        <f>COUNTIFS(SessionLog!$B$2:$B$309,$A16,SessionLog!$E$2:$E$309,"SE_mysql.Users.UpVotes",SessionLog!$F$2:$F$309,"P")</f>
        <v/>
      </c>
      <c r="AB16" s="2">
        <f>COUNTIFS(SessionLog!$B$2:$B$309,$A16,SessionLog!$E$2:$E$309,"SE_mysql.Users.DisplayName",SessionLog!$F$2:$F$309,"M")</f>
        <v/>
      </c>
      <c r="AC16" s="2">
        <f>COUNTIFS(SessionLog!$B$2:$B$309,$A16,SessionLog!$E$2:$E$309,"SE_mysql.Users.DisplayName",SessionLog!$F$2:$F$309,"P")</f>
        <v/>
      </c>
      <c r="AD16" s="2">
        <f>COUNTIFS(SessionLog!$B$2:$B$309,$A16,SessionLog!$E$2:$E$309,"SE_mysql.Users.DownVotes",SessionLog!$F$2:$F$309,"M")</f>
        <v/>
      </c>
      <c r="AE16" s="2">
        <f>COUNTIFS(SessionLog!$B$2:$B$309,$A16,SessionLog!$E$2:$E$309,"SE_mysql.Users.DownVotes",SessionLog!$F$2:$F$309,"P")</f>
        <v/>
      </c>
      <c r="AF16" s="2">
        <f>COUNTIFS(SessionLog!$B$2:$B$309,$A16,SessionLog!$E$2:$E$309,"SE_mysql.Users.LastAccessDate",SessionLog!$F$2:$F$309,"M")</f>
        <v/>
      </c>
      <c r="AG16" s="2">
        <f>COUNTIFS(SessionLog!$B$2:$B$309,$A16,SessionLog!$E$2:$E$309,"SE_mysql.Users.LastAccessDate",SessionLog!$F$2:$F$309,"P")</f>
        <v/>
      </c>
      <c r="AH16" s="2">
        <f>COUNTIFS(SessionLog!$B$2:$B$309,$A16,SessionLog!$E$2:$E$309,"SE_mysql.Users.Reputation",SessionLog!$F$2:$F$309,"M")</f>
        <v/>
      </c>
      <c r="AI16" s="2">
        <f>COUNTIFS(SessionLog!$B$2:$B$309,$A16,SessionLog!$E$2:$E$309,"SE_mysql.Users.Reputation",SessionLog!$F$2:$F$309,"P")</f>
        <v/>
      </c>
      <c r="AJ16" s="2">
        <f>COUNTIFS(SessionLog!$B$2:$B$309,$A16,SessionLog!$E$2:$E$309,"SE_mysql.Flagtypes.Id",SessionLog!$F$2:$F$309,"M")</f>
        <v/>
      </c>
      <c r="AK16" s="2">
        <f>COUNTIFS(SessionLog!$B$2:$B$309,$A16,SessionLog!$E$2:$E$309,"SE_mysql.Flagtypes.Id",SessionLog!$F$2:$F$309,"P")</f>
        <v/>
      </c>
      <c r="AL16" s="2">
        <f>COUNTIFS(SessionLog!$B$2:$B$309,$A16,SessionLog!$E$2:$E$309,"SE_mysql.Flagtypes.Name",SessionLog!$F$2:$F$309,"M")</f>
        <v/>
      </c>
      <c r="AM16" s="2">
        <f>COUNTIFS(SessionLog!$B$2:$B$309,$A16,SessionLog!$E$2:$E$309,"SE_mysql.Flagtypes.Name",SessionLog!$F$2:$F$309,"P")</f>
        <v/>
      </c>
      <c r="AN16" s="2">
        <f>COUNTIFS(SessionLog!$B$2:$B$309,$A16,SessionLog!$E$2:$E$309,"SE_mysql.Votes.Id",SessionLog!$F$2:$F$309,"M")</f>
        <v/>
      </c>
      <c r="AO16" s="2">
        <f>COUNTIFS(SessionLog!$B$2:$B$309,$A16,SessionLog!$E$2:$E$309,"SE_mysql.Votes.Id",SessionLog!$F$2:$F$309,"P")</f>
        <v/>
      </c>
      <c r="AP16" s="2">
        <f>COUNTIFS(SessionLog!$B$2:$B$309,$A16,SessionLog!$E$2:$E$309,"SE_mysql.Votes.UserId",SessionLog!$F$2:$F$309,"M")</f>
        <v/>
      </c>
      <c r="AQ16" s="2">
        <f>COUNTIFS(SessionLog!$B$2:$B$309,$A16,SessionLog!$E$2:$E$309,"SE_mysql.Votes.UserId",SessionLog!$F$2:$F$309,"P")</f>
        <v/>
      </c>
      <c r="AR16" s="2">
        <f>COUNTIFS(SessionLog!$B$2:$B$309,$A16,SessionLog!$E$2:$E$309,"SE_mysql.Votes.BountyAmount",SessionLog!$F$2:$F$309,"M")</f>
        <v/>
      </c>
      <c r="AS16" s="2">
        <f>COUNTIFS(SessionLog!$B$2:$B$309,$A16,SessionLog!$E$2:$E$309,"SE_mysql.Votes.BountyAmount",SessionLog!$F$2:$F$309,"P")</f>
        <v/>
      </c>
      <c r="AT16" s="2">
        <f>COUNTIFS(SessionLog!$B$2:$B$309,$A16,SessionLog!$E$2:$E$309,"SE_mysql.Votes.CreationDate",SessionLog!$F$2:$F$309,"M")</f>
        <v/>
      </c>
      <c r="AU16" s="2">
        <f>COUNTIFS(SessionLog!$B$2:$B$309,$A16,SessionLog!$E$2:$E$309,"SE_mysql.Votes.CreationDate",SessionLog!$F$2:$F$309,"P")</f>
        <v/>
      </c>
      <c r="AV16" s="2">
        <f>COUNTIFS(SessionLog!$B$2:$B$309,$A16,SessionLog!$E$2:$E$309,"SE_mysql.Votes.PostId",SessionLog!$F$2:$F$309,"M")</f>
        <v/>
      </c>
      <c r="AW16" s="2">
        <f>COUNTIFS(SessionLog!$B$2:$B$309,$A16,SessionLog!$E$2:$E$309,"SE_mysql.Votes.PostId",SessionLog!$F$2:$F$309,"P")</f>
        <v/>
      </c>
      <c r="AX16" s="2">
        <f>COUNTIFS(SessionLog!$B$2:$B$309,$A16,SessionLog!$E$2:$E$309,"SE_mysql.Votes.VoteTypeId",SessionLog!$F$2:$F$309,"M")</f>
        <v/>
      </c>
      <c r="AY16" s="2">
        <f>COUNTIFS(SessionLog!$B$2:$B$309,$A16,SessionLog!$E$2:$E$309,"SE_mysql.Votes.VoteTypeId",SessionLog!$F$2:$F$309,"P")</f>
        <v/>
      </c>
      <c r="AZ16" s="2">
        <f>COUNTIFS(SessionLog!$B$2:$B$309,$A16,SessionLog!$E$2:$E$309,"SE_mysql.Votetypes.Id",SessionLog!$F$2:$F$309,"M")</f>
        <v/>
      </c>
      <c r="BA16" s="2">
        <f>COUNTIFS(SessionLog!$B$2:$B$309,$A16,SessionLog!$E$2:$E$309,"SE_mysql.Votetypes.Id",SessionLog!$F$2:$F$309,"P")</f>
        <v/>
      </c>
      <c r="BB16" s="2">
        <f>COUNTIFS(SessionLog!$B$2:$B$309,$A16,SessionLog!$E$2:$E$309,"SE_mysql.Votetypes.Name",SessionLog!$F$2:$F$309,"M")</f>
        <v/>
      </c>
      <c r="BC16" s="2">
        <f>COUNTIFS(SessionLog!$B$2:$B$309,$A16,SessionLog!$E$2:$E$309,"SE_mysql.Votetypes.Name",SessionLog!$F$2:$F$309,"P")</f>
        <v/>
      </c>
      <c r="BD16" s="2">
        <f>COUNTIFS(SessionLog!$B$2:$B$309,$A16,SessionLog!$E$2:$E$309,"SE_mongodb.Badges.Id",SessionLog!$F$2:$F$309,"M")</f>
        <v/>
      </c>
      <c r="BE16" s="2">
        <f>COUNTIFS(SessionLog!$B$2:$B$309,$A16,SessionLog!$E$2:$E$309,"SE_mongodb.Badges.Id",SessionLog!$F$2:$F$309,"P")</f>
        <v/>
      </c>
      <c r="BF16" s="2">
        <f>COUNTIFS(SessionLog!$B$2:$B$309,$A16,SessionLog!$E$2:$E$309,"SE_mongodb.Badges.UserId",SessionLog!$F$2:$F$309,"M")</f>
        <v/>
      </c>
      <c r="BG16" s="2">
        <f>COUNTIFS(SessionLog!$B$2:$B$309,$A16,SessionLog!$E$2:$E$309,"SE_mongodb.Badges.UserId",SessionLog!$F$2:$F$309,"P")</f>
        <v/>
      </c>
      <c r="BH16" s="2">
        <f>COUNTIFS(SessionLog!$B$2:$B$309,$A16,SessionLog!$E$2:$E$309,"SE_mongodb.Badges.Name",SessionLog!$F$2:$F$309,"M")</f>
        <v/>
      </c>
      <c r="BI16" s="2">
        <f>COUNTIFS(SessionLog!$B$2:$B$309,$A16,SessionLog!$E$2:$E$309,"SE_mongodb.Badges.Name",SessionLog!$F$2:$F$309,"P")</f>
        <v/>
      </c>
      <c r="BJ16" s="2">
        <f>COUNTIFS(SessionLog!$B$2:$B$309,$A16,SessionLog!$E$2:$E$309,"SE_mongodb.Badges.Date",SessionLog!$F$2:$F$309,"M")</f>
        <v/>
      </c>
      <c r="BK16" s="2">
        <f>COUNTIFS(SessionLog!$B$2:$B$309,$A16,SessionLog!$E$2:$E$309,"SE_mongodb.Badges.Date",SessionLog!$F$2:$F$309,"P")</f>
        <v/>
      </c>
      <c r="BL16" s="2">
        <f>COUNTIFS(SessionLog!$B$2:$B$309,$A16,SessionLog!$E$2:$E$309,"SE_mongodb.Posts.Id",SessionLog!$F$2:$F$309,"M")</f>
        <v/>
      </c>
      <c r="BM16" s="2">
        <f>COUNTIFS(SessionLog!$B$2:$B$309,$A16,SessionLog!$E$2:$E$309,"SE_mongodb.Posts.Id",SessionLog!$F$2:$F$309,"P")</f>
        <v/>
      </c>
      <c r="BN16" s="2">
        <f>COUNTIFS(SessionLog!$B$2:$B$309,$A16,SessionLog!$E$2:$E$309,"SE_mongodb.Posts.Tags",SessionLog!$F$2:$F$309,"M")</f>
        <v/>
      </c>
      <c r="BO16" s="2">
        <f>COUNTIFS(SessionLog!$B$2:$B$309,$A16,SessionLog!$E$2:$E$309,"SE_mongodb.Posts.Tags",SessionLog!$F$2:$F$309,"P")</f>
        <v/>
      </c>
      <c r="BP16" s="2">
        <f>COUNTIFS(SessionLog!$B$2:$B$309,$A16,SessionLog!$E$2:$E$309,"SE_mongodb.Posts.Body",SessionLog!$F$2:$F$309,"M")</f>
        <v/>
      </c>
      <c r="BQ16" s="2">
        <f>COUNTIFS(SessionLog!$B$2:$B$309,$A16,SessionLog!$E$2:$E$309,"SE_mongodb.Posts.Body",SessionLog!$F$2:$F$309,"P")</f>
        <v/>
      </c>
      <c r="BR16" s="2">
        <f>COUNTIFS(SessionLog!$B$2:$B$309,$A16,SessionLog!$E$2:$E$309,"SE_mongodb.Users.Id",SessionLog!$F$2:$F$309,"M")</f>
        <v/>
      </c>
      <c r="BS16" s="2">
        <f>COUNTIFS(SessionLog!$B$2:$B$309,$A16,SessionLog!$E$2:$E$309,"SE_mongodb.Users.Id",SessionLog!$F$2:$F$309,"P")</f>
        <v/>
      </c>
      <c r="BT16" s="2">
        <f>COUNTIFS(SessionLog!$B$2:$B$309,$A16,SessionLog!$E$2:$E$309,"SE_mongodb.Users.DisplayName",SessionLog!$F$2:$F$309,"M")</f>
        <v/>
      </c>
      <c r="BU16" s="2">
        <f>COUNTIFS(SessionLog!$B$2:$B$309,$A16,SessionLog!$E$2:$E$309,"SE_mongodb.Users.DisplayName",SessionLog!$F$2:$F$309,"P")</f>
        <v/>
      </c>
      <c r="BV16" s="2">
        <f>COUNTIFS(SessionLog!$B$2:$B$309,$A16,SessionLog!$E$2:$E$309,"SE_mongodb.Users.AboutMe",SessionLog!$F$2:$F$309,"M")</f>
        <v/>
      </c>
      <c r="BW16" s="2">
        <f>COUNTIFS(SessionLog!$B$2:$B$309,$A16,SessionLog!$E$2:$E$309,"SE_mongodb.Users.AboutMe",SessionLog!$F$2:$F$309,"P")</f>
        <v/>
      </c>
      <c r="BX16" s="2">
        <f>COUNTIFS(SessionLog!$B$2:$B$309,$A16,SessionLog!$E$2:$E$309,"SE_mongodb.Comments.Id",SessionLog!$F$2:$F$309,"M")</f>
        <v/>
      </c>
      <c r="BY16" s="2">
        <f>COUNTIFS(SessionLog!$B$2:$B$309,$A16,SessionLog!$E$2:$E$309,"SE_mongodb.Comments.Id",SessionLog!$F$2:$F$309,"P")</f>
        <v/>
      </c>
      <c r="BZ16" s="2">
        <f>COUNTIFS(SessionLog!$B$2:$B$309,$A16,SessionLog!$E$2:$E$309,"SE_mongodb.Comments.UserId",SessionLog!$F$2:$F$309,"M")</f>
        <v/>
      </c>
      <c r="CA16" s="2">
        <f>COUNTIFS(SessionLog!$B$2:$B$309,$A16,SessionLog!$E$2:$E$309,"SE_mongodb.Comments.UserId",SessionLog!$F$2:$F$309,"P")</f>
        <v/>
      </c>
      <c r="CB16" s="2">
        <f>COUNTIFS(SessionLog!$B$2:$B$309,$A16,SessionLog!$E$2:$E$309,"SE_mongodb.Comments.Text",SessionLog!$F$2:$F$309,"M")</f>
        <v/>
      </c>
      <c r="CC16" s="2">
        <f>COUNTIFS(SessionLog!$B$2:$B$309,$A16,SessionLog!$E$2:$E$309,"SE_mongodb.Comments.Text",SessionLog!$F$2:$F$309,"P")</f>
        <v/>
      </c>
      <c r="CD16" s="2">
        <f>COUNTIFS(SessionLog!$B$2:$B$309,$A16,SessionLog!$E$2:$E$309,"SE_mongodb.Comments.PostId",SessionLog!$F$2:$F$309,"M")</f>
        <v/>
      </c>
      <c r="CE16" s="2">
        <f>COUNTIFS(SessionLog!$B$2:$B$309,$A16,SessionLog!$E$2:$E$309,"SE_mongodb.Comments.PostId",SessionLog!$F$2:$F$309,"P")</f>
        <v/>
      </c>
      <c r="CF16" s="2">
        <f>COUNTIFS(SessionLog!$B$2:$B$309,$A16,SessionLog!$E$2:$E$309,"SE_neo4j.postlinks.id",SessionLog!$F$2:$F$309,"M")</f>
        <v/>
      </c>
      <c r="CG16" s="2">
        <f>COUNTIFS(SessionLog!$B$2:$B$309,$A16,SessionLog!$E$2:$E$309,"SE_neo4j.postlinks.id",SessionLog!$F$2:$F$309,"P")</f>
        <v/>
      </c>
      <c r="CH16" s="2">
        <f>COUNTIFS(SessionLog!$B$2:$B$309,$A16,SessionLog!$E$2:$E$309,"SE_neo4j.postlinks.LinkTypeId",SessionLog!$F$2:$F$309,"M")</f>
        <v/>
      </c>
      <c r="CI16" s="2">
        <f>COUNTIFS(SessionLog!$B$2:$B$309,$A16,SessionLog!$E$2:$E$309,"SE_neo4j.postlinks.LinkTypeId",SessionLog!$F$2:$F$309,"P")</f>
        <v/>
      </c>
      <c r="CJ16" s="2">
        <f>COUNTIFS(SessionLog!$B$2:$B$309,$A16,SessionLog!$E$2:$E$309,"SE_neo4j.postlinks.RelatedPostId",SessionLog!$F$2:$F$309,"M")</f>
        <v/>
      </c>
      <c r="CK16" s="2">
        <f>COUNTIFS(SessionLog!$B$2:$B$309,$A16,SessionLog!$E$2:$E$309,"SE_neo4j.postlinks.RelatedPostId",SessionLog!$F$2:$F$309,"P")</f>
        <v/>
      </c>
      <c r="CL16" s="2">
        <f>COUNTIFS(SessionLog!$B$2:$B$309,$A16,SessionLog!$E$2:$E$309,"SE_neo4j.postlinks.PostIdd",SessionLog!$F$2:$F$309,"M")</f>
        <v/>
      </c>
      <c r="CM16" s="2">
        <f>COUNTIFS(SessionLog!$B$2:$B$309,$A16,SessionLog!$E$2:$E$309,"SE_neo4j.postlinks.PostIdd",SessionLog!$F$2:$F$309,"P")</f>
        <v/>
      </c>
      <c r="CN16" s="2">
        <f>COUNTIFS(SessionLog!$B$2:$B$309,$A16,SessionLog!$E$2:$E$309,"SE_neo4j.postlinks.CreationDate",SessionLog!$F$2:$F$309,"M")</f>
        <v/>
      </c>
      <c r="CO16" s="2">
        <f>COUNTIFS(SessionLog!$B$2:$B$309,$A16,SessionLog!$E$2:$E$309,"SE_neo4j.postlinks.CreationDate",SessionLog!$F$2:$F$309,"P")</f>
        <v/>
      </c>
      <c r="CP16" s="2">
        <f>COUNTIFS(SessionLog!$B$2:$B$309,$A16,SessionLog!$E$2:$E$309,"SE_neo4j.Posts.id",SessionLog!$F$2:$F$309,"M")</f>
        <v/>
      </c>
      <c r="CQ16" s="2">
        <f>COUNTIFS(SessionLog!$B$2:$B$309,$A16,SessionLog!$E$2:$E$309,"SE_neo4j.Posts.id",SessionLog!$F$2:$F$309,"P")</f>
        <v/>
      </c>
      <c r="CR16" s="2">
        <f>COUNTIFS(SessionLog!$B$2:$B$309,$A16,SessionLog!$E$2:$E$309,"SE_neo4j.Posts.posttypeid",SessionLog!$F$2:$F$309,"M")</f>
        <v/>
      </c>
      <c r="CS16" s="2">
        <f>COUNTIFS(SessionLog!$B$2:$B$309,$A16,SessionLog!$E$2:$E$309,"SE_neo4j.Posts.posttypeid",SessionLog!$F$2:$F$309,"P")</f>
        <v/>
      </c>
      <c r="CT16" s="2">
        <f>COUNTIFS(SessionLog!$B$2:$B$309,$A16,SessionLog!$E$2:$E$309,"SE_neo4j.Posts.parentid",SessionLog!$F$2:$F$309,"M")</f>
        <v/>
      </c>
      <c r="CU16" s="2">
        <f>COUNTIFS(SessionLog!$B$2:$B$309,$A16,SessionLog!$E$2:$E$309,"SE_neo4j.Posts.parentid",SessionLog!$F$2:$F$309,"P")</f>
        <v/>
      </c>
      <c r="CV16" s="2">
        <f>COUNTIFS(SessionLog!$B$2:$B$309,$A16,SessionLog!$E$2:$E$309,"SE_neo4j.Posts.owneruserid",SessionLog!$F$2:$F$309,"M")</f>
        <v/>
      </c>
      <c r="CW16" s="2">
        <f>COUNTIFS(SessionLog!$B$2:$B$309,$A16,SessionLog!$E$2:$E$309,"SE_neo4j.Posts.owneruserid",SessionLog!$F$2:$F$309,"P")</f>
        <v/>
      </c>
      <c r="CX16" s="2">
        <f>COUNTIFS(SessionLog!$B$2:$B$309,$A16,SessionLog!$E$2:$E$309,"SE_neo4j.Posts.acceptedanswerid",SessionLog!$F$2:$F$309,"M")</f>
        <v/>
      </c>
      <c r="CY16" s="2">
        <f>COUNTIFS(SessionLog!$B$2:$B$309,$A16,SessionLog!$E$2:$E$309,"SE_neo4j.Posts.acceptedanswerid",SessionLog!$F$2:$F$309,"P")</f>
        <v/>
      </c>
      <c r="CZ16" s="2">
        <f>COUNTIFS(SessionLog!$B$2:$B$309,$A16,SessionLog!$E$2:$E$309,"SE_neo4j.Comments.id",SessionLog!$F$2:$F$309,"M")</f>
        <v/>
      </c>
      <c r="DA16" s="2">
        <f>COUNTIFS(SessionLog!$B$2:$B$309,$A16,SessionLog!$E$2:$E$309,"SE_neo4j.Comments.id",SessionLog!$F$2:$F$309,"P")</f>
        <v/>
      </c>
      <c r="DB16" s="2">
        <f>COUNTIFS(SessionLog!$B$2:$B$309,$A16,SessionLog!$E$2:$E$309,"SE_neo4j.Comments.creationdate",SessionLog!$F$2:$F$309,"M")</f>
        <v/>
      </c>
      <c r="DC16" s="2">
        <f>COUNTIFS(SessionLog!$B$2:$B$309,$A16,SessionLog!$E$2:$E$309,"SE_neo4j.Comments.creationdate",SessionLog!$F$2:$F$309,"P")</f>
        <v/>
      </c>
      <c r="DD16" s="2">
        <f>COUNTIFS(SessionLog!$B$2:$B$309,$A16,SessionLog!$E$2:$E$309,"SE_neo4j.Comments.score",SessionLog!$F$2:$F$309,"M")</f>
        <v/>
      </c>
      <c r="DE16" s="2">
        <f>COUNTIFS(SessionLog!$B$2:$B$309,$A16,SessionLog!$E$2:$E$309,"SE_neo4j.Comments.score",SessionLog!$F$2:$F$309,"P")</f>
        <v/>
      </c>
      <c r="DF16" s="2">
        <f>COUNTIFS(SessionLog!$B$2:$B$309,$A16,SessionLog!$E$2:$E$309,"SE_neo4j.Users.id",SessionLog!$F$2:$F$309,"M")</f>
        <v/>
      </c>
      <c r="DG16" s="2">
        <f>COUNTIFS(SessionLog!$B$2:$B$309,$A16,SessionLog!$E$2:$E$309,"SE_neo4j.Users.id",SessionLog!$F$2:$F$309,"P")</f>
        <v/>
      </c>
      <c r="DH16" s="2">
        <f>COUNTIFS(SessionLog!$B$2:$B$309,$A16,SessionLog!$E$2:$E$309,"SE_neo4j.Users.accountid",SessionLog!$F$2:$F$309,"M")</f>
        <v/>
      </c>
      <c r="DI16" s="2">
        <f>COUNTIFS(SessionLog!$B$2:$B$309,$A16,SessionLog!$E$2:$E$309,"SE_neo4j.Users.accountid",SessionLog!$F$2:$F$309,"P")</f>
        <v/>
      </c>
      <c r="DJ16" s="2">
        <f>COUNTIFS(SessionLog!$B$2:$B$309,$A16,SessionLog!$E$2:$E$309,"SE_neo4j.Users.displayname",SessionLog!$F$2:$F$309,"M")</f>
        <v/>
      </c>
      <c r="DK16" s="2">
        <f>COUNTIFS(SessionLog!$B$2:$B$309,$A16,SessionLog!$E$2:$E$309,"SE_neo4j.Users.displayname",SessionLog!$F$2:$F$309,"P")</f>
        <v/>
      </c>
      <c r="DL16" s="2">
        <f>COUNTIFS(SessionLog!$B$2:$B$309,$A16,SessionLog!$E$2:$E$309,"SE_neo4j.Users.creationdate",SessionLog!$F$2:$F$309,"M")</f>
        <v/>
      </c>
      <c r="DM16" s="2">
        <f>COUNTIFS(SessionLog!$B$2:$B$309,$A16,SessionLog!$E$2:$E$309,"SE_neo4j.Users.creationdate",SessionLog!$F$2:$F$309,"P")</f>
        <v/>
      </c>
      <c r="DN16" s="2">
        <f>COUNTIFS(SessionLog!$B$2:$B$309,$A16,SessionLog!$E$2:$E$309,"SE_neo4j.Tags.id",SessionLog!$F$2:$F$309,"M")</f>
        <v/>
      </c>
      <c r="DO16" s="2">
        <f>COUNTIFS(SessionLog!$B$2:$B$309,$A16,SessionLog!$E$2:$E$309,"SE_neo4j.Tags.id",SessionLog!$F$2:$F$309,"P")</f>
        <v/>
      </c>
      <c r="DP16" s="2">
        <f>COUNTIFS(SessionLog!$B$2:$B$309,$A16,SessionLog!$E$2:$E$309,"SE_neo4j.Tags.count",SessionLog!$F$2:$F$309,"M")</f>
        <v/>
      </c>
      <c r="DQ16" s="2">
        <f>COUNTIFS(SessionLog!$B$2:$B$309,$A16,SessionLog!$E$2:$E$309,"SE_neo4j.Tags.count",SessionLog!$F$2:$F$309,"P")</f>
        <v/>
      </c>
      <c r="DR16" s="2">
        <f>COUNTIFS(SessionLog!$B$2:$B$309,$A16,SessionLog!$E$2:$E$309,"SE_neo4j.Tags.wikipostid",SessionLog!$F$2:$F$309,"M")</f>
        <v/>
      </c>
      <c r="DS16" s="2">
        <f>COUNTIFS(SessionLog!$B$2:$B$309,$A16,SessionLog!$E$2:$E$309,"SE_neo4j.Tags.wikipostid",SessionLog!$F$2:$F$309,"P")</f>
        <v/>
      </c>
      <c r="DT16" s="2">
        <f>COUNTIFS(SessionLog!$B$2:$B$309,$A16,SessionLog!$E$2:$E$309,"SE_neo4j.Tags.tagname",SessionLog!$F$2:$F$309,"M")</f>
        <v/>
      </c>
      <c r="DU16" s="2">
        <f>COUNTIFS(SessionLog!$B$2:$B$309,$A16,SessionLog!$E$2:$E$309,"SE_neo4j.Tags.tagname",SessionLog!$F$2:$F$309,"P")</f>
        <v/>
      </c>
      <c r="DV16" s="2">
        <f>COUNTIFS(SessionLog!$B$2:$B$309,$A16,SessionLog!$E$2:$E$309,"SE_neo4j.Tags.excerptpostid",SessionLog!$F$2:$F$309,"M")</f>
        <v/>
      </c>
      <c r="DW16" s="2">
        <f>COUNTIFS(SessionLog!$B$2:$B$309,$A16,SessionLog!$E$2:$E$309,"SE_neo4j.Tags.excerptpostid",SessionLog!$F$2:$F$309,"P")</f>
        <v/>
      </c>
    </row>
    <row r="17">
      <c r="A17" s="2" t="inlineStr">
        <is>
          <t>COLD1</t>
        </is>
      </c>
      <c r="B17" s="2">
        <f>COUNTIFS(SessionLog!$B$2:$B$309,$A17,SessionLog!$E$2:$E$309,"SE_mysql.postes.Id",SessionLog!$F$2:$F$309,"M")</f>
        <v/>
      </c>
      <c r="C17" s="2">
        <f>COUNTIFS(SessionLog!$B$2:$B$309,$A17,SessionLog!$E$2:$E$309,"SE_mysql.postes.Id",SessionLog!$F$2:$F$309,"P")</f>
        <v/>
      </c>
      <c r="D17" s="2">
        <f>COUNTIFS(SessionLog!$B$2:$B$309,$A17,SessionLog!$E$2:$E$309,"SE_mysql.postes.PostTypeId",SessionLog!$F$2:$F$309,"M")</f>
        <v/>
      </c>
      <c r="E17" s="2">
        <f>COUNTIFS(SessionLog!$B$2:$B$309,$A17,SessionLog!$E$2:$E$309,"SE_mysql.postes.PostTypeId",SessionLog!$F$2:$F$309,"P")</f>
        <v/>
      </c>
      <c r="F17" s="2">
        <f>COUNTIFS(SessionLog!$B$2:$B$309,$A17,SessionLog!$E$2:$E$309,"SE_mysql.postes.Title",SessionLog!$F$2:$F$309,"M")</f>
        <v/>
      </c>
      <c r="G17" s="2">
        <f>COUNTIFS(SessionLog!$B$2:$B$309,$A17,SessionLog!$E$2:$E$309,"SE_mysql.postes.Title",SessionLog!$F$2:$F$309,"P")</f>
        <v/>
      </c>
      <c r="H17" s="2">
        <f>COUNTIFS(SessionLog!$B$2:$B$309,$A17,SessionLog!$E$2:$E$309,"SE_mysql.postes.OwnerUserId",SessionLog!$F$2:$F$309,"M")</f>
        <v/>
      </c>
      <c r="I17" s="2">
        <f>COUNTIFS(SessionLog!$B$2:$B$309,$A17,SessionLog!$E$2:$E$309,"SE_mysql.postes.OwnerUserId",SessionLog!$F$2:$F$309,"P")</f>
        <v/>
      </c>
      <c r="J17" s="2">
        <f>COUNTIFS(SessionLog!$B$2:$B$309,$A17,SessionLog!$E$2:$E$309,"SE_mysql.postes.ViewCount",SessionLog!$F$2:$F$309,"M")</f>
        <v/>
      </c>
      <c r="K17" s="2">
        <f>COUNTIFS(SessionLog!$B$2:$B$309,$A17,SessionLog!$E$2:$E$309,"SE_mysql.postes.ViewCount",SessionLog!$F$2:$F$309,"P")</f>
        <v/>
      </c>
      <c r="L17" s="2">
        <f>COUNTIFS(SessionLog!$B$2:$B$309,$A17,SessionLog!$E$2:$E$309,"SE_mysql.postes.LastEditDate",SessionLog!$F$2:$F$309,"M")</f>
        <v/>
      </c>
      <c r="M17" s="2">
        <f>COUNTIFS(SessionLog!$B$2:$B$309,$A17,SessionLog!$E$2:$E$309,"SE_mysql.postes.LastEditDate",SessionLog!$F$2:$F$309,"P")</f>
        <v/>
      </c>
      <c r="N17" s="2">
        <f>COUNTIFS(SessionLog!$B$2:$B$309,$A17,SessionLog!$E$2:$E$309,"SE_mysql.postes.LastEditorUserId",SessionLog!$F$2:$F$309,"M")</f>
        <v/>
      </c>
      <c r="O17" s="2">
        <f>COUNTIFS(SessionLog!$B$2:$B$309,$A17,SessionLog!$E$2:$E$309,"SE_mysql.postes.LastEditorUserId",SessionLog!$F$2:$F$309,"P")</f>
        <v/>
      </c>
      <c r="P17" s="2">
        <f>COUNTIFS(SessionLog!$B$2:$B$309,$A17,SessionLog!$E$2:$E$309,"SE_mysql.postes.CreationDate",SessionLog!$F$2:$F$309,"M")</f>
        <v/>
      </c>
      <c r="Q17" s="2">
        <f>COUNTIFS(SessionLog!$B$2:$B$309,$A17,SessionLog!$E$2:$E$309,"SE_mysql.postes.CreationDate",SessionLog!$F$2:$F$309,"P")</f>
        <v/>
      </c>
      <c r="R17" s="2">
        <f>COUNTIFS(SessionLog!$B$2:$B$309,$A17,SessionLog!$E$2:$E$309,"SE_mysql.Posttypes.Id",SessionLog!$F$2:$F$309,"M")</f>
        <v/>
      </c>
      <c r="S17" s="2">
        <f>COUNTIFS(SessionLog!$B$2:$B$309,$A17,SessionLog!$E$2:$E$309,"SE_mysql.Posttypes.Id",SessionLog!$F$2:$F$309,"P")</f>
        <v/>
      </c>
      <c r="T17" s="2">
        <f>COUNTIFS(SessionLog!$B$2:$B$309,$A17,SessionLog!$E$2:$E$309,"SE_mysql.Posttypes.Name",SessionLog!$F$2:$F$309,"M")</f>
        <v/>
      </c>
      <c r="U17" s="2">
        <f>COUNTIFS(SessionLog!$B$2:$B$309,$A17,SessionLog!$E$2:$E$309,"SE_mysql.Posttypes.Name",SessionLog!$F$2:$F$309,"P")</f>
        <v/>
      </c>
      <c r="V17" s="2">
        <f>COUNTIFS(SessionLog!$B$2:$B$309,$A17,SessionLog!$E$2:$E$309,"SE_mysql.Users.Id",SessionLog!$F$2:$F$309,"M")</f>
        <v/>
      </c>
      <c r="W17" s="2">
        <f>COUNTIFS(SessionLog!$B$2:$B$309,$A17,SessionLog!$E$2:$E$309,"SE_mysql.Users.Id",SessionLog!$F$2:$F$309,"P")</f>
        <v/>
      </c>
      <c r="X17" s="2">
        <f>COUNTIFS(SessionLog!$B$2:$B$309,$A17,SessionLog!$E$2:$E$309,"SE_mysql.Users.Views",SessionLog!$F$2:$F$309,"M")</f>
        <v/>
      </c>
      <c r="Y17" s="2">
        <f>COUNTIFS(SessionLog!$B$2:$B$309,$A17,SessionLog!$E$2:$E$309,"SE_mysql.Users.Views",SessionLog!$F$2:$F$309,"P")</f>
        <v/>
      </c>
      <c r="Z17" s="2">
        <f>COUNTIFS(SessionLog!$B$2:$B$309,$A17,SessionLog!$E$2:$E$309,"SE_mysql.Users.UpVotes",SessionLog!$F$2:$F$309,"M")</f>
        <v/>
      </c>
      <c r="AA17" s="2">
        <f>COUNTIFS(SessionLog!$B$2:$B$309,$A17,SessionLog!$E$2:$E$309,"SE_mysql.Users.UpVotes",SessionLog!$F$2:$F$309,"P")</f>
        <v/>
      </c>
      <c r="AB17" s="2">
        <f>COUNTIFS(SessionLog!$B$2:$B$309,$A17,SessionLog!$E$2:$E$309,"SE_mysql.Users.DisplayName",SessionLog!$F$2:$F$309,"M")</f>
        <v/>
      </c>
      <c r="AC17" s="2">
        <f>COUNTIFS(SessionLog!$B$2:$B$309,$A17,SessionLog!$E$2:$E$309,"SE_mysql.Users.DisplayName",SessionLog!$F$2:$F$309,"P")</f>
        <v/>
      </c>
      <c r="AD17" s="2">
        <f>COUNTIFS(SessionLog!$B$2:$B$309,$A17,SessionLog!$E$2:$E$309,"SE_mysql.Users.DownVotes",SessionLog!$F$2:$F$309,"M")</f>
        <v/>
      </c>
      <c r="AE17" s="2">
        <f>COUNTIFS(SessionLog!$B$2:$B$309,$A17,SessionLog!$E$2:$E$309,"SE_mysql.Users.DownVotes",SessionLog!$F$2:$F$309,"P")</f>
        <v/>
      </c>
      <c r="AF17" s="2">
        <f>COUNTIFS(SessionLog!$B$2:$B$309,$A17,SessionLog!$E$2:$E$309,"SE_mysql.Users.LastAccessDate",SessionLog!$F$2:$F$309,"M")</f>
        <v/>
      </c>
      <c r="AG17" s="2">
        <f>COUNTIFS(SessionLog!$B$2:$B$309,$A17,SessionLog!$E$2:$E$309,"SE_mysql.Users.LastAccessDate",SessionLog!$F$2:$F$309,"P")</f>
        <v/>
      </c>
      <c r="AH17" s="2">
        <f>COUNTIFS(SessionLog!$B$2:$B$309,$A17,SessionLog!$E$2:$E$309,"SE_mysql.Users.Reputation",SessionLog!$F$2:$F$309,"M")</f>
        <v/>
      </c>
      <c r="AI17" s="2">
        <f>COUNTIFS(SessionLog!$B$2:$B$309,$A17,SessionLog!$E$2:$E$309,"SE_mysql.Users.Reputation",SessionLog!$F$2:$F$309,"P")</f>
        <v/>
      </c>
      <c r="AJ17" s="2">
        <f>COUNTIFS(SessionLog!$B$2:$B$309,$A17,SessionLog!$E$2:$E$309,"SE_mysql.Flagtypes.Id",SessionLog!$F$2:$F$309,"M")</f>
        <v/>
      </c>
      <c r="AK17" s="2">
        <f>COUNTIFS(SessionLog!$B$2:$B$309,$A17,SessionLog!$E$2:$E$309,"SE_mysql.Flagtypes.Id",SessionLog!$F$2:$F$309,"P")</f>
        <v/>
      </c>
      <c r="AL17" s="2">
        <f>COUNTIFS(SessionLog!$B$2:$B$309,$A17,SessionLog!$E$2:$E$309,"SE_mysql.Flagtypes.Name",SessionLog!$F$2:$F$309,"M")</f>
        <v/>
      </c>
      <c r="AM17" s="2">
        <f>COUNTIFS(SessionLog!$B$2:$B$309,$A17,SessionLog!$E$2:$E$309,"SE_mysql.Flagtypes.Name",SessionLog!$F$2:$F$309,"P")</f>
        <v/>
      </c>
      <c r="AN17" s="2">
        <f>COUNTIFS(SessionLog!$B$2:$B$309,$A17,SessionLog!$E$2:$E$309,"SE_mysql.Votes.Id",SessionLog!$F$2:$F$309,"M")</f>
        <v/>
      </c>
      <c r="AO17" s="2">
        <f>COUNTIFS(SessionLog!$B$2:$B$309,$A17,SessionLog!$E$2:$E$309,"SE_mysql.Votes.Id",SessionLog!$F$2:$F$309,"P")</f>
        <v/>
      </c>
      <c r="AP17" s="2">
        <f>COUNTIFS(SessionLog!$B$2:$B$309,$A17,SessionLog!$E$2:$E$309,"SE_mysql.Votes.UserId",SessionLog!$F$2:$F$309,"M")</f>
        <v/>
      </c>
      <c r="AQ17" s="2">
        <f>COUNTIFS(SessionLog!$B$2:$B$309,$A17,SessionLog!$E$2:$E$309,"SE_mysql.Votes.UserId",SessionLog!$F$2:$F$309,"P")</f>
        <v/>
      </c>
      <c r="AR17" s="2">
        <f>COUNTIFS(SessionLog!$B$2:$B$309,$A17,SessionLog!$E$2:$E$309,"SE_mysql.Votes.BountyAmount",SessionLog!$F$2:$F$309,"M")</f>
        <v/>
      </c>
      <c r="AS17" s="2">
        <f>COUNTIFS(SessionLog!$B$2:$B$309,$A17,SessionLog!$E$2:$E$309,"SE_mysql.Votes.BountyAmount",SessionLog!$F$2:$F$309,"P")</f>
        <v/>
      </c>
      <c r="AT17" s="2">
        <f>COUNTIFS(SessionLog!$B$2:$B$309,$A17,SessionLog!$E$2:$E$309,"SE_mysql.Votes.CreationDate",SessionLog!$F$2:$F$309,"M")</f>
        <v/>
      </c>
      <c r="AU17" s="2">
        <f>COUNTIFS(SessionLog!$B$2:$B$309,$A17,SessionLog!$E$2:$E$309,"SE_mysql.Votes.CreationDate",SessionLog!$F$2:$F$309,"P")</f>
        <v/>
      </c>
      <c r="AV17" s="2">
        <f>COUNTIFS(SessionLog!$B$2:$B$309,$A17,SessionLog!$E$2:$E$309,"SE_mysql.Votes.PostId",SessionLog!$F$2:$F$309,"M")</f>
        <v/>
      </c>
      <c r="AW17" s="2">
        <f>COUNTIFS(SessionLog!$B$2:$B$309,$A17,SessionLog!$E$2:$E$309,"SE_mysql.Votes.PostId",SessionLog!$F$2:$F$309,"P")</f>
        <v/>
      </c>
      <c r="AX17" s="2">
        <f>COUNTIFS(SessionLog!$B$2:$B$309,$A17,SessionLog!$E$2:$E$309,"SE_mysql.Votes.VoteTypeId",SessionLog!$F$2:$F$309,"M")</f>
        <v/>
      </c>
      <c r="AY17" s="2">
        <f>COUNTIFS(SessionLog!$B$2:$B$309,$A17,SessionLog!$E$2:$E$309,"SE_mysql.Votes.VoteTypeId",SessionLog!$F$2:$F$309,"P")</f>
        <v/>
      </c>
      <c r="AZ17" s="2">
        <f>COUNTIFS(SessionLog!$B$2:$B$309,$A17,SessionLog!$E$2:$E$309,"SE_mysql.Votetypes.Id",SessionLog!$F$2:$F$309,"M")</f>
        <v/>
      </c>
      <c r="BA17" s="2">
        <f>COUNTIFS(SessionLog!$B$2:$B$309,$A17,SessionLog!$E$2:$E$309,"SE_mysql.Votetypes.Id",SessionLog!$F$2:$F$309,"P")</f>
        <v/>
      </c>
      <c r="BB17" s="2">
        <f>COUNTIFS(SessionLog!$B$2:$B$309,$A17,SessionLog!$E$2:$E$309,"SE_mysql.Votetypes.Name",SessionLog!$F$2:$F$309,"M")</f>
        <v/>
      </c>
      <c r="BC17" s="2">
        <f>COUNTIFS(SessionLog!$B$2:$B$309,$A17,SessionLog!$E$2:$E$309,"SE_mysql.Votetypes.Name",SessionLog!$F$2:$F$309,"P")</f>
        <v/>
      </c>
      <c r="BD17" s="2">
        <f>COUNTIFS(SessionLog!$B$2:$B$309,$A17,SessionLog!$E$2:$E$309,"SE_mongodb.Badges.Id",SessionLog!$F$2:$F$309,"M")</f>
        <v/>
      </c>
      <c r="BE17" s="2">
        <f>COUNTIFS(SessionLog!$B$2:$B$309,$A17,SessionLog!$E$2:$E$309,"SE_mongodb.Badges.Id",SessionLog!$F$2:$F$309,"P")</f>
        <v/>
      </c>
      <c r="BF17" s="2">
        <f>COUNTIFS(SessionLog!$B$2:$B$309,$A17,SessionLog!$E$2:$E$309,"SE_mongodb.Badges.UserId",SessionLog!$F$2:$F$309,"M")</f>
        <v/>
      </c>
      <c r="BG17" s="2">
        <f>COUNTIFS(SessionLog!$B$2:$B$309,$A17,SessionLog!$E$2:$E$309,"SE_mongodb.Badges.UserId",SessionLog!$F$2:$F$309,"P")</f>
        <v/>
      </c>
      <c r="BH17" s="2">
        <f>COUNTIFS(SessionLog!$B$2:$B$309,$A17,SessionLog!$E$2:$E$309,"SE_mongodb.Badges.Name",SessionLog!$F$2:$F$309,"M")</f>
        <v/>
      </c>
      <c r="BI17" s="2">
        <f>COUNTIFS(SessionLog!$B$2:$B$309,$A17,SessionLog!$E$2:$E$309,"SE_mongodb.Badges.Name",SessionLog!$F$2:$F$309,"P")</f>
        <v/>
      </c>
      <c r="BJ17" s="2">
        <f>COUNTIFS(SessionLog!$B$2:$B$309,$A17,SessionLog!$E$2:$E$309,"SE_mongodb.Badges.Date",SessionLog!$F$2:$F$309,"M")</f>
        <v/>
      </c>
      <c r="BK17" s="2">
        <f>COUNTIFS(SessionLog!$B$2:$B$309,$A17,SessionLog!$E$2:$E$309,"SE_mongodb.Badges.Date",SessionLog!$F$2:$F$309,"P")</f>
        <v/>
      </c>
      <c r="BL17" s="2">
        <f>COUNTIFS(SessionLog!$B$2:$B$309,$A17,SessionLog!$E$2:$E$309,"SE_mongodb.Posts.Id",SessionLog!$F$2:$F$309,"M")</f>
        <v/>
      </c>
      <c r="BM17" s="2">
        <f>COUNTIFS(SessionLog!$B$2:$B$309,$A17,SessionLog!$E$2:$E$309,"SE_mongodb.Posts.Id",SessionLog!$F$2:$F$309,"P")</f>
        <v/>
      </c>
      <c r="BN17" s="2">
        <f>COUNTIFS(SessionLog!$B$2:$B$309,$A17,SessionLog!$E$2:$E$309,"SE_mongodb.Posts.Tags",SessionLog!$F$2:$F$309,"M")</f>
        <v/>
      </c>
      <c r="BO17" s="2">
        <f>COUNTIFS(SessionLog!$B$2:$B$309,$A17,SessionLog!$E$2:$E$309,"SE_mongodb.Posts.Tags",SessionLog!$F$2:$F$309,"P")</f>
        <v/>
      </c>
      <c r="BP17" s="2">
        <f>COUNTIFS(SessionLog!$B$2:$B$309,$A17,SessionLog!$E$2:$E$309,"SE_mongodb.Posts.Body",SessionLog!$F$2:$F$309,"M")</f>
        <v/>
      </c>
      <c r="BQ17" s="2">
        <f>COUNTIFS(SessionLog!$B$2:$B$309,$A17,SessionLog!$E$2:$E$309,"SE_mongodb.Posts.Body",SessionLog!$F$2:$F$309,"P")</f>
        <v/>
      </c>
      <c r="BR17" s="2">
        <f>COUNTIFS(SessionLog!$B$2:$B$309,$A17,SessionLog!$E$2:$E$309,"SE_mongodb.Users.Id",SessionLog!$F$2:$F$309,"M")</f>
        <v/>
      </c>
      <c r="BS17" s="2">
        <f>COUNTIFS(SessionLog!$B$2:$B$309,$A17,SessionLog!$E$2:$E$309,"SE_mongodb.Users.Id",SessionLog!$F$2:$F$309,"P")</f>
        <v/>
      </c>
      <c r="BT17" s="2">
        <f>COUNTIFS(SessionLog!$B$2:$B$309,$A17,SessionLog!$E$2:$E$309,"SE_mongodb.Users.DisplayName",SessionLog!$F$2:$F$309,"M")</f>
        <v/>
      </c>
      <c r="BU17" s="2">
        <f>COUNTIFS(SessionLog!$B$2:$B$309,$A17,SessionLog!$E$2:$E$309,"SE_mongodb.Users.DisplayName",SessionLog!$F$2:$F$309,"P")</f>
        <v/>
      </c>
      <c r="BV17" s="2">
        <f>COUNTIFS(SessionLog!$B$2:$B$309,$A17,SessionLog!$E$2:$E$309,"SE_mongodb.Users.AboutMe",SessionLog!$F$2:$F$309,"M")</f>
        <v/>
      </c>
      <c r="BW17" s="2">
        <f>COUNTIFS(SessionLog!$B$2:$B$309,$A17,SessionLog!$E$2:$E$309,"SE_mongodb.Users.AboutMe",SessionLog!$F$2:$F$309,"P")</f>
        <v/>
      </c>
      <c r="BX17" s="2">
        <f>COUNTIFS(SessionLog!$B$2:$B$309,$A17,SessionLog!$E$2:$E$309,"SE_mongodb.Comments.Id",SessionLog!$F$2:$F$309,"M")</f>
        <v/>
      </c>
      <c r="BY17" s="2">
        <f>COUNTIFS(SessionLog!$B$2:$B$309,$A17,SessionLog!$E$2:$E$309,"SE_mongodb.Comments.Id",SessionLog!$F$2:$F$309,"P")</f>
        <v/>
      </c>
      <c r="BZ17" s="2">
        <f>COUNTIFS(SessionLog!$B$2:$B$309,$A17,SessionLog!$E$2:$E$309,"SE_mongodb.Comments.UserId",SessionLog!$F$2:$F$309,"M")</f>
        <v/>
      </c>
      <c r="CA17" s="2">
        <f>COUNTIFS(SessionLog!$B$2:$B$309,$A17,SessionLog!$E$2:$E$309,"SE_mongodb.Comments.UserId",SessionLog!$F$2:$F$309,"P")</f>
        <v/>
      </c>
      <c r="CB17" s="2">
        <f>COUNTIFS(SessionLog!$B$2:$B$309,$A17,SessionLog!$E$2:$E$309,"SE_mongodb.Comments.Text",SessionLog!$F$2:$F$309,"M")</f>
        <v/>
      </c>
      <c r="CC17" s="2">
        <f>COUNTIFS(SessionLog!$B$2:$B$309,$A17,SessionLog!$E$2:$E$309,"SE_mongodb.Comments.Text",SessionLog!$F$2:$F$309,"P")</f>
        <v/>
      </c>
      <c r="CD17" s="2">
        <f>COUNTIFS(SessionLog!$B$2:$B$309,$A17,SessionLog!$E$2:$E$309,"SE_mongodb.Comments.PostId",SessionLog!$F$2:$F$309,"M")</f>
        <v/>
      </c>
      <c r="CE17" s="2">
        <f>COUNTIFS(SessionLog!$B$2:$B$309,$A17,SessionLog!$E$2:$E$309,"SE_mongodb.Comments.PostId",SessionLog!$F$2:$F$309,"P")</f>
        <v/>
      </c>
      <c r="CF17" s="2">
        <f>COUNTIFS(SessionLog!$B$2:$B$309,$A17,SessionLog!$E$2:$E$309,"SE_neo4j.postlinks.id",SessionLog!$F$2:$F$309,"M")</f>
        <v/>
      </c>
      <c r="CG17" s="2">
        <f>COUNTIFS(SessionLog!$B$2:$B$309,$A17,SessionLog!$E$2:$E$309,"SE_neo4j.postlinks.id",SessionLog!$F$2:$F$309,"P")</f>
        <v/>
      </c>
      <c r="CH17" s="2">
        <f>COUNTIFS(SessionLog!$B$2:$B$309,$A17,SessionLog!$E$2:$E$309,"SE_neo4j.postlinks.LinkTypeId",SessionLog!$F$2:$F$309,"M")</f>
        <v/>
      </c>
      <c r="CI17" s="2">
        <f>COUNTIFS(SessionLog!$B$2:$B$309,$A17,SessionLog!$E$2:$E$309,"SE_neo4j.postlinks.LinkTypeId",SessionLog!$F$2:$F$309,"P")</f>
        <v/>
      </c>
      <c r="CJ17" s="2">
        <f>COUNTIFS(SessionLog!$B$2:$B$309,$A17,SessionLog!$E$2:$E$309,"SE_neo4j.postlinks.RelatedPostId",SessionLog!$F$2:$F$309,"M")</f>
        <v/>
      </c>
      <c r="CK17" s="2">
        <f>COUNTIFS(SessionLog!$B$2:$B$309,$A17,SessionLog!$E$2:$E$309,"SE_neo4j.postlinks.RelatedPostId",SessionLog!$F$2:$F$309,"P")</f>
        <v/>
      </c>
      <c r="CL17" s="2">
        <f>COUNTIFS(SessionLog!$B$2:$B$309,$A17,SessionLog!$E$2:$E$309,"SE_neo4j.postlinks.PostIdd",SessionLog!$F$2:$F$309,"M")</f>
        <v/>
      </c>
      <c r="CM17" s="2">
        <f>COUNTIFS(SessionLog!$B$2:$B$309,$A17,SessionLog!$E$2:$E$309,"SE_neo4j.postlinks.PostIdd",SessionLog!$F$2:$F$309,"P")</f>
        <v/>
      </c>
      <c r="CN17" s="2">
        <f>COUNTIFS(SessionLog!$B$2:$B$309,$A17,SessionLog!$E$2:$E$309,"SE_neo4j.postlinks.CreationDate",SessionLog!$F$2:$F$309,"M")</f>
        <v/>
      </c>
      <c r="CO17" s="2">
        <f>COUNTIFS(SessionLog!$B$2:$B$309,$A17,SessionLog!$E$2:$E$309,"SE_neo4j.postlinks.CreationDate",SessionLog!$F$2:$F$309,"P")</f>
        <v/>
      </c>
      <c r="CP17" s="2">
        <f>COUNTIFS(SessionLog!$B$2:$B$309,$A17,SessionLog!$E$2:$E$309,"SE_neo4j.Posts.id",SessionLog!$F$2:$F$309,"M")</f>
        <v/>
      </c>
      <c r="CQ17" s="2">
        <f>COUNTIFS(SessionLog!$B$2:$B$309,$A17,SessionLog!$E$2:$E$309,"SE_neo4j.Posts.id",SessionLog!$F$2:$F$309,"P")</f>
        <v/>
      </c>
      <c r="CR17" s="2">
        <f>COUNTIFS(SessionLog!$B$2:$B$309,$A17,SessionLog!$E$2:$E$309,"SE_neo4j.Posts.posttypeid",SessionLog!$F$2:$F$309,"M")</f>
        <v/>
      </c>
      <c r="CS17" s="2">
        <f>COUNTIFS(SessionLog!$B$2:$B$309,$A17,SessionLog!$E$2:$E$309,"SE_neo4j.Posts.posttypeid",SessionLog!$F$2:$F$309,"P")</f>
        <v/>
      </c>
      <c r="CT17" s="2">
        <f>COUNTIFS(SessionLog!$B$2:$B$309,$A17,SessionLog!$E$2:$E$309,"SE_neo4j.Posts.parentid",SessionLog!$F$2:$F$309,"M")</f>
        <v/>
      </c>
      <c r="CU17" s="2">
        <f>COUNTIFS(SessionLog!$B$2:$B$309,$A17,SessionLog!$E$2:$E$309,"SE_neo4j.Posts.parentid",SessionLog!$F$2:$F$309,"P")</f>
        <v/>
      </c>
      <c r="CV17" s="2">
        <f>COUNTIFS(SessionLog!$B$2:$B$309,$A17,SessionLog!$E$2:$E$309,"SE_neo4j.Posts.owneruserid",SessionLog!$F$2:$F$309,"M")</f>
        <v/>
      </c>
      <c r="CW17" s="2">
        <f>COUNTIFS(SessionLog!$B$2:$B$309,$A17,SessionLog!$E$2:$E$309,"SE_neo4j.Posts.owneruserid",SessionLog!$F$2:$F$309,"P")</f>
        <v/>
      </c>
      <c r="CX17" s="2">
        <f>COUNTIFS(SessionLog!$B$2:$B$309,$A17,SessionLog!$E$2:$E$309,"SE_neo4j.Posts.acceptedanswerid",SessionLog!$F$2:$F$309,"M")</f>
        <v/>
      </c>
      <c r="CY17" s="2">
        <f>COUNTIFS(SessionLog!$B$2:$B$309,$A17,SessionLog!$E$2:$E$309,"SE_neo4j.Posts.acceptedanswerid",SessionLog!$F$2:$F$309,"P")</f>
        <v/>
      </c>
      <c r="CZ17" s="2">
        <f>COUNTIFS(SessionLog!$B$2:$B$309,$A17,SessionLog!$E$2:$E$309,"SE_neo4j.Comments.id",SessionLog!$F$2:$F$309,"M")</f>
        <v/>
      </c>
      <c r="DA17" s="2">
        <f>COUNTIFS(SessionLog!$B$2:$B$309,$A17,SessionLog!$E$2:$E$309,"SE_neo4j.Comments.id",SessionLog!$F$2:$F$309,"P")</f>
        <v/>
      </c>
      <c r="DB17" s="2">
        <f>COUNTIFS(SessionLog!$B$2:$B$309,$A17,SessionLog!$E$2:$E$309,"SE_neo4j.Comments.creationdate",SessionLog!$F$2:$F$309,"M")</f>
        <v/>
      </c>
      <c r="DC17" s="2">
        <f>COUNTIFS(SessionLog!$B$2:$B$309,$A17,SessionLog!$E$2:$E$309,"SE_neo4j.Comments.creationdate",SessionLog!$F$2:$F$309,"P")</f>
        <v/>
      </c>
      <c r="DD17" s="2">
        <f>COUNTIFS(SessionLog!$B$2:$B$309,$A17,SessionLog!$E$2:$E$309,"SE_neo4j.Comments.score",SessionLog!$F$2:$F$309,"M")</f>
        <v/>
      </c>
      <c r="DE17" s="2">
        <f>COUNTIFS(SessionLog!$B$2:$B$309,$A17,SessionLog!$E$2:$E$309,"SE_neo4j.Comments.score",SessionLog!$F$2:$F$309,"P")</f>
        <v/>
      </c>
      <c r="DF17" s="2">
        <f>COUNTIFS(SessionLog!$B$2:$B$309,$A17,SessionLog!$E$2:$E$309,"SE_neo4j.Users.id",SessionLog!$F$2:$F$309,"M")</f>
        <v/>
      </c>
      <c r="DG17" s="2">
        <f>COUNTIFS(SessionLog!$B$2:$B$309,$A17,SessionLog!$E$2:$E$309,"SE_neo4j.Users.id",SessionLog!$F$2:$F$309,"P")</f>
        <v/>
      </c>
      <c r="DH17" s="2">
        <f>COUNTIFS(SessionLog!$B$2:$B$309,$A17,SessionLog!$E$2:$E$309,"SE_neo4j.Users.accountid",SessionLog!$F$2:$F$309,"M")</f>
        <v/>
      </c>
      <c r="DI17" s="2">
        <f>COUNTIFS(SessionLog!$B$2:$B$309,$A17,SessionLog!$E$2:$E$309,"SE_neo4j.Users.accountid",SessionLog!$F$2:$F$309,"P")</f>
        <v/>
      </c>
      <c r="DJ17" s="2">
        <f>COUNTIFS(SessionLog!$B$2:$B$309,$A17,SessionLog!$E$2:$E$309,"SE_neo4j.Users.displayname",SessionLog!$F$2:$F$309,"M")</f>
        <v/>
      </c>
      <c r="DK17" s="2">
        <f>COUNTIFS(SessionLog!$B$2:$B$309,$A17,SessionLog!$E$2:$E$309,"SE_neo4j.Users.displayname",SessionLog!$F$2:$F$309,"P")</f>
        <v/>
      </c>
      <c r="DL17" s="2">
        <f>COUNTIFS(SessionLog!$B$2:$B$309,$A17,SessionLog!$E$2:$E$309,"SE_neo4j.Users.creationdate",SessionLog!$F$2:$F$309,"M")</f>
        <v/>
      </c>
      <c r="DM17" s="2">
        <f>COUNTIFS(SessionLog!$B$2:$B$309,$A17,SessionLog!$E$2:$E$309,"SE_neo4j.Users.creationdate",SessionLog!$F$2:$F$309,"P")</f>
        <v/>
      </c>
      <c r="DN17" s="2">
        <f>COUNTIFS(SessionLog!$B$2:$B$309,$A17,SessionLog!$E$2:$E$309,"SE_neo4j.Tags.id",SessionLog!$F$2:$F$309,"M")</f>
        <v/>
      </c>
      <c r="DO17" s="2">
        <f>COUNTIFS(SessionLog!$B$2:$B$309,$A17,SessionLog!$E$2:$E$309,"SE_neo4j.Tags.id",SessionLog!$F$2:$F$309,"P")</f>
        <v/>
      </c>
      <c r="DP17" s="2">
        <f>COUNTIFS(SessionLog!$B$2:$B$309,$A17,SessionLog!$E$2:$E$309,"SE_neo4j.Tags.count",SessionLog!$F$2:$F$309,"M")</f>
        <v/>
      </c>
      <c r="DQ17" s="2">
        <f>COUNTIFS(SessionLog!$B$2:$B$309,$A17,SessionLog!$E$2:$E$309,"SE_neo4j.Tags.count",SessionLog!$F$2:$F$309,"P")</f>
        <v/>
      </c>
      <c r="DR17" s="2">
        <f>COUNTIFS(SessionLog!$B$2:$B$309,$A17,SessionLog!$E$2:$E$309,"SE_neo4j.Tags.wikipostid",SessionLog!$F$2:$F$309,"M")</f>
        <v/>
      </c>
      <c r="DS17" s="2">
        <f>COUNTIFS(SessionLog!$B$2:$B$309,$A17,SessionLog!$E$2:$E$309,"SE_neo4j.Tags.wikipostid",SessionLog!$F$2:$F$309,"P")</f>
        <v/>
      </c>
      <c r="DT17" s="2">
        <f>COUNTIFS(SessionLog!$B$2:$B$309,$A17,SessionLog!$E$2:$E$309,"SE_neo4j.Tags.tagname",SessionLog!$F$2:$F$309,"M")</f>
        <v/>
      </c>
      <c r="DU17" s="2">
        <f>COUNTIFS(SessionLog!$B$2:$B$309,$A17,SessionLog!$E$2:$E$309,"SE_neo4j.Tags.tagname",SessionLog!$F$2:$F$309,"P")</f>
        <v/>
      </c>
      <c r="DV17" s="2">
        <f>COUNTIFS(SessionLog!$B$2:$B$309,$A17,SessionLog!$E$2:$E$309,"SE_neo4j.Tags.excerptpostid",SessionLog!$F$2:$F$309,"M")</f>
        <v/>
      </c>
      <c r="DW17" s="2">
        <f>COUNTIFS(SessionLog!$B$2:$B$309,$A17,SessionLog!$E$2:$E$309,"SE_neo4j.Tags.excerptpostid",SessionLog!$F$2:$F$309,"P")</f>
        <v/>
      </c>
    </row>
    <row r="18">
      <c r="A18" s="2" t="inlineStr">
        <is>
          <t>COLD2</t>
        </is>
      </c>
      <c r="B18" s="2">
        <f>COUNTIFS(SessionLog!$B$2:$B$309,$A18,SessionLog!$E$2:$E$309,"SE_mysql.postes.Id",SessionLog!$F$2:$F$309,"M")</f>
        <v/>
      </c>
      <c r="C18" s="2">
        <f>COUNTIFS(SessionLog!$B$2:$B$309,$A18,SessionLog!$E$2:$E$309,"SE_mysql.postes.Id",SessionLog!$F$2:$F$309,"P")</f>
        <v/>
      </c>
      <c r="D18" s="2">
        <f>COUNTIFS(SessionLog!$B$2:$B$309,$A18,SessionLog!$E$2:$E$309,"SE_mysql.postes.PostTypeId",SessionLog!$F$2:$F$309,"M")</f>
        <v/>
      </c>
      <c r="E18" s="2">
        <f>COUNTIFS(SessionLog!$B$2:$B$309,$A18,SessionLog!$E$2:$E$309,"SE_mysql.postes.PostTypeId",SessionLog!$F$2:$F$309,"P")</f>
        <v/>
      </c>
      <c r="F18" s="2">
        <f>COUNTIFS(SessionLog!$B$2:$B$309,$A18,SessionLog!$E$2:$E$309,"SE_mysql.postes.Title",SessionLog!$F$2:$F$309,"M")</f>
        <v/>
      </c>
      <c r="G18" s="2">
        <f>COUNTIFS(SessionLog!$B$2:$B$309,$A18,SessionLog!$E$2:$E$309,"SE_mysql.postes.Title",SessionLog!$F$2:$F$309,"P")</f>
        <v/>
      </c>
      <c r="H18" s="2">
        <f>COUNTIFS(SessionLog!$B$2:$B$309,$A18,SessionLog!$E$2:$E$309,"SE_mysql.postes.OwnerUserId",SessionLog!$F$2:$F$309,"M")</f>
        <v/>
      </c>
      <c r="I18" s="2">
        <f>COUNTIFS(SessionLog!$B$2:$B$309,$A18,SessionLog!$E$2:$E$309,"SE_mysql.postes.OwnerUserId",SessionLog!$F$2:$F$309,"P")</f>
        <v/>
      </c>
      <c r="J18" s="2">
        <f>COUNTIFS(SessionLog!$B$2:$B$309,$A18,SessionLog!$E$2:$E$309,"SE_mysql.postes.ViewCount",SessionLog!$F$2:$F$309,"M")</f>
        <v/>
      </c>
      <c r="K18" s="2">
        <f>COUNTIFS(SessionLog!$B$2:$B$309,$A18,SessionLog!$E$2:$E$309,"SE_mysql.postes.ViewCount",SessionLog!$F$2:$F$309,"P")</f>
        <v/>
      </c>
      <c r="L18" s="2">
        <f>COUNTIFS(SessionLog!$B$2:$B$309,$A18,SessionLog!$E$2:$E$309,"SE_mysql.postes.LastEditDate",SessionLog!$F$2:$F$309,"M")</f>
        <v/>
      </c>
      <c r="M18" s="2">
        <f>COUNTIFS(SessionLog!$B$2:$B$309,$A18,SessionLog!$E$2:$E$309,"SE_mysql.postes.LastEditDate",SessionLog!$F$2:$F$309,"P")</f>
        <v/>
      </c>
      <c r="N18" s="2">
        <f>COUNTIFS(SessionLog!$B$2:$B$309,$A18,SessionLog!$E$2:$E$309,"SE_mysql.postes.LastEditorUserId",SessionLog!$F$2:$F$309,"M")</f>
        <v/>
      </c>
      <c r="O18" s="2">
        <f>COUNTIFS(SessionLog!$B$2:$B$309,$A18,SessionLog!$E$2:$E$309,"SE_mysql.postes.LastEditorUserId",SessionLog!$F$2:$F$309,"P")</f>
        <v/>
      </c>
      <c r="P18" s="2">
        <f>COUNTIFS(SessionLog!$B$2:$B$309,$A18,SessionLog!$E$2:$E$309,"SE_mysql.postes.CreationDate",SessionLog!$F$2:$F$309,"M")</f>
        <v/>
      </c>
      <c r="Q18" s="2">
        <f>COUNTIFS(SessionLog!$B$2:$B$309,$A18,SessionLog!$E$2:$E$309,"SE_mysql.postes.CreationDate",SessionLog!$F$2:$F$309,"P")</f>
        <v/>
      </c>
      <c r="R18" s="2">
        <f>COUNTIFS(SessionLog!$B$2:$B$309,$A18,SessionLog!$E$2:$E$309,"SE_mysql.Posttypes.Id",SessionLog!$F$2:$F$309,"M")</f>
        <v/>
      </c>
      <c r="S18" s="2">
        <f>COUNTIFS(SessionLog!$B$2:$B$309,$A18,SessionLog!$E$2:$E$309,"SE_mysql.Posttypes.Id",SessionLog!$F$2:$F$309,"P")</f>
        <v/>
      </c>
      <c r="T18" s="2">
        <f>COUNTIFS(SessionLog!$B$2:$B$309,$A18,SessionLog!$E$2:$E$309,"SE_mysql.Posttypes.Name",SessionLog!$F$2:$F$309,"M")</f>
        <v/>
      </c>
      <c r="U18" s="2">
        <f>COUNTIFS(SessionLog!$B$2:$B$309,$A18,SessionLog!$E$2:$E$309,"SE_mysql.Posttypes.Name",SessionLog!$F$2:$F$309,"P")</f>
        <v/>
      </c>
      <c r="V18" s="2">
        <f>COUNTIFS(SessionLog!$B$2:$B$309,$A18,SessionLog!$E$2:$E$309,"SE_mysql.Users.Id",SessionLog!$F$2:$F$309,"M")</f>
        <v/>
      </c>
      <c r="W18" s="2">
        <f>COUNTIFS(SessionLog!$B$2:$B$309,$A18,SessionLog!$E$2:$E$309,"SE_mysql.Users.Id",SessionLog!$F$2:$F$309,"P")</f>
        <v/>
      </c>
      <c r="X18" s="2">
        <f>COUNTIFS(SessionLog!$B$2:$B$309,$A18,SessionLog!$E$2:$E$309,"SE_mysql.Users.Views",SessionLog!$F$2:$F$309,"M")</f>
        <v/>
      </c>
      <c r="Y18" s="2">
        <f>COUNTIFS(SessionLog!$B$2:$B$309,$A18,SessionLog!$E$2:$E$309,"SE_mysql.Users.Views",SessionLog!$F$2:$F$309,"P")</f>
        <v/>
      </c>
      <c r="Z18" s="2">
        <f>COUNTIFS(SessionLog!$B$2:$B$309,$A18,SessionLog!$E$2:$E$309,"SE_mysql.Users.UpVotes",SessionLog!$F$2:$F$309,"M")</f>
        <v/>
      </c>
      <c r="AA18" s="2">
        <f>COUNTIFS(SessionLog!$B$2:$B$309,$A18,SessionLog!$E$2:$E$309,"SE_mysql.Users.UpVotes",SessionLog!$F$2:$F$309,"P")</f>
        <v/>
      </c>
      <c r="AB18" s="2">
        <f>COUNTIFS(SessionLog!$B$2:$B$309,$A18,SessionLog!$E$2:$E$309,"SE_mysql.Users.DisplayName",SessionLog!$F$2:$F$309,"M")</f>
        <v/>
      </c>
      <c r="AC18" s="2">
        <f>COUNTIFS(SessionLog!$B$2:$B$309,$A18,SessionLog!$E$2:$E$309,"SE_mysql.Users.DisplayName",SessionLog!$F$2:$F$309,"P")</f>
        <v/>
      </c>
      <c r="AD18" s="2">
        <f>COUNTIFS(SessionLog!$B$2:$B$309,$A18,SessionLog!$E$2:$E$309,"SE_mysql.Users.DownVotes",SessionLog!$F$2:$F$309,"M")</f>
        <v/>
      </c>
      <c r="AE18" s="2">
        <f>COUNTIFS(SessionLog!$B$2:$B$309,$A18,SessionLog!$E$2:$E$309,"SE_mysql.Users.DownVotes",SessionLog!$F$2:$F$309,"P")</f>
        <v/>
      </c>
      <c r="AF18" s="2">
        <f>COUNTIFS(SessionLog!$B$2:$B$309,$A18,SessionLog!$E$2:$E$309,"SE_mysql.Users.LastAccessDate",SessionLog!$F$2:$F$309,"M")</f>
        <v/>
      </c>
      <c r="AG18" s="2">
        <f>COUNTIFS(SessionLog!$B$2:$B$309,$A18,SessionLog!$E$2:$E$309,"SE_mysql.Users.LastAccessDate",SessionLog!$F$2:$F$309,"P")</f>
        <v/>
      </c>
      <c r="AH18" s="2">
        <f>COUNTIFS(SessionLog!$B$2:$B$309,$A18,SessionLog!$E$2:$E$309,"SE_mysql.Users.Reputation",SessionLog!$F$2:$F$309,"M")</f>
        <v/>
      </c>
      <c r="AI18" s="2">
        <f>COUNTIFS(SessionLog!$B$2:$B$309,$A18,SessionLog!$E$2:$E$309,"SE_mysql.Users.Reputation",SessionLog!$F$2:$F$309,"P")</f>
        <v/>
      </c>
      <c r="AJ18" s="2">
        <f>COUNTIFS(SessionLog!$B$2:$B$309,$A18,SessionLog!$E$2:$E$309,"SE_mysql.Flagtypes.Id",SessionLog!$F$2:$F$309,"M")</f>
        <v/>
      </c>
      <c r="AK18" s="2">
        <f>COUNTIFS(SessionLog!$B$2:$B$309,$A18,SessionLog!$E$2:$E$309,"SE_mysql.Flagtypes.Id",SessionLog!$F$2:$F$309,"P")</f>
        <v/>
      </c>
      <c r="AL18" s="2">
        <f>COUNTIFS(SessionLog!$B$2:$B$309,$A18,SessionLog!$E$2:$E$309,"SE_mysql.Flagtypes.Name",SessionLog!$F$2:$F$309,"M")</f>
        <v/>
      </c>
      <c r="AM18" s="2">
        <f>COUNTIFS(SessionLog!$B$2:$B$309,$A18,SessionLog!$E$2:$E$309,"SE_mysql.Flagtypes.Name",SessionLog!$F$2:$F$309,"P")</f>
        <v/>
      </c>
      <c r="AN18" s="2">
        <f>COUNTIFS(SessionLog!$B$2:$B$309,$A18,SessionLog!$E$2:$E$309,"SE_mysql.Votes.Id",SessionLog!$F$2:$F$309,"M")</f>
        <v/>
      </c>
      <c r="AO18" s="2">
        <f>COUNTIFS(SessionLog!$B$2:$B$309,$A18,SessionLog!$E$2:$E$309,"SE_mysql.Votes.Id",SessionLog!$F$2:$F$309,"P")</f>
        <v/>
      </c>
      <c r="AP18" s="2">
        <f>COUNTIFS(SessionLog!$B$2:$B$309,$A18,SessionLog!$E$2:$E$309,"SE_mysql.Votes.UserId",SessionLog!$F$2:$F$309,"M")</f>
        <v/>
      </c>
      <c r="AQ18" s="2">
        <f>COUNTIFS(SessionLog!$B$2:$B$309,$A18,SessionLog!$E$2:$E$309,"SE_mysql.Votes.UserId",SessionLog!$F$2:$F$309,"P")</f>
        <v/>
      </c>
      <c r="AR18" s="2">
        <f>COUNTIFS(SessionLog!$B$2:$B$309,$A18,SessionLog!$E$2:$E$309,"SE_mysql.Votes.BountyAmount",SessionLog!$F$2:$F$309,"M")</f>
        <v/>
      </c>
      <c r="AS18" s="2">
        <f>COUNTIFS(SessionLog!$B$2:$B$309,$A18,SessionLog!$E$2:$E$309,"SE_mysql.Votes.BountyAmount",SessionLog!$F$2:$F$309,"P")</f>
        <v/>
      </c>
      <c r="AT18" s="2">
        <f>COUNTIFS(SessionLog!$B$2:$B$309,$A18,SessionLog!$E$2:$E$309,"SE_mysql.Votes.CreationDate",SessionLog!$F$2:$F$309,"M")</f>
        <v/>
      </c>
      <c r="AU18" s="2">
        <f>COUNTIFS(SessionLog!$B$2:$B$309,$A18,SessionLog!$E$2:$E$309,"SE_mysql.Votes.CreationDate",SessionLog!$F$2:$F$309,"P")</f>
        <v/>
      </c>
      <c r="AV18" s="2">
        <f>COUNTIFS(SessionLog!$B$2:$B$309,$A18,SessionLog!$E$2:$E$309,"SE_mysql.Votes.PostId",SessionLog!$F$2:$F$309,"M")</f>
        <v/>
      </c>
      <c r="AW18" s="2">
        <f>COUNTIFS(SessionLog!$B$2:$B$309,$A18,SessionLog!$E$2:$E$309,"SE_mysql.Votes.PostId",SessionLog!$F$2:$F$309,"P")</f>
        <v/>
      </c>
      <c r="AX18" s="2">
        <f>COUNTIFS(SessionLog!$B$2:$B$309,$A18,SessionLog!$E$2:$E$309,"SE_mysql.Votes.VoteTypeId",SessionLog!$F$2:$F$309,"M")</f>
        <v/>
      </c>
      <c r="AY18" s="2">
        <f>COUNTIFS(SessionLog!$B$2:$B$309,$A18,SessionLog!$E$2:$E$309,"SE_mysql.Votes.VoteTypeId",SessionLog!$F$2:$F$309,"P")</f>
        <v/>
      </c>
      <c r="AZ18" s="2">
        <f>COUNTIFS(SessionLog!$B$2:$B$309,$A18,SessionLog!$E$2:$E$309,"SE_mysql.Votetypes.Id",SessionLog!$F$2:$F$309,"M")</f>
        <v/>
      </c>
      <c r="BA18" s="2">
        <f>COUNTIFS(SessionLog!$B$2:$B$309,$A18,SessionLog!$E$2:$E$309,"SE_mysql.Votetypes.Id",SessionLog!$F$2:$F$309,"P")</f>
        <v/>
      </c>
      <c r="BB18" s="2">
        <f>COUNTIFS(SessionLog!$B$2:$B$309,$A18,SessionLog!$E$2:$E$309,"SE_mysql.Votetypes.Name",SessionLog!$F$2:$F$309,"M")</f>
        <v/>
      </c>
      <c r="BC18" s="2">
        <f>COUNTIFS(SessionLog!$B$2:$B$309,$A18,SessionLog!$E$2:$E$309,"SE_mysql.Votetypes.Name",SessionLog!$F$2:$F$309,"P")</f>
        <v/>
      </c>
      <c r="BD18" s="2">
        <f>COUNTIFS(SessionLog!$B$2:$B$309,$A18,SessionLog!$E$2:$E$309,"SE_mongodb.Badges.Id",SessionLog!$F$2:$F$309,"M")</f>
        <v/>
      </c>
      <c r="BE18" s="2">
        <f>COUNTIFS(SessionLog!$B$2:$B$309,$A18,SessionLog!$E$2:$E$309,"SE_mongodb.Badges.Id",SessionLog!$F$2:$F$309,"P")</f>
        <v/>
      </c>
      <c r="BF18" s="2">
        <f>COUNTIFS(SessionLog!$B$2:$B$309,$A18,SessionLog!$E$2:$E$309,"SE_mongodb.Badges.UserId",SessionLog!$F$2:$F$309,"M")</f>
        <v/>
      </c>
      <c r="BG18" s="2">
        <f>COUNTIFS(SessionLog!$B$2:$B$309,$A18,SessionLog!$E$2:$E$309,"SE_mongodb.Badges.UserId",SessionLog!$F$2:$F$309,"P")</f>
        <v/>
      </c>
      <c r="BH18" s="2">
        <f>COUNTIFS(SessionLog!$B$2:$B$309,$A18,SessionLog!$E$2:$E$309,"SE_mongodb.Badges.Name",SessionLog!$F$2:$F$309,"M")</f>
        <v/>
      </c>
      <c r="BI18" s="2">
        <f>COUNTIFS(SessionLog!$B$2:$B$309,$A18,SessionLog!$E$2:$E$309,"SE_mongodb.Badges.Name",SessionLog!$F$2:$F$309,"P")</f>
        <v/>
      </c>
      <c r="BJ18" s="2">
        <f>COUNTIFS(SessionLog!$B$2:$B$309,$A18,SessionLog!$E$2:$E$309,"SE_mongodb.Badges.Date",SessionLog!$F$2:$F$309,"M")</f>
        <v/>
      </c>
      <c r="BK18" s="2">
        <f>COUNTIFS(SessionLog!$B$2:$B$309,$A18,SessionLog!$E$2:$E$309,"SE_mongodb.Badges.Date",SessionLog!$F$2:$F$309,"P")</f>
        <v/>
      </c>
      <c r="BL18" s="2">
        <f>COUNTIFS(SessionLog!$B$2:$B$309,$A18,SessionLog!$E$2:$E$309,"SE_mongodb.Posts.Id",SessionLog!$F$2:$F$309,"M")</f>
        <v/>
      </c>
      <c r="BM18" s="2">
        <f>COUNTIFS(SessionLog!$B$2:$B$309,$A18,SessionLog!$E$2:$E$309,"SE_mongodb.Posts.Id",SessionLog!$F$2:$F$309,"P")</f>
        <v/>
      </c>
      <c r="BN18" s="2">
        <f>COUNTIFS(SessionLog!$B$2:$B$309,$A18,SessionLog!$E$2:$E$309,"SE_mongodb.Posts.Tags",SessionLog!$F$2:$F$309,"M")</f>
        <v/>
      </c>
      <c r="BO18" s="2">
        <f>COUNTIFS(SessionLog!$B$2:$B$309,$A18,SessionLog!$E$2:$E$309,"SE_mongodb.Posts.Tags",SessionLog!$F$2:$F$309,"P")</f>
        <v/>
      </c>
      <c r="BP18" s="2">
        <f>COUNTIFS(SessionLog!$B$2:$B$309,$A18,SessionLog!$E$2:$E$309,"SE_mongodb.Posts.Body",SessionLog!$F$2:$F$309,"M")</f>
        <v/>
      </c>
      <c r="BQ18" s="2">
        <f>COUNTIFS(SessionLog!$B$2:$B$309,$A18,SessionLog!$E$2:$E$309,"SE_mongodb.Posts.Body",SessionLog!$F$2:$F$309,"P")</f>
        <v/>
      </c>
      <c r="BR18" s="2">
        <f>COUNTIFS(SessionLog!$B$2:$B$309,$A18,SessionLog!$E$2:$E$309,"SE_mongodb.Users.Id",SessionLog!$F$2:$F$309,"M")</f>
        <v/>
      </c>
      <c r="BS18" s="2">
        <f>COUNTIFS(SessionLog!$B$2:$B$309,$A18,SessionLog!$E$2:$E$309,"SE_mongodb.Users.Id",SessionLog!$F$2:$F$309,"P")</f>
        <v/>
      </c>
      <c r="BT18" s="2">
        <f>COUNTIFS(SessionLog!$B$2:$B$309,$A18,SessionLog!$E$2:$E$309,"SE_mongodb.Users.DisplayName",SessionLog!$F$2:$F$309,"M")</f>
        <v/>
      </c>
      <c r="BU18" s="2">
        <f>COUNTIFS(SessionLog!$B$2:$B$309,$A18,SessionLog!$E$2:$E$309,"SE_mongodb.Users.DisplayName",SessionLog!$F$2:$F$309,"P")</f>
        <v/>
      </c>
      <c r="BV18" s="2">
        <f>COUNTIFS(SessionLog!$B$2:$B$309,$A18,SessionLog!$E$2:$E$309,"SE_mongodb.Users.AboutMe",SessionLog!$F$2:$F$309,"M")</f>
        <v/>
      </c>
      <c r="BW18" s="2">
        <f>COUNTIFS(SessionLog!$B$2:$B$309,$A18,SessionLog!$E$2:$E$309,"SE_mongodb.Users.AboutMe",SessionLog!$F$2:$F$309,"P")</f>
        <v/>
      </c>
      <c r="BX18" s="2">
        <f>COUNTIFS(SessionLog!$B$2:$B$309,$A18,SessionLog!$E$2:$E$309,"SE_mongodb.Comments.Id",SessionLog!$F$2:$F$309,"M")</f>
        <v/>
      </c>
      <c r="BY18" s="2">
        <f>COUNTIFS(SessionLog!$B$2:$B$309,$A18,SessionLog!$E$2:$E$309,"SE_mongodb.Comments.Id",SessionLog!$F$2:$F$309,"P")</f>
        <v/>
      </c>
      <c r="BZ18" s="2">
        <f>COUNTIFS(SessionLog!$B$2:$B$309,$A18,SessionLog!$E$2:$E$309,"SE_mongodb.Comments.UserId",SessionLog!$F$2:$F$309,"M")</f>
        <v/>
      </c>
      <c r="CA18" s="2">
        <f>COUNTIFS(SessionLog!$B$2:$B$309,$A18,SessionLog!$E$2:$E$309,"SE_mongodb.Comments.UserId",SessionLog!$F$2:$F$309,"P")</f>
        <v/>
      </c>
      <c r="CB18" s="2">
        <f>COUNTIFS(SessionLog!$B$2:$B$309,$A18,SessionLog!$E$2:$E$309,"SE_mongodb.Comments.Text",SessionLog!$F$2:$F$309,"M")</f>
        <v/>
      </c>
      <c r="CC18" s="2">
        <f>COUNTIFS(SessionLog!$B$2:$B$309,$A18,SessionLog!$E$2:$E$309,"SE_mongodb.Comments.Text",SessionLog!$F$2:$F$309,"P")</f>
        <v/>
      </c>
      <c r="CD18" s="2">
        <f>COUNTIFS(SessionLog!$B$2:$B$309,$A18,SessionLog!$E$2:$E$309,"SE_mongodb.Comments.PostId",SessionLog!$F$2:$F$309,"M")</f>
        <v/>
      </c>
      <c r="CE18" s="2">
        <f>COUNTIFS(SessionLog!$B$2:$B$309,$A18,SessionLog!$E$2:$E$309,"SE_mongodb.Comments.PostId",SessionLog!$F$2:$F$309,"P")</f>
        <v/>
      </c>
      <c r="CF18" s="2">
        <f>COUNTIFS(SessionLog!$B$2:$B$309,$A18,SessionLog!$E$2:$E$309,"SE_neo4j.postlinks.id",SessionLog!$F$2:$F$309,"M")</f>
        <v/>
      </c>
      <c r="CG18" s="2">
        <f>COUNTIFS(SessionLog!$B$2:$B$309,$A18,SessionLog!$E$2:$E$309,"SE_neo4j.postlinks.id",SessionLog!$F$2:$F$309,"P")</f>
        <v/>
      </c>
      <c r="CH18" s="2">
        <f>COUNTIFS(SessionLog!$B$2:$B$309,$A18,SessionLog!$E$2:$E$309,"SE_neo4j.postlinks.LinkTypeId",SessionLog!$F$2:$F$309,"M")</f>
        <v/>
      </c>
      <c r="CI18" s="2">
        <f>COUNTIFS(SessionLog!$B$2:$B$309,$A18,SessionLog!$E$2:$E$309,"SE_neo4j.postlinks.LinkTypeId",SessionLog!$F$2:$F$309,"P")</f>
        <v/>
      </c>
      <c r="CJ18" s="2">
        <f>COUNTIFS(SessionLog!$B$2:$B$309,$A18,SessionLog!$E$2:$E$309,"SE_neo4j.postlinks.RelatedPostId",SessionLog!$F$2:$F$309,"M")</f>
        <v/>
      </c>
      <c r="CK18" s="2">
        <f>COUNTIFS(SessionLog!$B$2:$B$309,$A18,SessionLog!$E$2:$E$309,"SE_neo4j.postlinks.RelatedPostId",SessionLog!$F$2:$F$309,"P")</f>
        <v/>
      </c>
      <c r="CL18" s="2">
        <f>COUNTIFS(SessionLog!$B$2:$B$309,$A18,SessionLog!$E$2:$E$309,"SE_neo4j.postlinks.PostIdd",SessionLog!$F$2:$F$309,"M")</f>
        <v/>
      </c>
      <c r="CM18" s="2">
        <f>COUNTIFS(SessionLog!$B$2:$B$309,$A18,SessionLog!$E$2:$E$309,"SE_neo4j.postlinks.PostIdd",SessionLog!$F$2:$F$309,"P")</f>
        <v/>
      </c>
      <c r="CN18" s="2">
        <f>COUNTIFS(SessionLog!$B$2:$B$309,$A18,SessionLog!$E$2:$E$309,"SE_neo4j.postlinks.CreationDate",SessionLog!$F$2:$F$309,"M")</f>
        <v/>
      </c>
      <c r="CO18" s="2">
        <f>COUNTIFS(SessionLog!$B$2:$B$309,$A18,SessionLog!$E$2:$E$309,"SE_neo4j.postlinks.CreationDate",SessionLog!$F$2:$F$309,"P")</f>
        <v/>
      </c>
      <c r="CP18" s="2">
        <f>COUNTIFS(SessionLog!$B$2:$B$309,$A18,SessionLog!$E$2:$E$309,"SE_neo4j.Posts.id",SessionLog!$F$2:$F$309,"M")</f>
        <v/>
      </c>
      <c r="CQ18" s="2">
        <f>COUNTIFS(SessionLog!$B$2:$B$309,$A18,SessionLog!$E$2:$E$309,"SE_neo4j.Posts.id",SessionLog!$F$2:$F$309,"P")</f>
        <v/>
      </c>
      <c r="CR18" s="2">
        <f>COUNTIFS(SessionLog!$B$2:$B$309,$A18,SessionLog!$E$2:$E$309,"SE_neo4j.Posts.posttypeid",SessionLog!$F$2:$F$309,"M")</f>
        <v/>
      </c>
      <c r="CS18" s="2">
        <f>COUNTIFS(SessionLog!$B$2:$B$309,$A18,SessionLog!$E$2:$E$309,"SE_neo4j.Posts.posttypeid",SessionLog!$F$2:$F$309,"P")</f>
        <v/>
      </c>
      <c r="CT18" s="2">
        <f>COUNTIFS(SessionLog!$B$2:$B$309,$A18,SessionLog!$E$2:$E$309,"SE_neo4j.Posts.parentid",SessionLog!$F$2:$F$309,"M")</f>
        <v/>
      </c>
      <c r="CU18" s="2">
        <f>COUNTIFS(SessionLog!$B$2:$B$309,$A18,SessionLog!$E$2:$E$309,"SE_neo4j.Posts.parentid",SessionLog!$F$2:$F$309,"P")</f>
        <v/>
      </c>
      <c r="CV18" s="2">
        <f>COUNTIFS(SessionLog!$B$2:$B$309,$A18,SessionLog!$E$2:$E$309,"SE_neo4j.Posts.owneruserid",SessionLog!$F$2:$F$309,"M")</f>
        <v/>
      </c>
      <c r="CW18" s="2">
        <f>COUNTIFS(SessionLog!$B$2:$B$309,$A18,SessionLog!$E$2:$E$309,"SE_neo4j.Posts.owneruserid",SessionLog!$F$2:$F$309,"P")</f>
        <v/>
      </c>
      <c r="CX18" s="2">
        <f>COUNTIFS(SessionLog!$B$2:$B$309,$A18,SessionLog!$E$2:$E$309,"SE_neo4j.Posts.acceptedanswerid",SessionLog!$F$2:$F$309,"M")</f>
        <v/>
      </c>
      <c r="CY18" s="2">
        <f>COUNTIFS(SessionLog!$B$2:$B$309,$A18,SessionLog!$E$2:$E$309,"SE_neo4j.Posts.acceptedanswerid",SessionLog!$F$2:$F$309,"P")</f>
        <v/>
      </c>
      <c r="CZ18" s="2">
        <f>COUNTIFS(SessionLog!$B$2:$B$309,$A18,SessionLog!$E$2:$E$309,"SE_neo4j.Comments.id",SessionLog!$F$2:$F$309,"M")</f>
        <v/>
      </c>
      <c r="DA18" s="2">
        <f>COUNTIFS(SessionLog!$B$2:$B$309,$A18,SessionLog!$E$2:$E$309,"SE_neo4j.Comments.id",SessionLog!$F$2:$F$309,"P")</f>
        <v/>
      </c>
      <c r="DB18" s="2">
        <f>COUNTIFS(SessionLog!$B$2:$B$309,$A18,SessionLog!$E$2:$E$309,"SE_neo4j.Comments.creationdate",SessionLog!$F$2:$F$309,"M")</f>
        <v/>
      </c>
      <c r="DC18" s="2">
        <f>COUNTIFS(SessionLog!$B$2:$B$309,$A18,SessionLog!$E$2:$E$309,"SE_neo4j.Comments.creationdate",SessionLog!$F$2:$F$309,"P")</f>
        <v/>
      </c>
      <c r="DD18" s="2">
        <f>COUNTIFS(SessionLog!$B$2:$B$309,$A18,SessionLog!$E$2:$E$309,"SE_neo4j.Comments.score",SessionLog!$F$2:$F$309,"M")</f>
        <v/>
      </c>
      <c r="DE18" s="2">
        <f>COUNTIFS(SessionLog!$B$2:$B$309,$A18,SessionLog!$E$2:$E$309,"SE_neo4j.Comments.score",SessionLog!$F$2:$F$309,"P")</f>
        <v/>
      </c>
      <c r="DF18" s="2">
        <f>COUNTIFS(SessionLog!$B$2:$B$309,$A18,SessionLog!$E$2:$E$309,"SE_neo4j.Users.id",SessionLog!$F$2:$F$309,"M")</f>
        <v/>
      </c>
      <c r="DG18" s="2">
        <f>COUNTIFS(SessionLog!$B$2:$B$309,$A18,SessionLog!$E$2:$E$309,"SE_neo4j.Users.id",SessionLog!$F$2:$F$309,"P")</f>
        <v/>
      </c>
      <c r="DH18" s="2">
        <f>COUNTIFS(SessionLog!$B$2:$B$309,$A18,SessionLog!$E$2:$E$309,"SE_neo4j.Users.accountid",SessionLog!$F$2:$F$309,"M")</f>
        <v/>
      </c>
      <c r="DI18" s="2">
        <f>COUNTIFS(SessionLog!$B$2:$B$309,$A18,SessionLog!$E$2:$E$309,"SE_neo4j.Users.accountid",SessionLog!$F$2:$F$309,"P")</f>
        <v/>
      </c>
      <c r="DJ18" s="2">
        <f>COUNTIFS(SessionLog!$B$2:$B$309,$A18,SessionLog!$E$2:$E$309,"SE_neo4j.Users.displayname",SessionLog!$F$2:$F$309,"M")</f>
        <v/>
      </c>
      <c r="DK18" s="2">
        <f>COUNTIFS(SessionLog!$B$2:$B$309,$A18,SessionLog!$E$2:$E$309,"SE_neo4j.Users.displayname",SessionLog!$F$2:$F$309,"P")</f>
        <v/>
      </c>
      <c r="DL18" s="2">
        <f>COUNTIFS(SessionLog!$B$2:$B$309,$A18,SessionLog!$E$2:$E$309,"SE_neo4j.Users.creationdate",SessionLog!$F$2:$F$309,"M")</f>
        <v/>
      </c>
      <c r="DM18" s="2">
        <f>COUNTIFS(SessionLog!$B$2:$B$309,$A18,SessionLog!$E$2:$E$309,"SE_neo4j.Users.creationdate",SessionLog!$F$2:$F$309,"P")</f>
        <v/>
      </c>
      <c r="DN18" s="2">
        <f>COUNTIFS(SessionLog!$B$2:$B$309,$A18,SessionLog!$E$2:$E$309,"SE_neo4j.Tags.id",SessionLog!$F$2:$F$309,"M")</f>
        <v/>
      </c>
      <c r="DO18" s="2">
        <f>COUNTIFS(SessionLog!$B$2:$B$309,$A18,SessionLog!$E$2:$E$309,"SE_neo4j.Tags.id",SessionLog!$F$2:$F$309,"P")</f>
        <v/>
      </c>
      <c r="DP18" s="2">
        <f>COUNTIFS(SessionLog!$B$2:$B$309,$A18,SessionLog!$E$2:$E$309,"SE_neo4j.Tags.count",SessionLog!$F$2:$F$309,"M")</f>
        <v/>
      </c>
      <c r="DQ18" s="2">
        <f>COUNTIFS(SessionLog!$B$2:$B$309,$A18,SessionLog!$E$2:$E$309,"SE_neo4j.Tags.count",SessionLog!$F$2:$F$309,"P")</f>
        <v/>
      </c>
      <c r="DR18" s="2">
        <f>COUNTIFS(SessionLog!$B$2:$B$309,$A18,SessionLog!$E$2:$E$309,"SE_neo4j.Tags.wikipostid",SessionLog!$F$2:$F$309,"M")</f>
        <v/>
      </c>
      <c r="DS18" s="2">
        <f>COUNTIFS(SessionLog!$B$2:$B$309,$A18,SessionLog!$E$2:$E$309,"SE_neo4j.Tags.wikipostid",SessionLog!$F$2:$F$309,"P")</f>
        <v/>
      </c>
      <c r="DT18" s="2">
        <f>COUNTIFS(SessionLog!$B$2:$B$309,$A18,SessionLog!$E$2:$E$309,"SE_neo4j.Tags.tagname",SessionLog!$F$2:$F$309,"M")</f>
        <v/>
      </c>
      <c r="DU18" s="2">
        <f>COUNTIFS(SessionLog!$B$2:$B$309,$A18,SessionLog!$E$2:$E$309,"SE_neo4j.Tags.tagname",SessionLog!$F$2:$F$309,"P")</f>
        <v/>
      </c>
      <c r="DV18" s="2">
        <f>COUNTIFS(SessionLog!$B$2:$B$309,$A18,SessionLog!$E$2:$E$309,"SE_neo4j.Tags.excerptpostid",SessionLog!$F$2:$F$309,"M")</f>
        <v/>
      </c>
      <c r="DW18" s="2">
        <f>COUNTIFS(SessionLog!$B$2:$B$309,$A18,SessionLog!$E$2:$E$309,"SE_neo4j.Tags.excerptpostid",SessionLog!$F$2:$F$309,"P")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/>
      <c r="B1" s="3" t="inlineStr">
        <is>
          <t>SE_mysql.postes</t>
        </is>
      </c>
      <c r="C1" s="3" t="inlineStr">
        <is>
          <t>SE_mysql.Posttypes</t>
        </is>
      </c>
      <c r="D1" s="3" t="inlineStr">
        <is>
          <t>SE_mysql.Users</t>
        </is>
      </c>
      <c r="E1" s="3" t="inlineStr">
        <is>
          <t>SE_mysql.Flagtypes</t>
        </is>
      </c>
      <c r="F1" s="3" t="inlineStr">
        <is>
          <t>SE_mysql.Votes</t>
        </is>
      </c>
      <c r="G1" s="3" t="inlineStr">
        <is>
          <t>SE_mysql.Votetypes</t>
        </is>
      </c>
      <c r="H1" s="3" t="inlineStr">
        <is>
          <t>SE_mongodb.Badges</t>
        </is>
      </c>
      <c r="I1" s="3" t="inlineStr">
        <is>
          <t>SE_mongodb.Posts</t>
        </is>
      </c>
      <c r="J1" s="3" t="inlineStr">
        <is>
          <t>SE_mongodb.Users</t>
        </is>
      </c>
      <c r="K1" s="3" t="inlineStr">
        <is>
          <t>SE_mongodb.Comments</t>
        </is>
      </c>
      <c r="L1" s="3" t="inlineStr">
        <is>
          <t>SE_neo4j.postlinks</t>
        </is>
      </c>
      <c r="M1" s="3" t="inlineStr">
        <is>
          <t>SE_neo4j.Posts</t>
        </is>
      </c>
      <c r="N1" s="3" t="inlineStr">
        <is>
          <t>SE_neo4j.Comments</t>
        </is>
      </c>
      <c r="O1" s="3" t="inlineStr">
        <is>
          <t>SE_neo4j.Users</t>
        </is>
      </c>
      <c r="P1" s="3" t="inlineStr">
        <is>
          <t>SE_neo4j.Tags</t>
        </is>
      </c>
    </row>
    <row r="2">
      <c r="A2" s="3" t="inlineStr">
        <is>
          <t>SE_mysql.postes</t>
        </is>
      </c>
      <c r="B2" s="2">
        <f>IFERROR((SUMPRODUCT(Datasets!$B$2:$B$18,Datasets!$B$2:$B$18)+SUMPRODUCT(Datasets!$C$2:$C$18,Datasets!$C$2:$C$18))/((SQRT(SUMSQ(Datasets!$B$2:$B$18)+SUMSQ(Datasets!$C$2:$C$18)))*(SQRT(SUMSQ(Datasets!$B$2:$B$18)+SUMSQ(Datasets!$C$2:$C$18)))),0)</f>
        <v/>
      </c>
      <c r="C2" s="2">
        <f>IFERROR((SUMPRODUCT(Datasets!$B$2:$B$18,Datasets!$D$2:$D$18)+SUMPRODUCT(Datasets!$C$2:$C$18,Datasets!$E$2:$E$18))/((SQRT(SUMSQ(Datasets!$B$2:$B$18)+SUMSQ(Datasets!$C$2:$C$18)))*(SQRT(SUMSQ(Datasets!$D$2:$D$18)+SUMSQ(Datasets!$E$2:$E$18)))),0)</f>
        <v/>
      </c>
      <c r="D2" s="2">
        <f>IFERROR((SUMPRODUCT(Datasets!$B$2:$B$18,Datasets!$F$2:$F$18)+SUMPRODUCT(Datasets!$C$2:$C$18,Datasets!$G$2:$G$18))/((SQRT(SUMSQ(Datasets!$B$2:$B$18)+SUMSQ(Datasets!$C$2:$C$18)))*(SQRT(SUMSQ(Datasets!$F$2:$F$18)+SUMSQ(Datasets!$G$2:$G$18)))),0)</f>
        <v/>
      </c>
      <c r="E2" s="2">
        <f>IFERROR((SUMPRODUCT(Datasets!$B$2:$B$18,Datasets!$H$2:$H$18)+SUMPRODUCT(Datasets!$C$2:$C$18,Datasets!$I$2:$I$18))/((SQRT(SUMSQ(Datasets!$B$2:$B$18)+SUMSQ(Datasets!$C$2:$C$18)))*(SQRT(SUMSQ(Datasets!$H$2:$H$18)+SUMSQ(Datasets!$I$2:$I$18)))),0)</f>
        <v/>
      </c>
      <c r="F2" s="2">
        <f>IFERROR((SUMPRODUCT(Datasets!$B$2:$B$18,Datasets!$J$2:$J$18)+SUMPRODUCT(Datasets!$C$2:$C$18,Datasets!$K$2:$K$18))/((SQRT(SUMSQ(Datasets!$B$2:$B$18)+SUMSQ(Datasets!$C$2:$C$18)))*(SQRT(SUMSQ(Datasets!$J$2:$J$18)+SUMSQ(Datasets!$K$2:$K$18)))),0)</f>
        <v/>
      </c>
      <c r="G2" s="2">
        <f>IFERROR((SUMPRODUCT(Datasets!$B$2:$B$18,Datasets!$L$2:$L$18)+SUMPRODUCT(Datasets!$C$2:$C$18,Datasets!$M$2:$M$18))/((SQRT(SUMSQ(Datasets!$B$2:$B$18)+SUMSQ(Datasets!$C$2:$C$18)))*(SQRT(SUMSQ(Datasets!$L$2:$L$18)+SUMSQ(Datasets!$M$2:$M$18)))),0)</f>
        <v/>
      </c>
      <c r="H2" s="2">
        <f>IFERROR((SUMPRODUCT(Datasets!$B$2:$B$18,Datasets!$N$2:$N$18)+SUMPRODUCT(Datasets!$C$2:$C$18,Datasets!$O$2:$O$18))/((SQRT(SUMSQ(Datasets!$B$2:$B$18)+SUMSQ(Datasets!$C$2:$C$18)))*(SQRT(SUMSQ(Datasets!$N$2:$N$18)+SUMSQ(Datasets!$O$2:$O$18)))),0)</f>
        <v/>
      </c>
      <c r="I2" s="2">
        <f>IFERROR((SUMPRODUCT(Datasets!$B$2:$B$18,Datasets!$P$2:$P$18)+SUMPRODUCT(Datasets!$C$2:$C$18,Datasets!$Q$2:$Q$18))/((SQRT(SUMSQ(Datasets!$B$2:$B$18)+SUMSQ(Datasets!$C$2:$C$18)))*(SQRT(SUMSQ(Datasets!$P$2:$P$18)+SUMSQ(Datasets!$Q$2:$Q$18)))),0)</f>
        <v/>
      </c>
      <c r="J2" s="2">
        <f>IFERROR((SUMPRODUCT(Datasets!$B$2:$B$18,Datasets!$R$2:$R$18)+SUMPRODUCT(Datasets!$C$2:$C$18,Datasets!$S$2:$S$18))/((SQRT(SUMSQ(Datasets!$B$2:$B$18)+SUMSQ(Datasets!$C$2:$C$18)))*(SQRT(SUMSQ(Datasets!$R$2:$R$18)+SUMSQ(Datasets!$S$2:$S$18)))),0)</f>
        <v/>
      </c>
      <c r="K2" s="2">
        <f>IFERROR((SUMPRODUCT(Datasets!$B$2:$B$18,Datasets!$T$2:$T$18)+SUMPRODUCT(Datasets!$C$2:$C$18,Datasets!$U$2:$U$18))/((SQRT(SUMSQ(Datasets!$B$2:$B$18)+SUMSQ(Datasets!$C$2:$C$18)))*(SQRT(SUMSQ(Datasets!$T$2:$T$18)+SUMSQ(Datasets!$U$2:$U$18)))),0)</f>
        <v/>
      </c>
      <c r="L2" s="2">
        <f>IFERROR((SUMPRODUCT(Datasets!$B$2:$B$18,Datasets!$V$2:$V$18)+SUMPRODUCT(Datasets!$C$2:$C$18,Datasets!$W$2:$W$18))/((SQRT(SUMSQ(Datasets!$B$2:$B$18)+SUMSQ(Datasets!$C$2:$C$18)))*(SQRT(SUMSQ(Datasets!$V$2:$V$18)+SUMSQ(Datasets!$W$2:$W$18)))),0)</f>
        <v/>
      </c>
      <c r="M2" s="2">
        <f>IFERROR((SUMPRODUCT(Datasets!$B$2:$B$18,Datasets!$X$2:$X$18)+SUMPRODUCT(Datasets!$C$2:$C$18,Datasets!$Y$2:$Y$18))/((SQRT(SUMSQ(Datasets!$B$2:$B$18)+SUMSQ(Datasets!$C$2:$C$18)))*(SQRT(SUMSQ(Datasets!$X$2:$X$18)+SUMSQ(Datasets!$Y$2:$Y$18)))),0)</f>
        <v/>
      </c>
      <c r="N2" s="2">
        <f>IFERROR((SUMPRODUCT(Datasets!$B$2:$B$18,Datasets!$Z$2:$Z$18)+SUMPRODUCT(Datasets!$C$2:$C$18,Datasets!$AA$2:$AA$18))/((SQRT(SUMSQ(Datasets!$B$2:$B$18)+SUMSQ(Datasets!$C$2:$C$18)))*(SQRT(SUMSQ(Datasets!$Z$2:$Z$18)+SUMSQ(Datasets!$AA$2:$AA$18)))),0)</f>
        <v/>
      </c>
      <c r="O2" s="2">
        <f>IFERROR((SUMPRODUCT(Datasets!$B$2:$B$18,Datasets!$AB$2:$AB$18)+SUMPRODUCT(Datasets!$C$2:$C$18,Datasets!$AC$2:$AC$18))/((SQRT(SUMSQ(Datasets!$B$2:$B$18)+SUMSQ(Datasets!$C$2:$C$18)))*(SQRT(SUMSQ(Datasets!$AB$2:$AB$18)+SUMSQ(Datasets!$AC$2:$AC$18)))),0)</f>
        <v/>
      </c>
      <c r="P2" s="2">
        <f>IFERROR((SUMPRODUCT(Datasets!$B$2:$B$18,Datasets!$AD$2:$AD$18)+SUMPRODUCT(Datasets!$C$2:$C$18,Datasets!$AE$2:$AE$18))/((SQRT(SUMSQ(Datasets!$B$2:$B$18)+SUMSQ(Datasets!$C$2:$C$18)))*(SQRT(SUMSQ(Datasets!$AD$2:$AD$18)+SUMSQ(Datasets!$AE$2:$AE$18)))),0)</f>
        <v/>
      </c>
    </row>
    <row r="3">
      <c r="A3" s="3" t="inlineStr">
        <is>
          <t>SE_mysql.Posttypes</t>
        </is>
      </c>
      <c r="B3" s="2">
        <f>IFERROR((SUMPRODUCT(Datasets!$D$2:$D$18,Datasets!$B$2:$B$18)+SUMPRODUCT(Datasets!$E$2:$E$18,Datasets!$C$2:$C$18))/((SQRT(SUMSQ(Datasets!$D$2:$D$18)+SUMSQ(Datasets!$E$2:$E$18)))*(SQRT(SUMSQ(Datasets!$B$2:$B$18)+SUMSQ(Datasets!$C$2:$C$18)))),0)</f>
        <v/>
      </c>
      <c r="C3" s="2">
        <f>IFERROR((SUMPRODUCT(Datasets!$D$2:$D$18,Datasets!$D$2:$D$18)+SUMPRODUCT(Datasets!$E$2:$E$18,Datasets!$E$2:$E$18))/((SQRT(SUMSQ(Datasets!$D$2:$D$18)+SUMSQ(Datasets!$E$2:$E$18)))*(SQRT(SUMSQ(Datasets!$D$2:$D$18)+SUMSQ(Datasets!$E$2:$E$18)))),0)</f>
        <v/>
      </c>
      <c r="D3" s="2">
        <f>IFERROR((SUMPRODUCT(Datasets!$D$2:$D$18,Datasets!$F$2:$F$18)+SUMPRODUCT(Datasets!$E$2:$E$18,Datasets!$G$2:$G$18))/((SQRT(SUMSQ(Datasets!$D$2:$D$18)+SUMSQ(Datasets!$E$2:$E$18)))*(SQRT(SUMSQ(Datasets!$F$2:$F$18)+SUMSQ(Datasets!$G$2:$G$18)))),0)</f>
        <v/>
      </c>
      <c r="E3" s="2">
        <f>IFERROR((SUMPRODUCT(Datasets!$D$2:$D$18,Datasets!$H$2:$H$18)+SUMPRODUCT(Datasets!$E$2:$E$18,Datasets!$I$2:$I$18))/((SQRT(SUMSQ(Datasets!$D$2:$D$18)+SUMSQ(Datasets!$E$2:$E$18)))*(SQRT(SUMSQ(Datasets!$H$2:$H$18)+SUMSQ(Datasets!$I$2:$I$18)))),0)</f>
        <v/>
      </c>
      <c r="F3" s="2">
        <f>IFERROR((SUMPRODUCT(Datasets!$D$2:$D$18,Datasets!$J$2:$J$18)+SUMPRODUCT(Datasets!$E$2:$E$18,Datasets!$K$2:$K$18))/((SQRT(SUMSQ(Datasets!$D$2:$D$18)+SUMSQ(Datasets!$E$2:$E$18)))*(SQRT(SUMSQ(Datasets!$J$2:$J$18)+SUMSQ(Datasets!$K$2:$K$18)))),0)</f>
        <v/>
      </c>
      <c r="G3" s="2">
        <f>IFERROR((SUMPRODUCT(Datasets!$D$2:$D$18,Datasets!$L$2:$L$18)+SUMPRODUCT(Datasets!$E$2:$E$18,Datasets!$M$2:$M$18))/((SQRT(SUMSQ(Datasets!$D$2:$D$18)+SUMSQ(Datasets!$E$2:$E$18)))*(SQRT(SUMSQ(Datasets!$L$2:$L$18)+SUMSQ(Datasets!$M$2:$M$18)))),0)</f>
        <v/>
      </c>
      <c r="H3" s="2">
        <f>IFERROR((SUMPRODUCT(Datasets!$D$2:$D$18,Datasets!$N$2:$N$18)+SUMPRODUCT(Datasets!$E$2:$E$18,Datasets!$O$2:$O$18))/((SQRT(SUMSQ(Datasets!$D$2:$D$18)+SUMSQ(Datasets!$E$2:$E$18)))*(SQRT(SUMSQ(Datasets!$N$2:$N$18)+SUMSQ(Datasets!$O$2:$O$18)))),0)</f>
        <v/>
      </c>
      <c r="I3" s="2">
        <f>IFERROR((SUMPRODUCT(Datasets!$D$2:$D$18,Datasets!$P$2:$P$18)+SUMPRODUCT(Datasets!$E$2:$E$18,Datasets!$Q$2:$Q$18))/((SQRT(SUMSQ(Datasets!$D$2:$D$18)+SUMSQ(Datasets!$E$2:$E$18)))*(SQRT(SUMSQ(Datasets!$P$2:$P$18)+SUMSQ(Datasets!$Q$2:$Q$18)))),0)</f>
        <v/>
      </c>
      <c r="J3" s="2">
        <f>IFERROR((SUMPRODUCT(Datasets!$D$2:$D$18,Datasets!$R$2:$R$18)+SUMPRODUCT(Datasets!$E$2:$E$18,Datasets!$S$2:$S$18))/((SQRT(SUMSQ(Datasets!$D$2:$D$18)+SUMSQ(Datasets!$E$2:$E$18)))*(SQRT(SUMSQ(Datasets!$R$2:$R$18)+SUMSQ(Datasets!$S$2:$S$18)))),0)</f>
        <v/>
      </c>
      <c r="K3" s="2">
        <f>IFERROR((SUMPRODUCT(Datasets!$D$2:$D$18,Datasets!$T$2:$T$18)+SUMPRODUCT(Datasets!$E$2:$E$18,Datasets!$U$2:$U$18))/((SQRT(SUMSQ(Datasets!$D$2:$D$18)+SUMSQ(Datasets!$E$2:$E$18)))*(SQRT(SUMSQ(Datasets!$T$2:$T$18)+SUMSQ(Datasets!$U$2:$U$18)))),0)</f>
        <v/>
      </c>
      <c r="L3" s="2">
        <f>IFERROR((SUMPRODUCT(Datasets!$D$2:$D$18,Datasets!$V$2:$V$18)+SUMPRODUCT(Datasets!$E$2:$E$18,Datasets!$W$2:$W$18))/((SQRT(SUMSQ(Datasets!$D$2:$D$18)+SUMSQ(Datasets!$E$2:$E$18)))*(SQRT(SUMSQ(Datasets!$V$2:$V$18)+SUMSQ(Datasets!$W$2:$W$18)))),0)</f>
        <v/>
      </c>
      <c r="M3" s="2">
        <f>IFERROR((SUMPRODUCT(Datasets!$D$2:$D$18,Datasets!$X$2:$X$18)+SUMPRODUCT(Datasets!$E$2:$E$18,Datasets!$Y$2:$Y$18))/((SQRT(SUMSQ(Datasets!$D$2:$D$18)+SUMSQ(Datasets!$E$2:$E$18)))*(SQRT(SUMSQ(Datasets!$X$2:$X$18)+SUMSQ(Datasets!$Y$2:$Y$18)))),0)</f>
        <v/>
      </c>
      <c r="N3" s="2">
        <f>IFERROR((SUMPRODUCT(Datasets!$D$2:$D$18,Datasets!$Z$2:$Z$18)+SUMPRODUCT(Datasets!$E$2:$E$18,Datasets!$AA$2:$AA$18))/((SQRT(SUMSQ(Datasets!$D$2:$D$18)+SUMSQ(Datasets!$E$2:$E$18)))*(SQRT(SUMSQ(Datasets!$Z$2:$Z$18)+SUMSQ(Datasets!$AA$2:$AA$18)))),0)</f>
        <v/>
      </c>
      <c r="O3" s="2">
        <f>IFERROR((SUMPRODUCT(Datasets!$D$2:$D$18,Datasets!$AB$2:$AB$18)+SUMPRODUCT(Datasets!$E$2:$E$18,Datasets!$AC$2:$AC$18))/((SQRT(SUMSQ(Datasets!$D$2:$D$18)+SUMSQ(Datasets!$E$2:$E$18)))*(SQRT(SUMSQ(Datasets!$AB$2:$AB$18)+SUMSQ(Datasets!$AC$2:$AC$18)))),0)</f>
        <v/>
      </c>
      <c r="P3" s="2">
        <f>IFERROR((SUMPRODUCT(Datasets!$D$2:$D$18,Datasets!$AD$2:$AD$18)+SUMPRODUCT(Datasets!$E$2:$E$18,Datasets!$AE$2:$AE$18))/((SQRT(SUMSQ(Datasets!$D$2:$D$18)+SUMSQ(Datasets!$E$2:$E$18)))*(SQRT(SUMSQ(Datasets!$AD$2:$AD$18)+SUMSQ(Datasets!$AE$2:$AE$18)))),0)</f>
        <v/>
      </c>
    </row>
    <row r="4">
      <c r="A4" s="3" t="inlineStr">
        <is>
          <t>SE_mysql.Users</t>
        </is>
      </c>
      <c r="B4" s="2">
        <f>IFERROR((SUMPRODUCT(Datasets!$F$2:$F$18,Datasets!$B$2:$B$18)+SUMPRODUCT(Datasets!$G$2:$G$18,Datasets!$C$2:$C$18))/((SQRT(SUMSQ(Datasets!$F$2:$F$18)+SUMSQ(Datasets!$G$2:$G$18)))*(SQRT(SUMSQ(Datasets!$B$2:$B$18)+SUMSQ(Datasets!$C$2:$C$18)))),0)</f>
        <v/>
      </c>
      <c r="C4" s="2">
        <f>IFERROR((SUMPRODUCT(Datasets!$F$2:$F$18,Datasets!$D$2:$D$18)+SUMPRODUCT(Datasets!$G$2:$G$18,Datasets!$E$2:$E$18))/((SQRT(SUMSQ(Datasets!$F$2:$F$18)+SUMSQ(Datasets!$G$2:$G$18)))*(SQRT(SUMSQ(Datasets!$D$2:$D$18)+SUMSQ(Datasets!$E$2:$E$18)))),0)</f>
        <v/>
      </c>
      <c r="D4" s="2">
        <f>IFERROR((SUMPRODUCT(Datasets!$F$2:$F$18,Datasets!$F$2:$F$18)+SUMPRODUCT(Datasets!$G$2:$G$18,Datasets!$G$2:$G$18))/((SQRT(SUMSQ(Datasets!$F$2:$F$18)+SUMSQ(Datasets!$G$2:$G$18)))*(SQRT(SUMSQ(Datasets!$F$2:$F$18)+SUMSQ(Datasets!$G$2:$G$18)))),0)</f>
        <v/>
      </c>
      <c r="E4" s="2">
        <f>IFERROR((SUMPRODUCT(Datasets!$F$2:$F$18,Datasets!$H$2:$H$18)+SUMPRODUCT(Datasets!$G$2:$G$18,Datasets!$I$2:$I$18))/((SQRT(SUMSQ(Datasets!$F$2:$F$18)+SUMSQ(Datasets!$G$2:$G$18)))*(SQRT(SUMSQ(Datasets!$H$2:$H$18)+SUMSQ(Datasets!$I$2:$I$18)))),0)</f>
        <v/>
      </c>
      <c r="F4" s="2">
        <f>IFERROR((SUMPRODUCT(Datasets!$F$2:$F$18,Datasets!$J$2:$J$18)+SUMPRODUCT(Datasets!$G$2:$G$18,Datasets!$K$2:$K$18))/((SQRT(SUMSQ(Datasets!$F$2:$F$18)+SUMSQ(Datasets!$G$2:$G$18)))*(SQRT(SUMSQ(Datasets!$J$2:$J$18)+SUMSQ(Datasets!$K$2:$K$18)))),0)</f>
        <v/>
      </c>
      <c r="G4" s="2">
        <f>IFERROR((SUMPRODUCT(Datasets!$F$2:$F$18,Datasets!$L$2:$L$18)+SUMPRODUCT(Datasets!$G$2:$G$18,Datasets!$M$2:$M$18))/((SQRT(SUMSQ(Datasets!$F$2:$F$18)+SUMSQ(Datasets!$G$2:$G$18)))*(SQRT(SUMSQ(Datasets!$L$2:$L$18)+SUMSQ(Datasets!$M$2:$M$18)))),0)</f>
        <v/>
      </c>
      <c r="H4" s="2">
        <f>IFERROR((SUMPRODUCT(Datasets!$F$2:$F$18,Datasets!$N$2:$N$18)+SUMPRODUCT(Datasets!$G$2:$G$18,Datasets!$O$2:$O$18))/((SQRT(SUMSQ(Datasets!$F$2:$F$18)+SUMSQ(Datasets!$G$2:$G$18)))*(SQRT(SUMSQ(Datasets!$N$2:$N$18)+SUMSQ(Datasets!$O$2:$O$18)))),0)</f>
        <v/>
      </c>
      <c r="I4" s="2">
        <f>IFERROR((SUMPRODUCT(Datasets!$F$2:$F$18,Datasets!$P$2:$P$18)+SUMPRODUCT(Datasets!$G$2:$G$18,Datasets!$Q$2:$Q$18))/((SQRT(SUMSQ(Datasets!$F$2:$F$18)+SUMSQ(Datasets!$G$2:$G$18)))*(SQRT(SUMSQ(Datasets!$P$2:$P$18)+SUMSQ(Datasets!$Q$2:$Q$18)))),0)</f>
        <v/>
      </c>
      <c r="J4" s="2">
        <f>IFERROR((SUMPRODUCT(Datasets!$F$2:$F$18,Datasets!$R$2:$R$18)+SUMPRODUCT(Datasets!$G$2:$G$18,Datasets!$S$2:$S$18))/((SQRT(SUMSQ(Datasets!$F$2:$F$18)+SUMSQ(Datasets!$G$2:$G$18)))*(SQRT(SUMSQ(Datasets!$R$2:$R$18)+SUMSQ(Datasets!$S$2:$S$18)))),0)</f>
        <v/>
      </c>
      <c r="K4" s="2">
        <f>IFERROR((SUMPRODUCT(Datasets!$F$2:$F$18,Datasets!$T$2:$T$18)+SUMPRODUCT(Datasets!$G$2:$G$18,Datasets!$U$2:$U$18))/((SQRT(SUMSQ(Datasets!$F$2:$F$18)+SUMSQ(Datasets!$G$2:$G$18)))*(SQRT(SUMSQ(Datasets!$T$2:$T$18)+SUMSQ(Datasets!$U$2:$U$18)))),0)</f>
        <v/>
      </c>
      <c r="L4" s="2">
        <f>IFERROR((SUMPRODUCT(Datasets!$F$2:$F$18,Datasets!$V$2:$V$18)+SUMPRODUCT(Datasets!$G$2:$G$18,Datasets!$W$2:$W$18))/((SQRT(SUMSQ(Datasets!$F$2:$F$18)+SUMSQ(Datasets!$G$2:$G$18)))*(SQRT(SUMSQ(Datasets!$V$2:$V$18)+SUMSQ(Datasets!$W$2:$W$18)))),0)</f>
        <v/>
      </c>
      <c r="M4" s="2">
        <f>IFERROR((SUMPRODUCT(Datasets!$F$2:$F$18,Datasets!$X$2:$X$18)+SUMPRODUCT(Datasets!$G$2:$G$18,Datasets!$Y$2:$Y$18))/((SQRT(SUMSQ(Datasets!$F$2:$F$18)+SUMSQ(Datasets!$G$2:$G$18)))*(SQRT(SUMSQ(Datasets!$X$2:$X$18)+SUMSQ(Datasets!$Y$2:$Y$18)))),0)</f>
        <v/>
      </c>
      <c r="N4" s="2">
        <f>IFERROR((SUMPRODUCT(Datasets!$F$2:$F$18,Datasets!$Z$2:$Z$18)+SUMPRODUCT(Datasets!$G$2:$G$18,Datasets!$AA$2:$AA$18))/((SQRT(SUMSQ(Datasets!$F$2:$F$18)+SUMSQ(Datasets!$G$2:$G$18)))*(SQRT(SUMSQ(Datasets!$Z$2:$Z$18)+SUMSQ(Datasets!$AA$2:$AA$18)))),0)</f>
        <v/>
      </c>
      <c r="O4" s="2">
        <f>IFERROR((SUMPRODUCT(Datasets!$F$2:$F$18,Datasets!$AB$2:$AB$18)+SUMPRODUCT(Datasets!$G$2:$G$18,Datasets!$AC$2:$AC$18))/((SQRT(SUMSQ(Datasets!$F$2:$F$18)+SUMSQ(Datasets!$G$2:$G$18)))*(SQRT(SUMSQ(Datasets!$AB$2:$AB$18)+SUMSQ(Datasets!$AC$2:$AC$18)))),0)</f>
        <v/>
      </c>
      <c r="P4" s="2">
        <f>IFERROR((SUMPRODUCT(Datasets!$F$2:$F$18,Datasets!$AD$2:$AD$18)+SUMPRODUCT(Datasets!$G$2:$G$18,Datasets!$AE$2:$AE$18))/((SQRT(SUMSQ(Datasets!$F$2:$F$18)+SUMSQ(Datasets!$G$2:$G$18)))*(SQRT(SUMSQ(Datasets!$AD$2:$AD$18)+SUMSQ(Datasets!$AE$2:$AE$18)))),0)</f>
        <v/>
      </c>
    </row>
    <row r="5">
      <c r="A5" s="3" t="inlineStr">
        <is>
          <t>SE_mysql.Flagtypes</t>
        </is>
      </c>
      <c r="B5" s="2">
        <f>IFERROR((SUMPRODUCT(Datasets!$H$2:$H$18,Datasets!$B$2:$B$18)+SUMPRODUCT(Datasets!$I$2:$I$18,Datasets!$C$2:$C$18))/((SQRT(SUMSQ(Datasets!$H$2:$H$18)+SUMSQ(Datasets!$I$2:$I$18)))*(SQRT(SUMSQ(Datasets!$B$2:$B$18)+SUMSQ(Datasets!$C$2:$C$18)))),0)</f>
        <v/>
      </c>
      <c r="C5" s="2">
        <f>IFERROR((SUMPRODUCT(Datasets!$H$2:$H$18,Datasets!$D$2:$D$18)+SUMPRODUCT(Datasets!$I$2:$I$18,Datasets!$E$2:$E$18))/((SQRT(SUMSQ(Datasets!$H$2:$H$18)+SUMSQ(Datasets!$I$2:$I$18)))*(SQRT(SUMSQ(Datasets!$D$2:$D$18)+SUMSQ(Datasets!$E$2:$E$18)))),0)</f>
        <v/>
      </c>
      <c r="D5" s="2">
        <f>IFERROR((SUMPRODUCT(Datasets!$H$2:$H$18,Datasets!$F$2:$F$18)+SUMPRODUCT(Datasets!$I$2:$I$18,Datasets!$G$2:$G$18))/((SQRT(SUMSQ(Datasets!$H$2:$H$18)+SUMSQ(Datasets!$I$2:$I$18)))*(SQRT(SUMSQ(Datasets!$F$2:$F$18)+SUMSQ(Datasets!$G$2:$G$18)))),0)</f>
        <v/>
      </c>
      <c r="E5" s="2">
        <f>IFERROR((SUMPRODUCT(Datasets!$H$2:$H$18,Datasets!$H$2:$H$18)+SUMPRODUCT(Datasets!$I$2:$I$18,Datasets!$I$2:$I$18))/((SQRT(SUMSQ(Datasets!$H$2:$H$18)+SUMSQ(Datasets!$I$2:$I$18)))*(SQRT(SUMSQ(Datasets!$H$2:$H$18)+SUMSQ(Datasets!$I$2:$I$18)))),0)</f>
        <v/>
      </c>
      <c r="F5" s="2">
        <f>IFERROR((SUMPRODUCT(Datasets!$H$2:$H$18,Datasets!$J$2:$J$18)+SUMPRODUCT(Datasets!$I$2:$I$18,Datasets!$K$2:$K$18))/((SQRT(SUMSQ(Datasets!$H$2:$H$18)+SUMSQ(Datasets!$I$2:$I$18)))*(SQRT(SUMSQ(Datasets!$J$2:$J$18)+SUMSQ(Datasets!$K$2:$K$18)))),0)</f>
        <v/>
      </c>
      <c r="G5" s="2">
        <f>IFERROR((SUMPRODUCT(Datasets!$H$2:$H$18,Datasets!$L$2:$L$18)+SUMPRODUCT(Datasets!$I$2:$I$18,Datasets!$M$2:$M$18))/((SQRT(SUMSQ(Datasets!$H$2:$H$18)+SUMSQ(Datasets!$I$2:$I$18)))*(SQRT(SUMSQ(Datasets!$L$2:$L$18)+SUMSQ(Datasets!$M$2:$M$18)))),0)</f>
        <v/>
      </c>
      <c r="H5" s="2">
        <f>IFERROR((SUMPRODUCT(Datasets!$H$2:$H$18,Datasets!$N$2:$N$18)+SUMPRODUCT(Datasets!$I$2:$I$18,Datasets!$O$2:$O$18))/((SQRT(SUMSQ(Datasets!$H$2:$H$18)+SUMSQ(Datasets!$I$2:$I$18)))*(SQRT(SUMSQ(Datasets!$N$2:$N$18)+SUMSQ(Datasets!$O$2:$O$18)))),0)</f>
        <v/>
      </c>
      <c r="I5" s="2">
        <f>IFERROR((SUMPRODUCT(Datasets!$H$2:$H$18,Datasets!$P$2:$P$18)+SUMPRODUCT(Datasets!$I$2:$I$18,Datasets!$Q$2:$Q$18))/((SQRT(SUMSQ(Datasets!$H$2:$H$18)+SUMSQ(Datasets!$I$2:$I$18)))*(SQRT(SUMSQ(Datasets!$P$2:$P$18)+SUMSQ(Datasets!$Q$2:$Q$18)))),0)</f>
        <v/>
      </c>
      <c r="J5" s="2">
        <f>IFERROR((SUMPRODUCT(Datasets!$H$2:$H$18,Datasets!$R$2:$R$18)+SUMPRODUCT(Datasets!$I$2:$I$18,Datasets!$S$2:$S$18))/((SQRT(SUMSQ(Datasets!$H$2:$H$18)+SUMSQ(Datasets!$I$2:$I$18)))*(SQRT(SUMSQ(Datasets!$R$2:$R$18)+SUMSQ(Datasets!$S$2:$S$18)))),0)</f>
        <v/>
      </c>
      <c r="K5" s="2">
        <f>IFERROR((SUMPRODUCT(Datasets!$H$2:$H$18,Datasets!$T$2:$T$18)+SUMPRODUCT(Datasets!$I$2:$I$18,Datasets!$U$2:$U$18))/((SQRT(SUMSQ(Datasets!$H$2:$H$18)+SUMSQ(Datasets!$I$2:$I$18)))*(SQRT(SUMSQ(Datasets!$T$2:$T$18)+SUMSQ(Datasets!$U$2:$U$18)))),0)</f>
        <v/>
      </c>
      <c r="L5" s="2">
        <f>IFERROR((SUMPRODUCT(Datasets!$H$2:$H$18,Datasets!$V$2:$V$18)+SUMPRODUCT(Datasets!$I$2:$I$18,Datasets!$W$2:$W$18))/((SQRT(SUMSQ(Datasets!$H$2:$H$18)+SUMSQ(Datasets!$I$2:$I$18)))*(SQRT(SUMSQ(Datasets!$V$2:$V$18)+SUMSQ(Datasets!$W$2:$W$18)))),0)</f>
        <v/>
      </c>
      <c r="M5" s="2">
        <f>IFERROR((SUMPRODUCT(Datasets!$H$2:$H$18,Datasets!$X$2:$X$18)+SUMPRODUCT(Datasets!$I$2:$I$18,Datasets!$Y$2:$Y$18))/((SQRT(SUMSQ(Datasets!$H$2:$H$18)+SUMSQ(Datasets!$I$2:$I$18)))*(SQRT(SUMSQ(Datasets!$X$2:$X$18)+SUMSQ(Datasets!$Y$2:$Y$18)))),0)</f>
        <v/>
      </c>
      <c r="N5" s="2">
        <f>IFERROR((SUMPRODUCT(Datasets!$H$2:$H$18,Datasets!$Z$2:$Z$18)+SUMPRODUCT(Datasets!$I$2:$I$18,Datasets!$AA$2:$AA$18))/((SQRT(SUMSQ(Datasets!$H$2:$H$18)+SUMSQ(Datasets!$I$2:$I$18)))*(SQRT(SUMSQ(Datasets!$Z$2:$Z$18)+SUMSQ(Datasets!$AA$2:$AA$18)))),0)</f>
        <v/>
      </c>
      <c r="O5" s="2">
        <f>IFERROR((SUMPRODUCT(Datasets!$H$2:$H$18,Datasets!$AB$2:$AB$18)+SUMPRODUCT(Datasets!$I$2:$I$18,Datasets!$AC$2:$AC$18))/((SQRT(SUMSQ(Datasets!$H$2:$H$18)+SUMSQ(Datasets!$I$2:$I$18)))*(SQRT(SUMSQ(Datasets!$AB$2:$AB$18)+SUMSQ(Datasets!$AC$2:$AC$18)))),0)</f>
        <v/>
      </c>
      <c r="P5" s="2">
        <f>IFERROR((SUMPRODUCT(Datasets!$H$2:$H$18,Datasets!$AD$2:$AD$18)+SUMPRODUCT(Datasets!$I$2:$I$18,Datasets!$AE$2:$AE$18))/((SQRT(SUMSQ(Datasets!$H$2:$H$18)+SUMSQ(Datasets!$I$2:$I$18)))*(SQRT(SUMSQ(Datasets!$AD$2:$AD$18)+SUMSQ(Datasets!$AE$2:$AE$18)))),0)</f>
        <v/>
      </c>
    </row>
    <row r="6">
      <c r="A6" s="3" t="inlineStr">
        <is>
          <t>SE_mysql.Votes</t>
        </is>
      </c>
      <c r="B6" s="2">
        <f>IFERROR((SUMPRODUCT(Datasets!$J$2:$J$18,Datasets!$B$2:$B$18)+SUMPRODUCT(Datasets!$K$2:$K$18,Datasets!$C$2:$C$18))/((SQRT(SUMSQ(Datasets!$J$2:$J$18)+SUMSQ(Datasets!$K$2:$K$18)))*(SQRT(SUMSQ(Datasets!$B$2:$B$18)+SUMSQ(Datasets!$C$2:$C$18)))),0)</f>
        <v/>
      </c>
      <c r="C6" s="2">
        <f>IFERROR((SUMPRODUCT(Datasets!$J$2:$J$18,Datasets!$D$2:$D$18)+SUMPRODUCT(Datasets!$K$2:$K$18,Datasets!$E$2:$E$18))/((SQRT(SUMSQ(Datasets!$J$2:$J$18)+SUMSQ(Datasets!$K$2:$K$18)))*(SQRT(SUMSQ(Datasets!$D$2:$D$18)+SUMSQ(Datasets!$E$2:$E$18)))),0)</f>
        <v/>
      </c>
      <c r="D6" s="2">
        <f>IFERROR((SUMPRODUCT(Datasets!$J$2:$J$18,Datasets!$F$2:$F$18)+SUMPRODUCT(Datasets!$K$2:$K$18,Datasets!$G$2:$G$18))/((SQRT(SUMSQ(Datasets!$J$2:$J$18)+SUMSQ(Datasets!$K$2:$K$18)))*(SQRT(SUMSQ(Datasets!$F$2:$F$18)+SUMSQ(Datasets!$G$2:$G$18)))),0)</f>
        <v/>
      </c>
      <c r="E6" s="2">
        <f>IFERROR((SUMPRODUCT(Datasets!$J$2:$J$18,Datasets!$H$2:$H$18)+SUMPRODUCT(Datasets!$K$2:$K$18,Datasets!$I$2:$I$18))/((SQRT(SUMSQ(Datasets!$J$2:$J$18)+SUMSQ(Datasets!$K$2:$K$18)))*(SQRT(SUMSQ(Datasets!$H$2:$H$18)+SUMSQ(Datasets!$I$2:$I$18)))),0)</f>
        <v/>
      </c>
      <c r="F6" s="2">
        <f>IFERROR((SUMPRODUCT(Datasets!$J$2:$J$18,Datasets!$J$2:$J$18)+SUMPRODUCT(Datasets!$K$2:$K$18,Datasets!$K$2:$K$18))/((SQRT(SUMSQ(Datasets!$J$2:$J$18)+SUMSQ(Datasets!$K$2:$K$18)))*(SQRT(SUMSQ(Datasets!$J$2:$J$18)+SUMSQ(Datasets!$K$2:$K$18)))),0)</f>
        <v/>
      </c>
      <c r="G6" s="2">
        <f>IFERROR((SUMPRODUCT(Datasets!$J$2:$J$18,Datasets!$L$2:$L$18)+SUMPRODUCT(Datasets!$K$2:$K$18,Datasets!$M$2:$M$18))/((SQRT(SUMSQ(Datasets!$J$2:$J$18)+SUMSQ(Datasets!$K$2:$K$18)))*(SQRT(SUMSQ(Datasets!$L$2:$L$18)+SUMSQ(Datasets!$M$2:$M$18)))),0)</f>
        <v/>
      </c>
      <c r="H6" s="2">
        <f>IFERROR((SUMPRODUCT(Datasets!$J$2:$J$18,Datasets!$N$2:$N$18)+SUMPRODUCT(Datasets!$K$2:$K$18,Datasets!$O$2:$O$18))/((SQRT(SUMSQ(Datasets!$J$2:$J$18)+SUMSQ(Datasets!$K$2:$K$18)))*(SQRT(SUMSQ(Datasets!$N$2:$N$18)+SUMSQ(Datasets!$O$2:$O$18)))),0)</f>
        <v/>
      </c>
      <c r="I6" s="2">
        <f>IFERROR((SUMPRODUCT(Datasets!$J$2:$J$18,Datasets!$P$2:$P$18)+SUMPRODUCT(Datasets!$K$2:$K$18,Datasets!$Q$2:$Q$18))/((SQRT(SUMSQ(Datasets!$J$2:$J$18)+SUMSQ(Datasets!$K$2:$K$18)))*(SQRT(SUMSQ(Datasets!$P$2:$P$18)+SUMSQ(Datasets!$Q$2:$Q$18)))),0)</f>
        <v/>
      </c>
      <c r="J6" s="2">
        <f>IFERROR((SUMPRODUCT(Datasets!$J$2:$J$18,Datasets!$R$2:$R$18)+SUMPRODUCT(Datasets!$K$2:$K$18,Datasets!$S$2:$S$18))/((SQRT(SUMSQ(Datasets!$J$2:$J$18)+SUMSQ(Datasets!$K$2:$K$18)))*(SQRT(SUMSQ(Datasets!$R$2:$R$18)+SUMSQ(Datasets!$S$2:$S$18)))),0)</f>
        <v/>
      </c>
      <c r="K6" s="2">
        <f>IFERROR((SUMPRODUCT(Datasets!$J$2:$J$18,Datasets!$T$2:$T$18)+SUMPRODUCT(Datasets!$K$2:$K$18,Datasets!$U$2:$U$18))/((SQRT(SUMSQ(Datasets!$J$2:$J$18)+SUMSQ(Datasets!$K$2:$K$18)))*(SQRT(SUMSQ(Datasets!$T$2:$T$18)+SUMSQ(Datasets!$U$2:$U$18)))),0)</f>
        <v/>
      </c>
      <c r="L6" s="2">
        <f>IFERROR((SUMPRODUCT(Datasets!$J$2:$J$18,Datasets!$V$2:$V$18)+SUMPRODUCT(Datasets!$K$2:$K$18,Datasets!$W$2:$W$18))/((SQRT(SUMSQ(Datasets!$J$2:$J$18)+SUMSQ(Datasets!$K$2:$K$18)))*(SQRT(SUMSQ(Datasets!$V$2:$V$18)+SUMSQ(Datasets!$W$2:$W$18)))),0)</f>
        <v/>
      </c>
      <c r="M6" s="2">
        <f>IFERROR((SUMPRODUCT(Datasets!$J$2:$J$18,Datasets!$X$2:$X$18)+SUMPRODUCT(Datasets!$K$2:$K$18,Datasets!$Y$2:$Y$18))/((SQRT(SUMSQ(Datasets!$J$2:$J$18)+SUMSQ(Datasets!$K$2:$K$18)))*(SQRT(SUMSQ(Datasets!$X$2:$X$18)+SUMSQ(Datasets!$Y$2:$Y$18)))),0)</f>
        <v/>
      </c>
      <c r="N6" s="2">
        <f>IFERROR((SUMPRODUCT(Datasets!$J$2:$J$18,Datasets!$Z$2:$Z$18)+SUMPRODUCT(Datasets!$K$2:$K$18,Datasets!$AA$2:$AA$18))/((SQRT(SUMSQ(Datasets!$J$2:$J$18)+SUMSQ(Datasets!$K$2:$K$18)))*(SQRT(SUMSQ(Datasets!$Z$2:$Z$18)+SUMSQ(Datasets!$AA$2:$AA$18)))),0)</f>
        <v/>
      </c>
      <c r="O6" s="2">
        <f>IFERROR((SUMPRODUCT(Datasets!$J$2:$J$18,Datasets!$AB$2:$AB$18)+SUMPRODUCT(Datasets!$K$2:$K$18,Datasets!$AC$2:$AC$18))/((SQRT(SUMSQ(Datasets!$J$2:$J$18)+SUMSQ(Datasets!$K$2:$K$18)))*(SQRT(SUMSQ(Datasets!$AB$2:$AB$18)+SUMSQ(Datasets!$AC$2:$AC$18)))),0)</f>
        <v/>
      </c>
      <c r="P6" s="2">
        <f>IFERROR((SUMPRODUCT(Datasets!$J$2:$J$18,Datasets!$AD$2:$AD$18)+SUMPRODUCT(Datasets!$K$2:$K$18,Datasets!$AE$2:$AE$18))/((SQRT(SUMSQ(Datasets!$J$2:$J$18)+SUMSQ(Datasets!$K$2:$K$18)))*(SQRT(SUMSQ(Datasets!$AD$2:$AD$18)+SUMSQ(Datasets!$AE$2:$AE$18)))),0)</f>
        <v/>
      </c>
    </row>
    <row r="7">
      <c r="A7" s="3" t="inlineStr">
        <is>
          <t>SE_mysql.Votetypes</t>
        </is>
      </c>
      <c r="B7" s="2">
        <f>IFERROR((SUMPRODUCT(Datasets!$L$2:$L$18,Datasets!$B$2:$B$18)+SUMPRODUCT(Datasets!$M$2:$M$18,Datasets!$C$2:$C$18))/((SQRT(SUMSQ(Datasets!$L$2:$L$18)+SUMSQ(Datasets!$M$2:$M$18)))*(SQRT(SUMSQ(Datasets!$B$2:$B$18)+SUMSQ(Datasets!$C$2:$C$18)))),0)</f>
        <v/>
      </c>
      <c r="C7" s="2">
        <f>IFERROR((SUMPRODUCT(Datasets!$L$2:$L$18,Datasets!$D$2:$D$18)+SUMPRODUCT(Datasets!$M$2:$M$18,Datasets!$E$2:$E$18))/((SQRT(SUMSQ(Datasets!$L$2:$L$18)+SUMSQ(Datasets!$M$2:$M$18)))*(SQRT(SUMSQ(Datasets!$D$2:$D$18)+SUMSQ(Datasets!$E$2:$E$18)))),0)</f>
        <v/>
      </c>
      <c r="D7" s="2">
        <f>IFERROR((SUMPRODUCT(Datasets!$L$2:$L$18,Datasets!$F$2:$F$18)+SUMPRODUCT(Datasets!$M$2:$M$18,Datasets!$G$2:$G$18))/((SQRT(SUMSQ(Datasets!$L$2:$L$18)+SUMSQ(Datasets!$M$2:$M$18)))*(SQRT(SUMSQ(Datasets!$F$2:$F$18)+SUMSQ(Datasets!$G$2:$G$18)))),0)</f>
        <v/>
      </c>
      <c r="E7" s="2">
        <f>IFERROR((SUMPRODUCT(Datasets!$L$2:$L$18,Datasets!$H$2:$H$18)+SUMPRODUCT(Datasets!$M$2:$M$18,Datasets!$I$2:$I$18))/((SQRT(SUMSQ(Datasets!$L$2:$L$18)+SUMSQ(Datasets!$M$2:$M$18)))*(SQRT(SUMSQ(Datasets!$H$2:$H$18)+SUMSQ(Datasets!$I$2:$I$18)))),0)</f>
        <v/>
      </c>
      <c r="F7" s="2">
        <f>IFERROR((SUMPRODUCT(Datasets!$L$2:$L$18,Datasets!$J$2:$J$18)+SUMPRODUCT(Datasets!$M$2:$M$18,Datasets!$K$2:$K$18))/((SQRT(SUMSQ(Datasets!$L$2:$L$18)+SUMSQ(Datasets!$M$2:$M$18)))*(SQRT(SUMSQ(Datasets!$J$2:$J$18)+SUMSQ(Datasets!$K$2:$K$18)))),0)</f>
        <v/>
      </c>
      <c r="G7" s="2">
        <f>IFERROR((SUMPRODUCT(Datasets!$L$2:$L$18,Datasets!$L$2:$L$18)+SUMPRODUCT(Datasets!$M$2:$M$18,Datasets!$M$2:$M$18))/((SQRT(SUMSQ(Datasets!$L$2:$L$18)+SUMSQ(Datasets!$M$2:$M$18)))*(SQRT(SUMSQ(Datasets!$L$2:$L$18)+SUMSQ(Datasets!$M$2:$M$18)))),0)</f>
        <v/>
      </c>
      <c r="H7" s="2">
        <f>IFERROR((SUMPRODUCT(Datasets!$L$2:$L$18,Datasets!$N$2:$N$18)+SUMPRODUCT(Datasets!$M$2:$M$18,Datasets!$O$2:$O$18))/((SQRT(SUMSQ(Datasets!$L$2:$L$18)+SUMSQ(Datasets!$M$2:$M$18)))*(SQRT(SUMSQ(Datasets!$N$2:$N$18)+SUMSQ(Datasets!$O$2:$O$18)))),0)</f>
        <v/>
      </c>
      <c r="I7" s="2">
        <f>IFERROR((SUMPRODUCT(Datasets!$L$2:$L$18,Datasets!$P$2:$P$18)+SUMPRODUCT(Datasets!$M$2:$M$18,Datasets!$Q$2:$Q$18))/((SQRT(SUMSQ(Datasets!$L$2:$L$18)+SUMSQ(Datasets!$M$2:$M$18)))*(SQRT(SUMSQ(Datasets!$P$2:$P$18)+SUMSQ(Datasets!$Q$2:$Q$18)))),0)</f>
        <v/>
      </c>
      <c r="J7" s="2">
        <f>IFERROR((SUMPRODUCT(Datasets!$L$2:$L$18,Datasets!$R$2:$R$18)+SUMPRODUCT(Datasets!$M$2:$M$18,Datasets!$S$2:$S$18))/((SQRT(SUMSQ(Datasets!$L$2:$L$18)+SUMSQ(Datasets!$M$2:$M$18)))*(SQRT(SUMSQ(Datasets!$R$2:$R$18)+SUMSQ(Datasets!$S$2:$S$18)))),0)</f>
        <v/>
      </c>
      <c r="K7" s="2">
        <f>IFERROR((SUMPRODUCT(Datasets!$L$2:$L$18,Datasets!$T$2:$T$18)+SUMPRODUCT(Datasets!$M$2:$M$18,Datasets!$U$2:$U$18))/((SQRT(SUMSQ(Datasets!$L$2:$L$18)+SUMSQ(Datasets!$M$2:$M$18)))*(SQRT(SUMSQ(Datasets!$T$2:$T$18)+SUMSQ(Datasets!$U$2:$U$18)))),0)</f>
        <v/>
      </c>
      <c r="L7" s="2">
        <f>IFERROR((SUMPRODUCT(Datasets!$L$2:$L$18,Datasets!$V$2:$V$18)+SUMPRODUCT(Datasets!$M$2:$M$18,Datasets!$W$2:$W$18))/((SQRT(SUMSQ(Datasets!$L$2:$L$18)+SUMSQ(Datasets!$M$2:$M$18)))*(SQRT(SUMSQ(Datasets!$V$2:$V$18)+SUMSQ(Datasets!$W$2:$W$18)))),0)</f>
        <v/>
      </c>
      <c r="M7" s="2">
        <f>IFERROR((SUMPRODUCT(Datasets!$L$2:$L$18,Datasets!$X$2:$X$18)+SUMPRODUCT(Datasets!$M$2:$M$18,Datasets!$Y$2:$Y$18))/((SQRT(SUMSQ(Datasets!$L$2:$L$18)+SUMSQ(Datasets!$M$2:$M$18)))*(SQRT(SUMSQ(Datasets!$X$2:$X$18)+SUMSQ(Datasets!$Y$2:$Y$18)))),0)</f>
        <v/>
      </c>
      <c r="N7" s="2">
        <f>IFERROR((SUMPRODUCT(Datasets!$L$2:$L$18,Datasets!$Z$2:$Z$18)+SUMPRODUCT(Datasets!$M$2:$M$18,Datasets!$AA$2:$AA$18))/((SQRT(SUMSQ(Datasets!$L$2:$L$18)+SUMSQ(Datasets!$M$2:$M$18)))*(SQRT(SUMSQ(Datasets!$Z$2:$Z$18)+SUMSQ(Datasets!$AA$2:$AA$18)))),0)</f>
        <v/>
      </c>
      <c r="O7" s="2">
        <f>IFERROR((SUMPRODUCT(Datasets!$L$2:$L$18,Datasets!$AB$2:$AB$18)+SUMPRODUCT(Datasets!$M$2:$M$18,Datasets!$AC$2:$AC$18))/((SQRT(SUMSQ(Datasets!$L$2:$L$18)+SUMSQ(Datasets!$M$2:$M$18)))*(SQRT(SUMSQ(Datasets!$AB$2:$AB$18)+SUMSQ(Datasets!$AC$2:$AC$18)))),0)</f>
        <v/>
      </c>
      <c r="P7" s="2">
        <f>IFERROR((SUMPRODUCT(Datasets!$L$2:$L$18,Datasets!$AD$2:$AD$18)+SUMPRODUCT(Datasets!$M$2:$M$18,Datasets!$AE$2:$AE$18))/((SQRT(SUMSQ(Datasets!$L$2:$L$18)+SUMSQ(Datasets!$M$2:$M$18)))*(SQRT(SUMSQ(Datasets!$AD$2:$AD$18)+SUMSQ(Datasets!$AE$2:$AE$18)))),0)</f>
        <v/>
      </c>
    </row>
    <row r="8">
      <c r="A8" s="3" t="inlineStr">
        <is>
          <t>SE_mongodb.Badges</t>
        </is>
      </c>
      <c r="B8" s="2">
        <f>IFERROR((SUMPRODUCT(Datasets!$N$2:$N$18,Datasets!$B$2:$B$18)+SUMPRODUCT(Datasets!$O$2:$O$18,Datasets!$C$2:$C$18))/((SQRT(SUMSQ(Datasets!$N$2:$N$18)+SUMSQ(Datasets!$O$2:$O$18)))*(SQRT(SUMSQ(Datasets!$B$2:$B$18)+SUMSQ(Datasets!$C$2:$C$18)))),0)</f>
        <v/>
      </c>
      <c r="C8" s="2">
        <f>IFERROR((SUMPRODUCT(Datasets!$N$2:$N$18,Datasets!$D$2:$D$18)+SUMPRODUCT(Datasets!$O$2:$O$18,Datasets!$E$2:$E$18))/((SQRT(SUMSQ(Datasets!$N$2:$N$18)+SUMSQ(Datasets!$O$2:$O$18)))*(SQRT(SUMSQ(Datasets!$D$2:$D$18)+SUMSQ(Datasets!$E$2:$E$18)))),0)</f>
        <v/>
      </c>
      <c r="D8" s="2">
        <f>IFERROR((SUMPRODUCT(Datasets!$N$2:$N$18,Datasets!$F$2:$F$18)+SUMPRODUCT(Datasets!$O$2:$O$18,Datasets!$G$2:$G$18))/((SQRT(SUMSQ(Datasets!$N$2:$N$18)+SUMSQ(Datasets!$O$2:$O$18)))*(SQRT(SUMSQ(Datasets!$F$2:$F$18)+SUMSQ(Datasets!$G$2:$G$18)))),0)</f>
        <v/>
      </c>
      <c r="E8" s="2">
        <f>IFERROR((SUMPRODUCT(Datasets!$N$2:$N$18,Datasets!$H$2:$H$18)+SUMPRODUCT(Datasets!$O$2:$O$18,Datasets!$I$2:$I$18))/((SQRT(SUMSQ(Datasets!$N$2:$N$18)+SUMSQ(Datasets!$O$2:$O$18)))*(SQRT(SUMSQ(Datasets!$H$2:$H$18)+SUMSQ(Datasets!$I$2:$I$18)))),0)</f>
        <v/>
      </c>
      <c r="F8" s="2">
        <f>IFERROR((SUMPRODUCT(Datasets!$N$2:$N$18,Datasets!$J$2:$J$18)+SUMPRODUCT(Datasets!$O$2:$O$18,Datasets!$K$2:$K$18))/((SQRT(SUMSQ(Datasets!$N$2:$N$18)+SUMSQ(Datasets!$O$2:$O$18)))*(SQRT(SUMSQ(Datasets!$J$2:$J$18)+SUMSQ(Datasets!$K$2:$K$18)))),0)</f>
        <v/>
      </c>
      <c r="G8" s="2">
        <f>IFERROR((SUMPRODUCT(Datasets!$N$2:$N$18,Datasets!$L$2:$L$18)+SUMPRODUCT(Datasets!$O$2:$O$18,Datasets!$M$2:$M$18))/((SQRT(SUMSQ(Datasets!$N$2:$N$18)+SUMSQ(Datasets!$O$2:$O$18)))*(SQRT(SUMSQ(Datasets!$L$2:$L$18)+SUMSQ(Datasets!$M$2:$M$18)))),0)</f>
        <v/>
      </c>
      <c r="H8" s="2">
        <f>IFERROR((SUMPRODUCT(Datasets!$N$2:$N$18,Datasets!$N$2:$N$18)+SUMPRODUCT(Datasets!$O$2:$O$18,Datasets!$O$2:$O$18))/((SQRT(SUMSQ(Datasets!$N$2:$N$18)+SUMSQ(Datasets!$O$2:$O$18)))*(SQRT(SUMSQ(Datasets!$N$2:$N$18)+SUMSQ(Datasets!$O$2:$O$18)))),0)</f>
        <v/>
      </c>
      <c r="I8" s="2">
        <f>IFERROR((SUMPRODUCT(Datasets!$N$2:$N$18,Datasets!$P$2:$P$18)+SUMPRODUCT(Datasets!$O$2:$O$18,Datasets!$Q$2:$Q$18))/((SQRT(SUMSQ(Datasets!$N$2:$N$18)+SUMSQ(Datasets!$O$2:$O$18)))*(SQRT(SUMSQ(Datasets!$P$2:$P$18)+SUMSQ(Datasets!$Q$2:$Q$18)))),0)</f>
        <v/>
      </c>
      <c r="J8" s="2">
        <f>IFERROR((SUMPRODUCT(Datasets!$N$2:$N$18,Datasets!$R$2:$R$18)+SUMPRODUCT(Datasets!$O$2:$O$18,Datasets!$S$2:$S$18))/((SQRT(SUMSQ(Datasets!$N$2:$N$18)+SUMSQ(Datasets!$O$2:$O$18)))*(SQRT(SUMSQ(Datasets!$R$2:$R$18)+SUMSQ(Datasets!$S$2:$S$18)))),0)</f>
        <v/>
      </c>
      <c r="K8" s="2">
        <f>IFERROR((SUMPRODUCT(Datasets!$N$2:$N$18,Datasets!$T$2:$T$18)+SUMPRODUCT(Datasets!$O$2:$O$18,Datasets!$U$2:$U$18))/((SQRT(SUMSQ(Datasets!$N$2:$N$18)+SUMSQ(Datasets!$O$2:$O$18)))*(SQRT(SUMSQ(Datasets!$T$2:$T$18)+SUMSQ(Datasets!$U$2:$U$18)))),0)</f>
        <v/>
      </c>
      <c r="L8" s="2">
        <f>IFERROR((SUMPRODUCT(Datasets!$N$2:$N$18,Datasets!$V$2:$V$18)+SUMPRODUCT(Datasets!$O$2:$O$18,Datasets!$W$2:$W$18))/((SQRT(SUMSQ(Datasets!$N$2:$N$18)+SUMSQ(Datasets!$O$2:$O$18)))*(SQRT(SUMSQ(Datasets!$V$2:$V$18)+SUMSQ(Datasets!$W$2:$W$18)))),0)</f>
        <v/>
      </c>
      <c r="M8" s="2">
        <f>IFERROR((SUMPRODUCT(Datasets!$N$2:$N$18,Datasets!$X$2:$X$18)+SUMPRODUCT(Datasets!$O$2:$O$18,Datasets!$Y$2:$Y$18))/((SQRT(SUMSQ(Datasets!$N$2:$N$18)+SUMSQ(Datasets!$O$2:$O$18)))*(SQRT(SUMSQ(Datasets!$X$2:$X$18)+SUMSQ(Datasets!$Y$2:$Y$18)))),0)</f>
        <v/>
      </c>
      <c r="N8" s="2">
        <f>IFERROR((SUMPRODUCT(Datasets!$N$2:$N$18,Datasets!$Z$2:$Z$18)+SUMPRODUCT(Datasets!$O$2:$O$18,Datasets!$AA$2:$AA$18))/((SQRT(SUMSQ(Datasets!$N$2:$N$18)+SUMSQ(Datasets!$O$2:$O$18)))*(SQRT(SUMSQ(Datasets!$Z$2:$Z$18)+SUMSQ(Datasets!$AA$2:$AA$18)))),0)</f>
        <v/>
      </c>
      <c r="O8" s="2">
        <f>IFERROR((SUMPRODUCT(Datasets!$N$2:$N$18,Datasets!$AB$2:$AB$18)+SUMPRODUCT(Datasets!$O$2:$O$18,Datasets!$AC$2:$AC$18))/((SQRT(SUMSQ(Datasets!$N$2:$N$18)+SUMSQ(Datasets!$O$2:$O$18)))*(SQRT(SUMSQ(Datasets!$AB$2:$AB$18)+SUMSQ(Datasets!$AC$2:$AC$18)))),0)</f>
        <v/>
      </c>
      <c r="P8" s="2">
        <f>IFERROR((SUMPRODUCT(Datasets!$N$2:$N$18,Datasets!$AD$2:$AD$18)+SUMPRODUCT(Datasets!$O$2:$O$18,Datasets!$AE$2:$AE$18))/((SQRT(SUMSQ(Datasets!$N$2:$N$18)+SUMSQ(Datasets!$O$2:$O$18)))*(SQRT(SUMSQ(Datasets!$AD$2:$AD$18)+SUMSQ(Datasets!$AE$2:$AE$18)))),0)</f>
        <v/>
      </c>
    </row>
    <row r="9">
      <c r="A9" s="3" t="inlineStr">
        <is>
          <t>SE_mongodb.Posts</t>
        </is>
      </c>
      <c r="B9" s="2">
        <f>IFERROR((SUMPRODUCT(Datasets!$P$2:$P$18,Datasets!$B$2:$B$18)+SUMPRODUCT(Datasets!$Q$2:$Q$18,Datasets!$C$2:$C$18))/((SQRT(SUMSQ(Datasets!$P$2:$P$18)+SUMSQ(Datasets!$Q$2:$Q$18)))*(SQRT(SUMSQ(Datasets!$B$2:$B$18)+SUMSQ(Datasets!$C$2:$C$18)))),0)</f>
        <v/>
      </c>
      <c r="C9" s="2">
        <f>IFERROR((SUMPRODUCT(Datasets!$P$2:$P$18,Datasets!$D$2:$D$18)+SUMPRODUCT(Datasets!$Q$2:$Q$18,Datasets!$E$2:$E$18))/((SQRT(SUMSQ(Datasets!$P$2:$P$18)+SUMSQ(Datasets!$Q$2:$Q$18)))*(SQRT(SUMSQ(Datasets!$D$2:$D$18)+SUMSQ(Datasets!$E$2:$E$18)))),0)</f>
        <v/>
      </c>
      <c r="D9" s="2">
        <f>IFERROR((SUMPRODUCT(Datasets!$P$2:$P$18,Datasets!$F$2:$F$18)+SUMPRODUCT(Datasets!$Q$2:$Q$18,Datasets!$G$2:$G$18))/((SQRT(SUMSQ(Datasets!$P$2:$P$18)+SUMSQ(Datasets!$Q$2:$Q$18)))*(SQRT(SUMSQ(Datasets!$F$2:$F$18)+SUMSQ(Datasets!$G$2:$G$18)))),0)</f>
        <v/>
      </c>
      <c r="E9" s="2">
        <f>IFERROR((SUMPRODUCT(Datasets!$P$2:$P$18,Datasets!$H$2:$H$18)+SUMPRODUCT(Datasets!$Q$2:$Q$18,Datasets!$I$2:$I$18))/((SQRT(SUMSQ(Datasets!$P$2:$P$18)+SUMSQ(Datasets!$Q$2:$Q$18)))*(SQRT(SUMSQ(Datasets!$H$2:$H$18)+SUMSQ(Datasets!$I$2:$I$18)))),0)</f>
        <v/>
      </c>
      <c r="F9" s="2">
        <f>IFERROR((SUMPRODUCT(Datasets!$P$2:$P$18,Datasets!$J$2:$J$18)+SUMPRODUCT(Datasets!$Q$2:$Q$18,Datasets!$K$2:$K$18))/((SQRT(SUMSQ(Datasets!$P$2:$P$18)+SUMSQ(Datasets!$Q$2:$Q$18)))*(SQRT(SUMSQ(Datasets!$J$2:$J$18)+SUMSQ(Datasets!$K$2:$K$18)))),0)</f>
        <v/>
      </c>
      <c r="G9" s="2">
        <f>IFERROR((SUMPRODUCT(Datasets!$P$2:$P$18,Datasets!$L$2:$L$18)+SUMPRODUCT(Datasets!$Q$2:$Q$18,Datasets!$M$2:$M$18))/((SQRT(SUMSQ(Datasets!$P$2:$P$18)+SUMSQ(Datasets!$Q$2:$Q$18)))*(SQRT(SUMSQ(Datasets!$L$2:$L$18)+SUMSQ(Datasets!$M$2:$M$18)))),0)</f>
        <v/>
      </c>
      <c r="H9" s="2">
        <f>IFERROR((SUMPRODUCT(Datasets!$P$2:$P$18,Datasets!$N$2:$N$18)+SUMPRODUCT(Datasets!$Q$2:$Q$18,Datasets!$O$2:$O$18))/((SQRT(SUMSQ(Datasets!$P$2:$P$18)+SUMSQ(Datasets!$Q$2:$Q$18)))*(SQRT(SUMSQ(Datasets!$N$2:$N$18)+SUMSQ(Datasets!$O$2:$O$18)))),0)</f>
        <v/>
      </c>
      <c r="I9" s="2">
        <f>IFERROR((SUMPRODUCT(Datasets!$P$2:$P$18,Datasets!$P$2:$P$18)+SUMPRODUCT(Datasets!$Q$2:$Q$18,Datasets!$Q$2:$Q$18))/((SQRT(SUMSQ(Datasets!$P$2:$P$18)+SUMSQ(Datasets!$Q$2:$Q$18)))*(SQRT(SUMSQ(Datasets!$P$2:$P$18)+SUMSQ(Datasets!$Q$2:$Q$18)))),0)</f>
        <v/>
      </c>
      <c r="J9" s="2">
        <f>IFERROR((SUMPRODUCT(Datasets!$P$2:$P$18,Datasets!$R$2:$R$18)+SUMPRODUCT(Datasets!$Q$2:$Q$18,Datasets!$S$2:$S$18))/((SQRT(SUMSQ(Datasets!$P$2:$P$18)+SUMSQ(Datasets!$Q$2:$Q$18)))*(SQRT(SUMSQ(Datasets!$R$2:$R$18)+SUMSQ(Datasets!$S$2:$S$18)))),0)</f>
        <v/>
      </c>
      <c r="K9" s="2">
        <f>IFERROR((SUMPRODUCT(Datasets!$P$2:$P$18,Datasets!$T$2:$T$18)+SUMPRODUCT(Datasets!$Q$2:$Q$18,Datasets!$U$2:$U$18))/((SQRT(SUMSQ(Datasets!$P$2:$P$18)+SUMSQ(Datasets!$Q$2:$Q$18)))*(SQRT(SUMSQ(Datasets!$T$2:$T$18)+SUMSQ(Datasets!$U$2:$U$18)))),0)</f>
        <v/>
      </c>
      <c r="L9" s="2">
        <f>IFERROR((SUMPRODUCT(Datasets!$P$2:$P$18,Datasets!$V$2:$V$18)+SUMPRODUCT(Datasets!$Q$2:$Q$18,Datasets!$W$2:$W$18))/((SQRT(SUMSQ(Datasets!$P$2:$P$18)+SUMSQ(Datasets!$Q$2:$Q$18)))*(SQRT(SUMSQ(Datasets!$V$2:$V$18)+SUMSQ(Datasets!$W$2:$W$18)))),0)</f>
        <v/>
      </c>
      <c r="M9" s="2">
        <f>IFERROR((SUMPRODUCT(Datasets!$P$2:$P$18,Datasets!$X$2:$X$18)+SUMPRODUCT(Datasets!$Q$2:$Q$18,Datasets!$Y$2:$Y$18))/((SQRT(SUMSQ(Datasets!$P$2:$P$18)+SUMSQ(Datasets!$Q$2:$Q$18)))*(SQRT(SUMSQ(Datasets!$X$2:$X$18)+SUMSQ(Datasets!$Y$2:$Y$18)))),0)</f>
        <v/>
      </c>
      <c r="N9" s="2">
        <f>IFERROR((SUMPRODUCT(Datasets!$P$2:$P$18,Datasets!$Z$2:$Z$18)+SUMPRODUCT(Datasets!$Q$2:$Q$18,Datasets!$AA$2:$AA$18))/((SQRT(SUMSQ(Datasets!$P$2:$P$18)+SUMSQ(Datasets!$Q$2:$Q$18)))*(SQRT(SUMSQ(Datasets!$Z$2:$Z$18)+SUMSQ(Datasets!$AA$2:$AA$18)))),0)</f>
        <v/>
      </c>
      <c r="O9" s="2">
        <f>IFERROR((SUMPRODUCT(Datasets!$P$2:$P$18,Datasets!$AB$2:$AB$18)+SUMPRODUCT(Datasets!$Q$2:$Q$18,Datasets!$AC$2:$AC$18))/((SQRT(SUMSQ(Datasets!$P$2:$P$18)+SUMSQ(Datasets!$Q$2:$Q$18)))*(SQRT(SUMSQ(Datasets!$AB$2:$AB$18)+SUMSQ(Datasets!$AC$2:$AC$18)))),0)</f>
        <v/>
      </c>
      <c r="P9" s="2">
        <f>IFERROR((SUMPRODUCT(Datasets!$P$2:$P$18,Datasets!$AD$2:$AD$18)+SUMPRODUCT(Datasets!$Q$2:$Q$18,Datasets!$AE$2:$AE$18))/((SQRT(SUMSQ(Datasets!$P$2:$P$18)+SUMSQ(Datasets!$Q$2:$Q$18)))*(SQRT(SUMSQ(Datasets!$AD$2:$AD$18)+SUMSQ(Datasets!$AE$2:$AE$18)))),0)</f>
        <v/>
      </c>
    </row>
    <row r="10">
      <c r="A10" s="3" t="inlineStr">
        <is>
          <t>SE_mongodb.Users</t>
        </is>
      </c>
      <c r="B10" s="2">
        <f>IFERROR((SUMPRODUCT(Datasets!$R$2:$R$18,Datasets!$B$2:$B$18)+SUMPRODUCT(Datasets!$S$2:$S$18,Datasets!$C$2:$C$18))/((SQRT(SUMSQ(Datasets!$R$2:$R$18)+SUMSQ(Datasets!$S$2:$S$18)))*(SQRT(SUMSQ(Datasets!$B$2:$B$18)+SUMSQ(Datasets!$C$2:$C$18)))),0)</f>
        <v/>
      </c>
      <c r="C10" s="2">
        <f>IFERROR((SUMPRODUCT(Datasets!$R$2:$R$18,Datasets!$D$2:$D$18)+SUMPRODUCT(Datasets!$S$2:$S$18,Datasets!$E$2:$E$18))/((SQRT(SUMSQ(Datasets!$R$2:$R$18)+SUMSQ(Datasets!$S$2:$S$18)))*(SQRT(SUMSQ(Datasets!$D$2:$D$18)+SUMSQ(Datasets!$E$2:$E$18)))),0)</f>
        <v/>
      </c>
      <c r="D10" s="2">
        <f>IFERROR((SUMPRODUCT(Datasets!$R$2:$R$18,Datasets!$F$2:$F$18)+SUMPRODUCT(Datasets!$S$2:$S$18,Datasets!$G$2:$G$18))/((SQRT(SUMSQ(Datasets!$R$2:$R$18)+SUMSQ(Datasets!$S$2:$S$18)))*(SQRT(SUMSQ(Datasets!$F$2:$F$18)+SUMSQ(Datasets!$G$2:$G$18)))),0)</f>
        <v/>
      </c>
      <c r="E10" s="2">
        <f>IFERROR((SUMPRODUCT(Datasets!$R$2:$R$18,Datasets!$H$2:$H$18)+SUMPRODUCT(Datasets!$S$2:$S$18,Datasets!$I$2:$I$18))/((SQRT(SUMSQ(Datasets!$R$2:$R$18)+SUMSQ(Datasets!$S$2:$S$18)))*(SQRT(SUMSQ(Datasets!$H$2:$H$18)+SUMSQ(Datasets!$I$2:$I$18)))),0)</f>
        <v/>
      </c>
      <c r="F10" s="2">
        <f>IFERROR((SUMPRODUCT(Datasets!$R$2:$R$18,Datasets!$J$2:$J$18)+SUMPRODUCT(Datasets!$S$2:$S$18,Datasets!$K$2:$K$18))/((SQRT(SUMSQ(Datasets!$R$2:$R$18)+SUMSQ(Datasets!$S$2:$S$18)))*(SQRT(SUMSQ(Datasets!$J$2:$J$18)+SUMSQ(Datasets!$K$2:$K$18)))),0)</f>
        <v/>
      </c>
      <c r="G10" s="2">
        <f>IFERROR((SUMPRODUCT(Datasets!$R$2:$R$18,Datasets!$L$2:$L$18)+SUMPRODUCT(Datasets!$S$2:$S$18,Datasets!$M$2:$M$18))/((SQRT(SUMSQ(Datasets!$R$2:$R$18)+SUMSQ(Datasets!$S$2:$S$18)))*(SQRT(SUMSQ(Datasets!$L$2:$L$18)+SUMSQ(Datasets!$M$2:$M$18)))),0)</f>
        <v/>
      </c>
      <c r="H10" s="2">
        <f>IFERROR((SUMPRODUCT(Datasets!$R$2:$R$18,Datasets!$N$2:$N$18)+SUMPRODUCT(Datasets!$S$2:$S$18,Datasets!$O$2:$O$18))/((SQRT(SUMSQ(Datasets!$R$2:$R$18)+SUMSQ(Datasets!$S$2:$S$18)))*(SQRT(SUMSQ(Datasets!$N$2:$N$18)+SUMSQ(Datasets!$O$2:$O$18)))),0)</f>
        <v/>
      </c>
      <c r="I10" s="2">
        <f>IFERROR((SUMPRODUCT(Datasets!$R$2:$R$18,Datasets!$P$2:$P$18)+SUMPRODUCT(Datasets!$S$2:$S$18,Datasets!$Q$2:$Q$18))/((SQRT(SUMSQ(Datasets!$R$2:$R$18)+SUMSQ(Datasets!$S$2:$S$18)))*(SQRT(SUMSQ(Datasets!$P$2:$P$18)+SUMSQ(Datasets!$Q$2:$Q$18)))),0)</f>
        <v/>
      </c>
      <c r="J10" s="2">
        <f>IFERROR((SUMPRODUCT(Datasets!$R$2:$R$18,Datasets!$R$2:$R$18)+SUMPRODUCT(Datasets!$S$2:$S$18,Datasets!$S$2:$S$18))/((SQRT(SUMSQ(Datasets!$R$2:$R$18)+SUMSQ(Datasets!$S$2:$S$18)))*(SQRT(SUMSQ(Datasets!$R$2:$R$18)+SUMSQ(Datasets!$S$2:$S$18)))),0)</f>
        <v/>
      </c>
      <c r="K10" s="2">
        <f>IFERROR((SUMPRODUCT(Datasets!$R$2:$R$18,Datasets!$T$2:$T$18)+SUMPRODUCT(Datasets!$S$2:$S$18,Datasets!$U$2:$U$18))/((SQRT(SUMSQ(Datasets!$R$2:$R$18)+SUMSQ(Datasets!$S$2:$S$18)))*(SQRT(SUMSQ(Datasets!$T$2:$T$18)+SUMSQ(Datasets!$U$2:$U$18)))),0)</f>
        <v/>
      </c>
      <c r="L10" s="2">
        <f>IFERROR((SUMPRODUCT(Datasets!$R$2:$R$18,Datasets!$V$2:$V$18)+SUMPRODUCT(Datasets!$S$2:$S$18,Datasets!$W$2:$W$18))/((SQRT(SUMSQ(Datasets!$R$2:$R$18)+SUMSQ(Datasets!$S$2:$S$18)))*(SQRT(SUMSQ(Datasets!$V$2:$V$18)+SUMSQ(Datasets!$W$2:$W$18)))),0)</f>
        <v/>
      </c>
      <c r="M10" s="2">
        <f>IFERROR((SUMPRODUCT(Datasets!$R$2:$R$18,Datasets!$X$2:$X$18)+SUMPRODUCT(Datasets!$S$2:$S$18,Datasets!$Y$2:$Y$18))/((SQRT(SUMSQ(Datasets!$R$2:$R$18)+SUMSQ(Datasets!$S$2:$S$18)))*(SQRT(SUMSQ(Datasets!$X$2:$X$18)+SUMSQ(Datasets!$Y$2:$Y$18)))),0)</f>
        <v/>
      </c>
      <c r="N10" s="2">
        <f>IFERROR((SUMPRODUCT(Datasets!$R$2:$R$18,Datasets!$Z$2:$Z$18)+SUMPRODUCT(Datasets!$S$2:$S$18,Datasets!$AA$2:$AA$18))/((SQRT(SUMSQ(Datasets!$R$2:$R$18)+SUMSQ(Datasets!$S$2:$S$18)))*(SQRT(SUMSQ(Datasets!$Z$2:$Z$18)+SUMSQ(Datasets!$AA$2:$AA$18)))),0)</f>
        <v/>
      </c>
      <c r="O10" s="2">
        <f>IFERROR((SUMPRODUCT(Datasets!$R$2:$R$18,Datasets!$AB$2:$AB$18)+SUMPRODUCT(Datasets!$S$2:$S$18,Datasets!$AC$2:$AC$18))/((SQRT(SUMSQ(Datasets!$R$2:$R$18)+SUMSQ(Datasets!$S$2:$S$18)))*(SQRT(SUMSQ(Datasets!$AB$2:$AB$18)+SUMSQ(Datasets!$AC$2:$AC$18)))),0)</f>
        <v/>
      </c>
      <c r="P10" s="2">
        <f>IFERROR((SUMPRODUCT(Datasets!$R$2:$R$18,Datasets!$AD$2:$AD$18)+SUMPRODUCT(Datasets!$S$2:$S$18,Datasets!$AE$2:$AE$18))/((SQRT(SUMSQ(Datasets!$R$2:$R$18)+SUMSQ(Datasets!$S$2:$S$18)))*(SQRT(SUMSQ(Datasets!$AD$2:$AD$18)+SUMSQ(Datasets!$AE$2:$AE$18)))),0)</f>
        <v/>
      </c>
    </row>
    <row r="11">
      <c r="A11" s="3" t="inlineStr">
        <is>
          <t>SE_mongodb.Comments</t>
        </is>
      </c>
      <c r="B11" s="2">
        <f>IFERROR((SUMPRODUCT(Datasets!$T$2:$T$18,Datasets!$B$2:$B$18)+SUMPRODUCT(Datasets!$U$2:$U$18,Datasets!$C$2:$C$18))/((SQRT(SUMSQ(Datasets!$T$2:$T$18)+SUMSQ(Datasets!$U$2:$U$18)))*(SQRT(SUMSQ(Datasets!$B$2:$B$18)+SUMSQ(Datasets!$C$2:$C$18)))),0)</f>
        <v/>
      </c>
      <c r="C11" s="2">
        <f>IFERROR((SUMPRODUCT(Datasets!$T$2:$T$18,Datasets!$D$2:$D$18)+SUMPRODUCT(Datasets!$U$2:$U$18,Datasets!$E$2:$E$18))/((SQRT(SUMSQ(Datasets!$T$2:$T$18)+SUMSQ(Datasets!$U$2:$U$18)))*(SQRT(SUMSQ(Datasets!$D$2:$D$18)+SUMSQ(Datasets!$E$2:$E$18)))),0)</f>
        <v/>
      </c>
      <c r="D11" s="2">
        <f>IFERROR((SUMPRODUCT(Datasets!$T$2:$T$18,Datasets!$F$2:$F$18)+SUMPRODUCT(Datasets!$U$2:$U$18,Datasets!$G$2:$G$18))/((SQRT(SUMSQ(Datasets!$T$2:$T$18)+SUMSQ(Datasets!$U$2:$U$18)))*(SQRT(SUMSQ(Datasets!$F$2:$F$18)+SUMSQ(Datasets!$G$2:$G$18)))),0)</f>
        <v/>
      </c>
      <c r="E11" s="2">
        <f>IFERROR((SUMPRODUCT(Datasets!$T$2:$T$18,Datasets!$H$2:$H$18)+SUMPRODUCT(Datasets!$U$2:$U$18,Datasets!$I$2:$I$18))/((SQRT(SUMSQ(Datasets!$T$2:$T$18)+SUMSQ(Datasets!$U$2:$U$18)))*(SQRT(SUMSQ(Datasets!$H$2:$H$18)+SUMSQ(Datasets!$I$2:$I$18)))),0)</f>
        <v/>
      </c>
      <c r="F11" s="2">
        <f>IFERROR((SUMPRODUCT(Datasets!$T$2:$T$18,Datasets!$J$2:$J$18)+SUMPRODUCT(Datasets!$U$2:$U$18,Datasets!$K$2:$K$18))/((SQRT(SUMSQ(Datasets!$T$2:$T$18)+SUMSQ(Datasets!$U$2:$U$18)))*(SQRT(SUMSQ(Datasets!$J$2:$J$18)+SUMSQ(Datasets!$K$2:$K$18)))),0)</f>
        <v/>
      </c>
      <c r="G11" s="2">
        <f>IFERROR((SUMPRODUCT(Datasets!$T$2:$T$18,Datasets!$L$2:$L$18)+SUMPRODUCT(Datasets!$U$2:$U$18,Datasets!$M$2:$M$18))/((SQRT(SUMSQ(Datasets!$T$2:$T$18)+SUMSQ(Datasets!$U$2:$U$18)))*(SQRT(SUMSQ(Datasets!$L$2:$L$18)+SUMSQ(Datasets!$M$2:$M$18)))),0)</f>
        <v/>
      </c>
      <c r="H11" s="2">
        <f>IFERROR((SUMPRODUCT(Datasets!$T$2:$T$18,Datasets!$N$2:$N$18)+SUMPRODUCT(Datasets!$U$2:$U$18,Datasets!$O$2:$O$18))/((SQRT(SUMSQ(Datasets!$T$2:$T$18)+SUMSQ(Datasets!$U$2:$U$18)))*(SQRT(SUMSQ(Datasets!$N$2:$N$18)+SUMSQ(Datasets!$O$2:$O$18)))),0)</f>
        <v/>
      </c>
      <c r="I11" s="2">
        <f>IFERROR((SUMPRODUCT(Datasets!$T$2:$T$18,Datasets!$P$2:$P$18)+SUMPRODUCT(Datasets!$U$2:$U$18,Datasets!$Q$2:$Q$18))/((SQRT(SUMSQ(Datasets!$T$2:$T$18)+SUMSQ(Datasets!$U$2:$U$18)))*(SQRT(SUMSQ(Datasets!$P$2:$P$18)+SUMSQ(Datasets!$Q$2:$Q$18)))),0)</f>
        <v/>
      </c>
      <c r="J11" s="2">
        <f>IFERROR((SUMPRODUCT(Datasets!$T$2:$T$18,Datasets!$R$2:$R$18)+SUMPRODUCT(Datasets!$U$2:$U$18,Datasets!$S$2:$S$18))/((SQRT(SUMSQ(Datasets!$T$2:$T$18)+SUMSQ(Datasets!$U$2:$U$18)))*(SQRT(SUMSQ(Datasets!$R$2:$R$18)+SUMSQ(Datasets!$S$2:$S$18)))),0)</f>
        <v/>
      </c>
      <c r="K11" s="2">
        <f>IFERROR((SUMPRODUCT(Datasets!$T$2:$T$18,Datasets!$T$2:$T$18)+SUMPRODUCT(Datasets!$U$2:$U$18,Datasets!$U$2:$U$18))/((SQRT(SUMSQ(Datasets!$T$2:$T$18)+SUMSQ(Datasets!$U$2:$U$18)))*(SQRT(SUMSQ(Datasets!$T$2:$T$18)+SUMSQ(Datasets!$U$2:$U$18)))),0)</f>
        <v/>
      </c>
      <c r="L11" s="2">
        <f>IFERROR((SUMPRODUCT(Datasets!$T$2:$T$18,Datasets!$V$2:$V$18)+SUMPRODUCT(Datasets!$U$2:$U$18,Datasets!$W$2:$W$18))/((SQRT(SUMSQ(Datasets!$T$2:$T$18)+SUMSQ(Datasets!$U$2:$U$18)))*(SQRT(SUMSQ(Datasets!$V$2:$V$18)+SUMSQ(Datasets!$W$2:$W$18)))),0)</f>
        <v/>
      </c>
      <c r="M11" s="2">
        <f>IFERROR((SUMPRODUCT(Datasets!$T$2:$T$18,Datasets!$X$2:$X$18)+SUMPRODUCT(Datasets!$U$2:$U$18,Datasets!$Y$2:$Y$18))/((SQRT(SUMSQ(Datasets!$T$2:$T$18)+SUMSQ(Datasets!$U$2:$U$18)))*(SQRT(SUMSQ(Datasets!$X$2:$X$18)+SUMSQ(Datasets!$Y$2:$Y$18)))),0)</f>
        <v/>
      </c>
      <c r="N11" s="2">
        <f>IFERROR((SUMPRODUCT(Datasets!$T$2:$T$18,Datasets!$Z$2:$Z$18)+SUMPRODUCT(Datasets!$U$2:$U$18,Datasets!$AA$2:$AA$18))/((SQRT(SUMSQ(Datasets!$T$2:$T$18)+SUMSQ(Datasets!$U$2:$U$18)))*(SQRT(SUMSQ(Datasets!$Z$2:$Z$18)+SUMSQ(Datasets!$AA$2:$AA$18)))),0)</f>
        <v/>
      </c>
      <c r="O11" s="2">
        <f>IFERROR((SUMPRODUCT(Datasets!$T$2:$T$18,Datasets!$AB$2:$AB$18)+SUMPRODUCT(Datasets!$U$2:$U$18,Datasets!$AC$2:$AC$18))/((SQRT(SUMSQ(Datasets!$T$2:$T$18)+SUMSQ(Datasets!$U$2:$U$18)))*(SQRT(SUMSQ(Datasets!$AB$2:$AB$18)+SUMSQ(Datasets!$AC$2:$AC$18)))),0)</f>
        <v/>
      </c>
      <c r="P11" s="2">
        <f>IFERROR((SUMPRODUCT(Datasets!$T$2:$T$18,Datasets!$AD$2:$AD$18)+SUMPRODUCT(Datasets!$U$2:$U$18,Datasets!$AE$2:$AE$18))/((SQRT(SUMSQ(Datasets!$T$2:$T$18)+SUMSQ(Datasets!$U$2:$U$18)))*(SQRT(SUMSQ(Datasets!$AD$2:$AD$18)+SUMSQ(Datasets!$AE$2:$AE$18)))),0)</f>
        <v/>
      </c>
    </row>
    <row r="12">
      <c r="A12" s="3" t="inlineStr">
        <is>
          <t>SE_neo4j.postlinks</t>
        </is>
      </c>
      <c r="B12" s="2">
        <f>IFERROR((SUMPRODUCT(Datasets!$V$2:$V$18,Datasets!$B$2:$B$18)+SUMPRODUCT(Datasets!$W$2:$W$18,Datasets!$C$2:$C$18))/((SQRT(SUMSQ(Datasets!$V$2:$V$18)+SUMSQ(Datasets!$W$2:$W$18)))*(SQRT(SUMSQ(Datasets!$B$2:$B$18)+SUMSQ(Datasets!$C$2:$C$18)))),0)</f>
        <v/>
      </c>
      <c r="C12" s="2">
        <f>IFERROR((SUMPRODUCT(Datasets!$V$2:$V$18,Datasets!$D$2:$D$18)+SUMPRODUCT(Datasets!$W$2:$W$18,Datasets!$E$2:$E$18))/((SQRT(SUMSQ(Datasets!$V$2:$V$18)+SUMSQ(Datasets!$W$2:$W$18)))*(SQRT(SUMSQ(Datasets!$D$2:$D$18)+SUMSQ(Datasets!$E$2:$E$18)))),0)</f>
        <v/>
      </c>
      <c r="D12" s="2">
        <f>IFERROR((SUMPRODUCT(Datasets!$V$2:$V$18,Datasets!$F$2:$F$18)+SUMPRODUCT(Datasets!$W$2:$W$18,Datasets!$G$2:$G$18))/((SQRT(SUMSQ(Datasets!$V$2:$V$18)+SUMSQ(Datasets!$W$2:$W$18)))*(SQRT(SUMSQ(Datasets!$F$2:$F$18)+SUMSQ(Datasets!$G$2:$G$18)))),0)</f>
        <v/>
      </c>
      <c r="E12" s="2">
        <f>IFERROR((SUMPRODUCT(Datasets!$V$2:$V$18,Datasets!$H$2:$H$18)+SUMPRODUCT(Datasets!$W$2:$W$18,Datasets!$I$2:$I$18))/((SQRT(SUMSQ(Datasets!$V$2:$V$18)+SUMSQ(Datasets!$W$2:$W$18)))*(SQRT(SUMSQ(Datasets!$H$2:$H$18)+SUMSQ(Datasets!$I$2:$I$18)))),0)</f>
        <v/>
      </c>
      <c r="F12" s="2">
        <f>IFERROR((SUMPRODUCT(Datasets!$V$2:$V$18,Datasets!$J$2:$J$18)+SUMPRODUCT(Datasets!$W$2:$W$18,Datasets!$K$2:$K$18))/((SQRT(SUMSQ(Datasets!$V$2:$V$18)+SUMSQ(Datasets!$W$2:$W$18)))*(SQRT(SUMSQ(Datasets!$J$2:$J$18)+SUMSQ(Datasets!$K$2:$K$18)))),0)</f>
        <v/>
      </c>
      <c r="G12" s="2">
        <f>IFERROR((SUMPRODUCT(Datasets!$V$2:$V$18,Datasets!$L$2:$L$18)+SUMPRODUCT(Datasets!$W$2:$W$18,Datasets!$M$2:$M$18))/((SQRT(SUMSQ(Datasets!$V$2:$V$18)+SUMSQ(Datasets!$W$2:$W$18)))*(SQRT(SUMSQ(Datasets!$L$2:$L$18)+SUMSQ(Datasets!$M$2:$M$18)))),0)</f>
        <v/>
      </c>
      <c r="H12" s="2">
        <f>IFERROR((SUMPRODUCT(Datasets!$V$2:$V$18,Datasets!$N$2:$N$18)+SUMPRODUCT(Datasets!$W$2:$W$18,Datasets!$O$2:$O$18))/((SQRT(SUMSQ(Datasets!$V$2:$V$18)+SUMSQ(Datasets!$W$2:$W$18)))*(SQRT(SUMSQ(Datasets!$N$2:$N$18)+SUMSQ(Datasets!$O$2:$O$18)))),0)</f>
        <v/>
      </c>
      <c r="I12" s="2">
        <f>IFERROR((SUMPRODUCT(Datasets!$V$2:$V$18,Datasets!$P$2:$P$18)+SUMPRODUCT(Datasets!$W$2:$W$18,Datasets!$Q$2:$Q$18))/((SQRT(SUMSQ(Datasets!$V$2:$V$18)+SUMSQ(Datasets!$W$2:$W$18)))*(SQRT(SUMSQ(Datasets!$P$2:$P$18)+SUMSQ(Datasets!$Q$2:$Q$18)))),0)</f>
        <v/>
      </c>
      <c r="J12" s="2">
        <f>IFERROR((SUMPRODUCT(Datasets!$V$2:$V$18,Datasets!$R$2:$R$18)+SUMPRODUCT(Datasets!$W$2:$W$18,Datasets!$S$2:$S$18))/((SQRT(SUMSQ(Datasets!$V$2:$V$18)+SUMSQ(Datasets!$W$2:$W$18)))*(SQRT(SUMSQ(Datasets!$R$2:$R$18)+SUMSQ(Datasets!$S$2:$S$18)))),0)</f>
        <v/>
      </c>
      <c r="K12" s="2">
        <f>IFERROR((SUMPRODUCT(Datasets!$V$2:$V$18,Datasets!$T$2:$T$18)+SUMPRODUCT(Datasets!$W$2:$W$18,Datasets!$U$2:$U$18))/((SQRT(SUMSQ(Datasets!$V$2:$V$18)+SUMSQ(Datasets!$W$2:$W$18)))*(SQRT(SUMSQ(Datasets!$T$2:$T$18)+SUMSQ(Datasets!$U$2:$U$18)))),0)</f>
        <v/>
      </c>
      <c r="L12" s="2">
        <f>IFERROR((SUMPRODUCT(Datasets!$V$2:$V$18,Datasets!$V$2:$V$18)+SUMPRODUCT(Datasets!$W$2:$W$18,Datasets!$W$2:$W$18))/((SQRT(SUMSQ(Datasets!$V$2:$V$18)+SUMSQ(Datasets!$W$2:$W$18)))*(SQRT(SUMSQ(Datasets!$V$2:$V$18)+SUMSQ(Datasets!$W$2:$W$18)))),0)</f>
        <v/>
      </c>
      <c r="M12" s="2">
        <f>IFERROR((SUMPRODUCT(Datasets!$V$2:$V$18,Datasets!$X$2:$X$18)+SUMPRODUCT(Datasets!$W$2:$W$18,Datasets!$Y$2:$Y$18))/((SQRT(SUMSQ(Datasets!$V$2:$V$18)+SUMSQ(Datasets!$W$2:$W$18)))*(SQRT(SUMSQ(Datasets!$X$2:$X$18)+SUMSQ(Datasets!$Y$2:$Y$18)))),0)</f>
        <v/>
      </c>
      <c r="N12" s="2">
        <f>IFERROR((SUMPRODUCT(Datasets!$V$2:$V$18,Datasets!$Z$2:$Z$18)+SUMPRODUCT(Datasets!$W$2:$W$18,Datasets!$AA$2:$AA$18))/((SQRT(SUMSQ(Datasets!$V$2:$V$18)+SUMSQ(Datasets!$W$2:$W$18)))*(SQRT(SUMSQ(Datasets!$Z$2:$Z$18)+SUMSQ(Datasets!$AA$2:$AA$18)))),0)</f>
        <v/>
      </c>
      <c r="O12" s="2">
        <f>IFERROR((SUMPRODUCT(Datasets!$V$2:$V$18,Datasets!$AB$2:$AB$18)+SUMPRODUCT(Datasets!$W$2:$W$18,Datasets!$AC$2:$AC$18))/((SQRT(SUMSQ(Datasets!$V$2:$V$18)+SUMSQ(Datasets!$W$2:$W$18)))*(SQRT(SUMSQ(Datasets!$AB$2:$AB$18)+SUMSQ(Datasets!$AC$2:$AC$18)))),0)</f>
        <v/>
      </c>
      <c r="P12" s="2">
        <f>IFERROR((SUMPRODUCT(Datasets!$V$2:$V$18,Datasets!$AD$2:$AD$18)+SUMPRODUCT(Datasets!$W$2:$W$18,Datasets!$AE$2:$AE$18))/((SQRT(SUMSQ(Datasets!$V$2:$V$18)+SUMSQ(Datasets!$W$2:$W$18)))*(SQRT(SUMSQ(Datasets!$AD$2:$AD$18)+SUMSQ(Datasets!$AE$2:$AE$18)))),0)</f>
        <v/>
      </c>
    </row>
    <row r="13">
      <c r="A13" s="3" t="inlineStr">
        <is>
          <t>SE_neo4j.Posts</t>
        </is>
      </c>
      <c r="B13" s="2">
        <f>IFERROR((SUMPRODUCT(Datasets!$X$2:$X$18,Datasets!$B$2:$B$18)+SUMPRODUCT(Datasets!$Y$2:$Y$18,Datasets!$C$2:$C$18))/((SQRT(SUMSQ(Datasets!$X$2:$X$18)+SUMSQ(Datasets!$Y$2:$Y$18)))*(SQRT(SUMSQ(Datasets!$B$2:$B$18)+SUMSQ(Datasets!$C$2:$C$18)))),0)</f>
        <v/>
      </c>
      <c r="C13" s="2">
        <f>IFERROR((SUMPRODUCT(Datasets!$X$2:$X$18,Datasets!$D$2:$D$18)+SUMPRODUCT(Datasets!$Y$2:$Y$18,Datasets!$E$2:$E$18))/((SQRT(SUMSQ(Datasets!$X$2:$X$18)+SUMSQ(Datasets!$Y$2:$Y$18)))*(SQRT(SUMSQ(Datasets!$D$2:$D$18)+SUMSQ(Datasets!$E$2:$E$18)))),0)</f>
        <v/>
      </c>
      <c r="D13" s="2">
        <f>IFERROR((SUMPRODUCT(Datasets!$X$2:$X$18,Datasets!$F$2:$F$18)+SUMPRODUCT(Datasets!$Y$2:$Y$18,Datasets!$G$2:$G$18))/((SQRT(SUMSQ(Datasets!$X$2:$X$18)+SUMSQ(Datasets!$Y$2:$Y$18)))*(SQRT(SUMSQ(Datasets!$F$2:$F$18)+SUMSQ(Datasets!$G$2:$G$18)))),0)</f>
        <v/>
      </c>
      <c r="E13" s="2">
        <f>IFERROR((SUMPRODUCT(Datasets!$X$2:$X$18,Datasets!$H$2:$H$18)+SUMPRODUCT(Datasets!$Y$2:$Y$18,Datasets!$I$2:$I$18))/((SQRT(SUMSQ(Datasets!$X$2:$X$18)+SUMSQ(Datasets!$Y$2:$Y$18)))*(SQRT(SUMSQ(Datasets!$H$2:$H$18)+SUMSQ(Datasets!$I$2:$I$18)))),0)</f>
        <v/>
      </c>
      <c r="F13" s="2">
        <f>IFERROR((SUMPRODUCT(Datasets!$X$2:$X$18,Datasets!$J$2:$J$18)+SUMPRODUCT(Datasets!$Y$2:$Y$18,Datasets!$K$2:$K$18))/((SQRT(SUMSQ(Datasets!$X$2:$X$18)+SUMSQ(Datasets!$Y$2:$Y$18)))*(SQRT(SUMSQ(Datasets!$J$2:$J$18)+SUMSQ(Datasets!$K$2:$K$18)))),0)</f>
        <v/>
      </c>
      <c r="G13" s="2">
        <f>IFERROR((SUMPRODUCT(Datasets!$X$2:$X$18,Datasets!$L$2:$L$18)+SUMPRODUCT(Datasets!$Y$2:$Y$18,Datasets!$M$2:$M$18))/((SQRT(SUMSQ(Datasets!$X$2:$X$18)+SUMSQ(Datasets!$Y$2:$Y$18)))*(SQRT(SUMSQ(Datasets!$L$2:$L$18)+SUMSQ(Datasets!$M$2:$M$18)))),0)</f>
        <v/>
      </c>
      <c r="H13" s="2">
        <f>IFERROR((SUMPRODUCT(Datasets!$X$2:$X$18,Datasets!$N$2:$N$18)+SUMPRODUCT(Datasets!$Y$2:$Y$18,Datasets!$O$2:$O$18))/((SQRT(SUMSQ(Datasets!$X$2:$X$18)+SUMSQ(Datasets!$Y$2:$Y$18)))*(SQRT(SUMSQ(Datasets!$N$2:$N$18)+SUMSQ(Datasets!$O$2:$O$18)))),0)</f>
        <v/>
      </c>
      <c r="I13" s="2">
        <f>IFERROR((SUMPRODUCT(Datasets!$X$2:$X$18,Datasets!$P$2:$P$18)+SUMPRODUCT(Datasets!$Y$2:$Y$18,Datasets!$Q$2:$Q$18))/((SQRT(SUMSQ(Datasets!$X$2:$X$18)+SUMSQ(Datasets!$Y$2:$Y$18)))*(SQRT(SUMSQ(Datasets!$P$2:$P$18)+SUMSQ(Datasets!$Q$2:$Q$18)))),0)</f>
        <v/>
      </c>
      <c r="J13" s="2">
        <f>IFERROR((SUMPRODUCT(Datasets!$X$2:$X$18,Datasets!$R$2:$R$18)+SUMPRODUCT(Datasets!$Y$2:$Y$18,Datasets!$S$2:$S$18))/((SQRT(SUMSQ(Datasets!$X$2:$X$18)+SUMSQ(Datasets!$Y$2:$Y$18)))*(SQRT(SUMSQ(Datasets!$R$2:$R$18)+SUMSQ(Datasets!$S$2:$S$18)))),0)</f>
        <v/>
      </c>
      <c r="K13" s="2">
        <f>IFERROR((SUMPRODUCT(Datasets!$X$2:$X$18,Datasets!$T$2:$T$18)+SUMPRODUCT(Datasets!$Y$2:$Y$18,Datasets!$U$2:$U$18))/((SQRT(SUMSQ(Datasets!$X$2:$X$18)+SUMSQ(Datasets!$Y$2:$Y$18)))*(SQRT(SUMSQ(Datasets!$T$2:$T$18)+SUMSQ(Datasets!$U$2:$U$18)))),0)</f>
        <v/>
      </c>
      <c r="L13" s="2">
        <f>IFERROR((SUMPRODUCT(Datasets!$X$2:$X$18,Datasets!$V$2:$V$18)+SUMPRODUCT(Datasets!$Y$2:$Y$18,Datasets!$W$2:$W$18))/((SQRT(SUMSQ(Datasets!$X$2:$X$18)+SUMSQ(Datasets!$Y$2:$Y$18)))*(SQRT(SUMSQ(Datasets!$V$2:$V$18)+SUMSQ(Datasets!$W$2:$W$18)))),0)</f>
        <v/>
      </c>
      <c r="M13" s="2">
        <f>IFERROR((SUMPRODUCT(Datasets!$X$2:$X$18,Datasets!$X$2:$X$18)+SUMPRODUCT(Datasets!$Y$2:$Y$18,Datasets!$Y$2:$Y$18))/((SQRT(SUMSQ(Datasets!$X$2:$X$18)+SUMSQ(Datasets!$Y$2:$Y$18)))*(SQRT(SUMSQ(Datasets!$X$2:$X$18)+SUMSQ(Datasets!$Y$2:$Y$18)))),0)</f>
        <v/>
      </c>
      <c r="N13" s="2">
        <f>IFERROR((SUMPRODUCT(Datasets!$X$2:$X$18,Datasets!$Z$2:$Z$18)+SUMPRODUCT(Datasets!$Y$2:$Y$18,Datasets!$AA$2:$AA$18))/((SQRT(SUMSQ(Datasets!$X$2:$X$18)+SUMSQ(Datasets!$Y$2:$Y$18)))*(SQRT(SUMSQ(Datasets!$Z$2:$Z$18)+SUMSQ(Datasets!$AA$2:$AA$18)))),0)</f>
        <v/>
      </c>
      <c r="O13" s="2">
        <f>IFERROR((SUMPRODUCT(Datasets!$X$2:$X$18,Datasets!$AB$2:$AB$18)+SUMPRODUCT(Datasets!$Y$2:$Y$18,Datasets!$AC$2:$AC$18))/((SQRT(SUMSQ(Datasets!$X$2:$X$18)+SUMSQ(Datasets!$Y$2:$Y$18)))*(SQRT(SUMSQ(Datasets!$AB$2:$AB$18)+SUMSQ(Datasets!$AC$2:$AC$18)))),0)</f>
        <v/>
      </c>
      <c r="P13" s="2">
        <f>IFERROR((SUMPRODUCT(Datasets!$X$2:$X$18,Datasets!$AD$2:$AD$18)+SUMPRODUCT(Datasets!$Y$2:$Y$18,Datasets!$AE$2:$AE$18))/((SQRT(SUMSQ(Datasets!$X$2:$X$18)+SUMSQ(Datasets!$Y$2:$Y$18)))*(SQRT(SUMSQ(Datasets!$AD$2:$AD$18)+SUMSQ(Datasets!$AE$2:$AE$18)))),0)</f>
        <v/>
      </c>
    </row>
    <row r="14">
      <c r="A14" s="3" t="inlineStr">
        <is>
          <t>SE_neo4j.Comments</t>
        </is>
      </c>
      <c r="B14" s="2">
        <f>IFERROR((SUMPRODUCT(Datasets!$Z$2:$Z$18,Datasets!$B$2:$B$18)+SUMPRODUCT(Datasets!$AA$2:$AA$18,Datasets!$C$2:$C$18))/((SQRT(SUMSQ(Datasets!$Z$2:$Z$18)+SUMSQ(Datasets!$AA$2:$AA$18)))*(SQRT(SUMSQ(Datasets!$B$2:$B$18)+SUMSQ(Datasets!$C$2:$C$18)))),0)</f>
        <v/>
      </c>
      <c r="C14" s="2">
        <f>IFERROR((SUMPRODUCT(Datasets!$Z$2:$Z$18,Datasets!$D$2:$D$18)+SUMPRODUCT(Datasets!$AA$2:$AA$18,Datasets!$E$2:$E$18))/((SQRT(SUMSQ(Datasets!$Z$2:$Z$18)+SUMSQ(Datasets!$AA$2:$AA$18)))*(SQRT(SUMSQ(Datasets!$D$2:$D$18)+SUMSQ(Datasets!$E$2:$E$18)))),0)</f>
        <v/>
      </c>
      <c r="D14" s="2">
        <f>IFERROR((SUMPRODUCT(Datasets!$Z$2:$Z$18,Datasets!$F$2:$F$18)+SUMPRODUCT(Datasets!$AA$2:$AA$18,Datasets!$G$2:$G$18))/((SQRT(SUMSQ(Datasets!$Z$2:$Z$18)+SUMSQ(Datasets!$AA$2:$AA$18)))*(SQRT(SUMSQ(Datasets!$F$2:$F$18)+SUMSQ(Datasets!$G$2:$G$18)))),0)</f>
        <v/>
      </c>
      <c r="E14" s="2">
        <f>IFERROR((SUMPRODUCT(Datasets!$Z$2:$Z$18,Datasets!$H$2:$H$18)+SUMPRODUCT(Datasets!$AA$2:$AA$18,Datasets!$I$2:$I$18))/((SQRT(SUMSQ(Datasets!$Z$2:$Z$18)+SUMSQ(Datasets!$AA$2:$AA$18)))*(SQRT(SUMSQ(Datasets!$H$2:$H$18)+SUMSQ(Datasets!$I$2:$I$18)))),0)</f>
        <v/>
      </c>
      <c r="F14" s="2">
        <f>IFERROR((SUMPRODUCT(Datasets!$Z$2:$Z$18,Datasets!$J$2:$J$18)+SUMPRODUCT(Datasets!$AA$2:$AA$18,Datasets!$K$2:$K$18))/((SQRT(SUMSQ(Datasets!$Z$2:$Z$18)+SUMSQ(Datasets!$AA$2:$AA$18)))*(SQRT(SUMSQ(Datasets!$J$2:$J$18)+SUMSQ(Datasets!$K$2:$K$18)))),0)</f>
        <v/>
      </c>
      <c r="G14" s="2">
        <f>IFERROR((SUMPRODUCT(Datasets!$Z$2:$Z$18,Datasets!$L$2:$L$18)+SUMPRODUCT(Datasets!$AA$2:$AA$18,Datasets!$M$2:$M$18))/((SQRT(SUMSQ(Datasets!$Z$2:$Z$18)+SUMSQ(Datasets!$AA$2:$AA$18)))*(SQRT(SUMSQ(Datasets!$L$2:$L$18)+SUMSQ(Datasets!$M$2:$M$18)))),0)</f>
        <v/>
      </c>
      <c r="H14" s="2">
        <f>IFERROR((SUMPRODUCT(Datasets!$Z$2:$Z$18,Datasets!$N$2:$N$18)+SUMPRODUCT(Datasets!$AA$2:$AA$18,Datasets!$O$2:$O$18))/((SQRT(SUMSQ(Datasets!$Z$2:$Z$18)+SUMSQ(Datasets!$AA$2:$AA$18)))*(SQRT(SUMSQ(Datasets!$N$2:$N$18)+SUMSQ(Datasets!$O$2:$O$18)))),0)</f>
        <v/>
      </c>
      <c r="I14" s="2">
        <f>IFERROR((SUMPRODUCT(Datasets!$Z$2:$Z$18,Datasets!$P$2:$P$18)+SUMPRODUCT(Datasets!$AA$2:$AA$18,Datasets!$Q$2:$Q$18))/((SQRT(SUMSQ(Datasets!$Z$2:$Z$18)+SUMSQ(Datasets!$AA$2:$AA$18)))*(SQRT(SUMSQ(Datasets!$P$2:$P$18)+SUMSQ(Datasets!$Q$2:$Q$18)))),0)</f>
        <v/>
      </c>
      <c r="J14" s="2">
        <f>IFERROR((SUMPRODUCT(Datasets!$Z$2:$Z$18,Datasets!$R$2:$R$18)+SUMPRODUCT(Datasets!$AA$2:$AA$18,Datasets!$S$2:$S$18))/((SQRT(SUMSQ(Datasets!$Z$2:$Z$18)+SUMSQ(Datasets!$AA$2:$AA$18)))*(SQRT(SUMSQ(Datasets!$R$2:$R$18)+SUMSQ(Datasets!$S$2:$S$18)))),0)</f>
        <v/>
      </c>
      <c r="K14" s="2">
        <f>IFERROR((SUMPRODUCT(Datasets!$Z$2:$Z$18,Datasets!$T$2:$T$18)+SUMPRODUCT(Datasets!$AA$2:$AA$18,Datasets!$U$2:$U$18))/((SQRT(SUMSQ(Datasets!$Z$2:$Z$18)+SUMSQ(Datasets!$AA$2:$AA$18)))*(SQRT(SUMSQ(Datasets!$T$2:$T$18)+SUMSQ(Datasets!$U$2:$U$18)))),0)</f>
        <v/>
      </c>
      <c r="L14" s="2">
        <f>IFERROR((SUMPRODUCT(Datasets!$Z$2:$Z$18,Datasets!$V$2:$V$18)+SUMPRODUCT(Datasets!$AA$2:$AA$18,Datasets!$W$2:$W$18))/((SQRT(SUMSQ(Datasets!$Z$2:$Z$18)+SUMSQ(Datasets!$AA$2:$AA$18)))*(SQRT(SUMSQ(Datasets!$V$2:$V$18)+SUMSQ(Datasets!$W$2:$W$18)))),0)</f>
        <v/>
      </c>
      <c r="M14" s="2">
        <f>IFERROR((SUMPRODUCT(Datasets!$Z$2:$Z$18,Datasets!$X$2:$X$18)+SUMPRODUCT(Datasets!$AA$2:$AA$18,Datasets!$Y$2:$Y$18))/((SQRT(SUMSQ(Datasets!$Z$2:$Z$18)+SUMSQ(Datasets!$AA$2:$AA$18)))*(SQRT(SUMSQ(Datasets!$X$2:$X$18)+SUMSQ(Datasets!$Y$2:$Y$18)))),0)</f>
        <v/>
      </c>
      <c r="N14" s="2">
        <f>IFERROR((SUMPRODUCT(Datasets!$Z$2:$Z$18,Datasets!$Z$2:$Z$18)+SUMPRODUCT(Datasets!$AA$2:$AA$18,Datasets!$AA$2:$AA$18))/((SQRT(SUMSQ(Datasets!$Z$2:$Z$18)+SUMSQ(Datasets!$AA$2:$AA$18)))*(SQRT(SUMSQ(Datasets!$Z$2:$Z$18)+SUMSQ(Datasets!$AA$2:$AA$18)))),0)</f>
        <v/>
      </c>
      <c r="O14" s="2">
        <f>IFERROR((SUMPRODUCT(Datasets!$Z$2:$Z$18,Datasets!$AB$2:$AB$18)+SUMPRODUCT(Datasets!$AA$2:$AA$18,Datasets!$AC$2:$AC$18))/((SQRT(SUMSQ(Datasets!$Z$2:$Z$18)+SUMSQ(Datasets!$AA$2:$AA$18)))*(SQRT(SUMSQ(Datasets!$AB$2:$AB$18)+SUMSQ(Datasets!$AC$2:$AC$18)))),0)</f>
        <v/>
      </c>
      <c r="P14" s="2">
        <f>IFERROR((SUMPRODUCT(Datasets!$Z$2:$Z$18,Datasets!$AD$2:$AD$18)+SUMPRODUCT(Datasets!$AA$2:$AA$18,Datasets!$AE$2:$AE$18))/((SQRT(SUMSQ(Datasets!$Z$2:$Z$18)+SUMSQ(Datasets!$AA$2:$AA$18)))*(SQRT(SUMSQ(Datasets!$AD$2:$AD$18)+SUMSQ(Datasets!$AE$2:$AE$18)))),0)</f>
        <v/>
      </c>
    </row>
    <row r="15">
      <c r="A15" s="3" t="inlineStr">
        <is>
          <t>SE_neo4j.Users</t>
        </is>
      </c>
      <c r="B15" s="2">
        <f>IFERROR((SUMPRODUCT(Datasets!$AB$2:$AB$18,Datasets!$B$2:$B$18)+SUMPRODUCT(Datasets!$AC$2:$AC$18,Datasets!$C$2:$C$18))/((SQRT(SUMSQ(Datasets!$AB$2:$AB$18)+SUMSQ(Datasets!$AC$2:$AC$18)))*(SQRT(SUMSQ(Datasets!$B$2:$B$18)+SUMSQ(Datasets!$C$2:$C$18)))),0)</f>
        <v/>
      </c>
      <c r="C15" s="2">
        <f>IFERROR((SUMPRODUCT(Datasets!$AB$2:$AB$18,Datasets!$D$2:$D$18)+SUMPRODUCT(Datasets!$AC$2:$AC$18,Datasets!$E$2:$E$18))/((SQRT(SUMSQ(Datasets!$AB$2:$AB$18)+SUMSQ(Datasets!$AC$2:$AC$18)))*(SQRT(SUMSQ(Datasets!$D$2:$D$18)+SUMSQ(Datasets!$E$2:$E$18)))),0)</f>
        <v/>
      </c>
      <c r="D15" s="2">
        <f>IFERROR((SUMPRODUCT(Datasets!$AB$2:$AB$18,Datasets!$F$2:$F$18)+SUMPRODUCT(Datasets!$AC$2:$AC$18,Datasets!$G$2:$G$18))/((SQRT(SUMSQ(Datasets!$AB$2:$AB$18)+SUMSQ(Datasets!$AC$2:$AC$18)))*(SQRT(SUMSQ(Datasets!$F$2:$F$18)+SUMSQ(Datasets!$G$2:$G$18)))),0)</f>
        <v/>
      </c>
      <c r="E15" s="2">
        <f>IFERROR((SUMPRODUCT(Datasets!$AB$2:$AB$18,Datasets!$H$2:$H$18)+SUMPRODUCT(Datasets!$AC$2:$AC$18,Datasets!$I$2:$I$18))/((SQRT(SUMSQ(Datasets!$AB$2:$AB$18)+SUMSQ(Datasets!$AC$2:$AC$18)))*(SQRT(SUMSQ(Datasets!$H$2:$H$18)+SUMSQ(Datasets!$I$2:$I$18)))),0)</f>
        <v/>
      </c>
      <c r="F15" s="2">
        <f>IFERROR((SUMPRODUCT(Datasets!$AB$2:$AB$18,Datasets!$J$2:$J$18)+SUMPRODUCT(Datasets!$AC$2:$AC$18,Datasets!$K$2:$K$18))/((SQRT(SUMSQ(Datasets!$AB$2:$AB$18)+SUMSQ(Datasets!$AC$2:$AC$18)))*(SQRT(SUMSQ(Datasets!$J$2:$J$18)+SUMSQ(Datasets!$K$2:$K$18)))),0)</f>
        <v/>
      </c>
      <c r="G15" s="2">
        <f>IFERROR((SUMPRODUCT(Datasets!$AB$2:$AB$18,Datasets!$L$2:$L$18)+SUMPRODUCT(Datasets!$AC$2:$AC$18,Datasets!$M$2:$M$18))/((SQRT(SUMSQ(Datasets!$AB$2:$AB$18)+SUMSQ(Datasets!$AC$2:$AC$18)))*(SQRT(SUMSQ(Datasets!$L$2:$L$18)+SUMSQ(Datasets!$M$2:$M$18)))),0)</f>
        <v/>
      </c>
      <c r="H15" s="2">
        <f>IFERROR((SUMPRODUCT(Datasets!$AB$2:$AB$18,Datasets!$N$2:$N$18)+SUMPRODUCT(Datasets!$AC$2:$AC$18,Datasets!$O$2:$O$18))/((SQRT(SUMSQ(Datasets!$AB$2:$AB$18)+SUMSQ(Datasets!$AC$2:$AC$18)))*(SQRT(SUMSQ(Datasets!$N$2:$N$18)+SUMSQ(Datasets!$O$2:$O$18)))),0)</f>
        <v/>
      </c>
      <c r="I15" s="2">
        <f>IFERROR((SUMPRODUCT(Datasets!$AB$2:$AB$18,Datasets!$P$2:$P$18)+SUMPRODUCT(Datasets!$AC$2:$AC$18,Datasets!$Q$2:$Q$18))/((SQRT(SUMSQ(Datasets!$AB$2:$AB$18)+SUMSQ(Datasets!$AC$2:$AC$18)))*(SQRT(SUMSQ(Datasets!$P$2:$P$18)+SUMSQ(Datasets!$Q$2:$Q$18)))),0)</f>
        <v/>
      </c>
      <c r="J15" s="2">
        <f>IFERROR((SUMPRODUCT(Datasets!$AB$2:$AB$18,Datasets!$R$2:$R$18)+SUMPRODUCT(Datasets!$AC$2:$AC$18,Datasets!$S$2:$S$18))/((SQRT(SUMSQ(Datasets!$AB$2:$AB$18)+SUMSQ(Datasets!$AC$2:$AC$18)))*(SQRT(SUMSQ(Datasets!$R$2:$R$18)+SUMSQ(Datasets!$S$2:$S$18)))),0)</f>
        <v/>
      </c>
      <c r="K15" s="2">
        <f>IFERROR((SUMPRODUCT(Datasets!$AB$2:$AB$18,Datasets!$T$2:$T$18)+SUMPRODUCT(Datasets!$AC$2:$AC$18,Datasets!$U$2:$U$18))/((SQRT(SUMSQ(Datasets!$AB$2:$AB$18)+SUMSQ(Datasets!$AC$2:$AC$18)))*(SQRT(SUMSQ(Datasets!$T$2:$T$18)+SUMSQ(Datasets!$U$2:$U$18)))),0)</f>
        <v/>
      </c>
      <c r="L15" s="2">
        <f>IFERROR((SUMPRODUCT(Datasets!$AB$2:$AB$18,Datasets!$V$2:$V$18)+SUMPRODUCT(Datasets!$AC$2:$AC$18,Datasets!$W$2:$W$18))/((SQRT(SUMSQ(Datasets!$AB$2:$AB$18)+SUMSQ(Datasets!$AC$2:$AC$18)))*(SQRT(SUMSQ(Datasets!$V$2:$V$18)+SUMSQ(Datasets!$W$2:$W$18)))),0)</f>
        <v/>
      </c>
      <c r="M15" s="2">
        <f>IFERROR((SUMPRODUCT(Datasets!$AB$2:$AB$18,Datasets!$X$2:$X$18)+SUMPRODUCT(Datasets!$AC$2:$AC$18,Datasets!$Y$2:$Y$18))/((SQRT(SUMSQ(Datasets!$AB$2:$AB$18)+SUMSQ(Datasets!$AC$2:$AC$18)))*(SQRT(SUMSQ(Datasets!$X$2:$X$18)+SUMSQ(Datasets!$Y$2:$Y$18)))),0)</f>
        <v/>
      </c>
      <c r="N15" s="2">
        <f>IFERROR((SUMPRODUCT(Datasets!$AB$2:$AB$18,Datasets!$Z$2:$Z$18)+SUMPRODUCT(Datasets!$AC$2:$AC$18,Datasets!$AA$2:$AA$18))/((SQRT(SUMSQ(Datasets!$AB$2:$AB$18)+SUMSQ(Datasets!$AC$2:$AC$18)))*(SQRT(SUMSQ(Datasets!$Z$2:$Z$18)+SUMSQ(Datasets!$AA$2:$AA$18)))),0)</f>
        <v/>
      </c>
      <c r="O15" s="2">
        <f>IFERROR((SUMPRODUCT(Datasets!$AB$2:$AB$18,Datasets!$AB$2:$AB$18)+SUMPRODUCT(Datasets!$AC$2:$AC$18,Datasets!$AC$2:$AC$18))/((SQRT(SUMSQ(Datasets!$AB$2:$AB$18)+SUMSQ(Datasets!$AC$2:$AC$18)))*(SQRT(SUMSQ(Datasets!$AB$2:$AB$18)+SUMSQ(Datasets!$AC$2:$AC$18)))),0)</f>
        <v/>
      </c>
      <c r="P15" s="2">
        <f>IFERROR((SUMPRODUCT(Datasets!$AB$2:$AB$18,Datasets!$AD$2:$AD$18)+SUMPRODUCT(Datasets!$AC$2:$AC$18,Datasets!$AE$2:$AE$18))/((SQRT(SUMSQ(Datasets!$AB$2:$AB$18)+SUMSQ(Datasets!$AC$2:$AC$18)))*(SQRT(SUMSQ(Datasets!$AD$2:$AD$18)+SUMSQ(Datasets!$AE$2:$AE$18)))),0)</f>
        <v/>
      </c>
    </row>
    <row r="16">
      <c r="A16" s="3" t="inlineStr">
        <is>
          <t>SE_neo4j.Tags</t>
        </is>
      </c>
      <c r="B16" s="2">
        <f>IFERROR((SUMPRODUCT(Datasets!$AD$2:$AD$18,Datasets!$B$2:$B$18)+SUMPRODUCT(Datasets!$AE$2:$AE$18,Datasets!$C$2:$C$18))/((SQRT(SUMSQ(Datasets!$AD$2:$AD$18)+SUMSQ(Datasets!$AE$2:$AE$18)))*(SQRT(SUMSQ(Datasets!$B$2:$B$18)+SUMSQ(Datasets!$C$2:$C$18)))),0)</f>
        <v/>
      </c>
      <c r="C16" s="2">
        <f>IFERROR((SUMPRODUCT(Datasets!$AD$2:$AD$18,Datasets!$D$2:$D$18)+SUMPRODUCT(Datasets!$AE$2:$AE$18,Datasets!$E$2:$E$18))/((SQRT(SUMSQ(Datasets!$AD$2:$AD$18)+SUMSQ(Datasets!$AE$2:$AE$18)))*(SQRT(SUMSQ(Datasets!$D$2:$D$18)+SUMSQ(Datasets!$E$2:$E$18)))),0)</f>
        <v/>
      </c>
      <c r="D16" s="2">
        <f>IFERROR((SUMPRODUCT(Datasets!$AD$2:$AD$18,Datasets!$F$2:$F$18)+SUMPRODUCT(Datasets!$AE$2:$AE$18,Datasets!$G$2:$G$18))/((SQRT(SUMSQ(Datasets!$AD$2:$AD$18)+SUMSQ(Datasets!$AE$2:$AE$18)))*(SQRT(SUMSQ(Datasets!$F$2:$F$18)+SUMSQ(Datasets!$G$2:$G$18)))),0)</f>
        <v/>
      </c>
      <c r="E16" s="2">
        <f>IFERROR((SUMPRODUCT(Datasets!$AD$2:$AD$18,Datasets!$H$2:$H$18)+SUMPRODUCT(Datasets!$AE$2:$AE$18,Datasets!$I$2:$I$18))/((SQRT(SUMSQ(Datasets!$AD$2:$AD$18)+SUMSQ(Datasets!$AE$2:$AE$18)))*(SQRT(SUMSQ(Datasets!$H$2:$H$18)+SUMSQ(Datasets!$I$2:$I$18)))),0)</f>
        <v/>
      </c>
      <c r="F16" s="2">
        <f>IFERROR((SUMPRODUCT(Datasets!$AD$2:$AD$18,Datasets!$J$2:$J$18)+SUMPRODUCT(Datasets!$AE$2:$AE$18,Datasets!$K$2:$K$18))/((SQRT(SUMSQ(Datasets!$AD$2:$AD$18)+SUMSQ(Datasets!$AE$2:$AE$18)))*(SQRT(SUMSQ(Datasets!$J$2:$J$18)+SUMSQ(Datasets!$K$2:$K$18)))),0)</f>
        <v/>
      </c>
      <c r="G16" s="2">
        <f>IFERROR((SUMPRODUCT(Datasets!$AD$2:$AD$18,Datasets!$L$2:$L$18)+SUMPRODUCT(Datasets!$AE$2:$AE$18,Datasets!$M$2:$M$18))/((SQRT(SUMSQ(Datasets!$AD$2:$AD$18)+SUMSQ(Datasets!$AE$2:$AE$18)))*(SQRT(SUMSQ(Datasets!$L$2:$L$18)+SUMSQ(Datasets!$M$2:$M$18)))),0)</f>
        <v/>
      </c>
      <c r="H16" s="2">
        <f>IFERROR((SUMPRODUCT(Datasets!$AD$2:$AD$18,Datasets!$N$2:$N$18)+SUMPRODUCT(Datasets!$AE$2:$AE$18,Datasets!$O$2:$O$18))/((SQRT(SUMSQ(Datasets!$AD$2:$AD$18)+SUMSQ(Datasets!$AE$2:$AE$18)))*(SQRT(SUMSQ(Datasets!$N$2:$N$18)+SUMSQ(Datasets!$O$2:$O$18)))),0)</f>
        <v/>
      </c>
      <c r="I16" s="2">
        <f>IFERROR((SUMPRODUCT(Datasets!$AD$2:$AD$18,Datasets!$P$2:$P$18)+SUMPRODUCT(Datasets!$AE$2:$AE$18,Datasets!$Q$2:$Q$18))/((SQRT(SUMSQ(Datasets!$AD$2:$AD$18)+SUMSQ(Datasets!$AE$2:$AE$18)))*(SQRT(SUMSQ(Datasets!$P$2:$P$18)+SUMSQ(Datasets!$Q$2:$Q$18)))),0)</f>
        <v/>
      </c>
      <c r="J16" s="2">
        <f>IFERROR((SUMPRODUCT(Datasets!$AD$2:$AD$18,Datasets!$R$2:$R$18)+SUMPRODUCT(Datasets!$AE$2:$AE$18,Datasets!$S$2:$S$18))/((SQRT(SUMSQ(Datasets!$AD$2:$AD$18)+SUMSQ(Datasets!$AE$2:$AE$18)))*(SQRT(SUMSQ(Datasets!$R$2:$R$18)+SUMSQ(Datasets!$S$2:$S$18)))),0)</f>
        <v/>
      </c>
      <c r="K16" s="2">
        <f>IFERROR((SUMPRODUCT(Datasets!$AD$2:$AD$18,Datasets!$T$2:$T$18)+SUMPRODUCT(Datasets!$AE$2:$AE$18,Datasets!$U$2:$U$18))/((SQRT(SUMSQ(Datasets!$AD$2:$AD$18)+SUMSQ(Datasets!$AE$2:$AE$18)))*(SQRT(SUMSQ(Datasets!$T$2:$T$18)+SUMSQ(Datasets!$U$2:$U$18)))),0)</f>
        <v/>
      </c>
      <c r="L16" s="2">
        <f>IFERROR((SUMPRODUCT(Datasets!$AD$2:$AD$18,Datasets!$V$2:$V$18)+SUMPRODUCT(Datasets!$AE$2:$AE$18,Datasets!$W$2:$W$18))/((SQRT(SUMSQ(Datasets!$AD$2:$AD$18)+SUMSQ(Datasets!$AE$2:$AE$18)))*(SQRT(SUMSQ(Datasets!$V$2:$V$18)+SUMSQ(Datasets!$W$2:$W$18)))),0)</f>
        <v/>
      </c>
      <c r="M16" s="2">
        <f>IFERROR((SUMPRODUCT(Datasets!$AD$2:$AD$18,Datasets!$X$2:$X$18)+SUMPRODUCT(Datasets!$AE$2:$AE$18,Datasets!$Y$2:$Y$18))/((SQRT(SUMSQ(Datasets!$AD$2:$AD$18)+SUMSQ(Datasets!$AE$2:$AE$18)))*(SQRT(SUMSQ(Datasets!$X$2:$X$18)+SUMSQ(Datasets!$Y$2:$Y$18)))),0)</f>
        <v/>
      </c>
      <c r="N16" s="2">
        <f>IFERROR((SUMPRODUCT(Datasets!$AD$2:$AD$18,Datasets!$Z$2:$Z$18)+SUMPRODUCT(Datasets!$AE$2:$AE$18,Datasets!$AA$2:$AA$18))/((SQRT(SUMSQ(Datasets!$AD$2:$AD$18)+SUMSQ(Datasets!$AE$2:$AE$18)))*(SQRT(SUMSQ(Datasets!$Z$2:$Z$18)+SUMSQ(Datasets!$AA$2:$AA$18)))),0)</f>
        <v/>
      </c>
      <c r="O16" s="2">
        <f>IFERROR((SUMPRODUCT(Datasets!$AD$2:$AD$18,Datasets!$AB$2:$AB$18)+SUMPRODUCT(Datasets!$AE$2:$AE$18,Datasets!$AC$2:$AC$18))/((SQRT(SUMSQ(Datasets!$AD$2:$AD$18)+SUMSQ(Datasets!$AE$2:$AE$18)))*(SQRT(SUMSQ(Datasets!$AB$2:$AB$18)+SUMSQ(Datasets!$AC$2:$AC$18)))),0)</f>
        <v/>
      </c>
      <c r="P16" s="2">
        <f>IFERROR((SUMPRODUCT(Datasets!$AD$2:$AD$18,Datasets!$AD$2:$AD$18)+SUMPRODUCT(Datasets!$AE$2:$AE$18,Datasets!$AE$2:$AE$18))/((SQRT(SUMSQ(Datasets!$AD$2:$AD$18)+SUMSQ(Datasets!$AE$2:$AE$18)))*(SQRT(SUMSQ(Datasets!$AD$2:$AD$18)+SUMSQ(Datasets!$AE$2:$AE$18)))),0)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</cols>
  <sheetData>
    <row r="1">
      <c r="A1" s="3" t="n"/>
      <c r="B1" s="3" t="inlineStr">
        <is>
          <t>SE_mysql.postes.Id</t>
        </is>
      </c>
      <c r="C1" s="3" t="inlineStr">
        <is>
          <t>SE_mysql.postes.PostTypeId</t>
        </is>
      </c>
      <c r="D1" s="3" t="inlineStr">
        <is>
          <t>SE_mysql.postes.Title</t>
        </is>
      </c>
      <c r="E1" s="3" t="inlineStr">
        <is>
          <t>SE_mysql.postes.OwnerUserId</t>
        </is>
      </c>
      <c r="F1" s="3" t="inlineStr">
        <is>
          <t>SE_mysql.postes.ViewCount</t>
        </is>
      </c>
      <c r="G1" s="3" t="inlineStr">
        <is>
          <t>SE_mysql.postes.LastEditDate</t>
        </is>
      </c>
      <c r="H1" s="3" t="inlineStr">
        <is>
          <t>SE_mysql.postes.LastEditorUserId</t>
        </is>
      </c>
      <c r="I1" s="3" t="inlineStr">
        <is>
          <t>SE_mysql.postes.CreationDate</t>
        </is>
      </c>
      <c r="J1" s="3" t="inlineStr">
        <is>
          <t>SE_mysql.Posttypes.Id</t>
        </is>
      </c>
      <c r="K1" s="3" t="inlineStr">
        <is>
          <t>SE_mysql.Posttypes.Name</t>
        </is>
      </c>
      <c r="L1" s="3" t="inlineStr">
        <is>
          <t>SE_mysql.Users.Id</t>
        </is>
      </c>
      <c r="M1" s="3" t="inlineStr">
        <is>
          <t>SE_mysql.Users.Views</t>
        </is>
      </c>
      <c r="N1" s="3" t="inlineStr">
        <is>
          <t>SE_mysql.Users.UpVotes</t>
        </is>
      </c>
      <c r="O1" s="3" t="inlineStr">
        <is>
          <t>SE_mysql.Users.DisplayName</t>
        </is>
      </c>
      <c r="P1" s="3" t="inlineStr">
        <is>
          <t>SE_mysql.Users.DownVotes</t>
        </is>
      </c>
      <c r="Q1" s="3" t="inlineStr">
        <is>
          <t>SE_mysql.Users.LastAccessDate</t>
        </is>
      </c>
      <c r="R1" s="3" t="inlineStr">
        <is>
          <t>SE_mysql.Users.Reputation</t>
        </is>
      </c>
      <c r="S1" s="3" t="inlineStr">
        <is>
          <t>SE_mysql.Flagtypes.Id</t>
        </is>
      </c>
      <c r="T1" s="3" t="inlineStr">
        <is>
          <t>SE_mysql.Flagtypes.Name</t>
        </is>
      </c>
      <c r="U1" s="3" t="inlineStr">
        <is>
          <t>SE_mysql.Votes.Id</t>
        </is>
      </c>
      <c r="V1" s="3" t="inlineStr">
        <is>
          <t>SE_mysql.Votes.UserId</t>
        </is>
      </c>
      <c r="W1" s="3" t="inlineStr">
        <is>
          <t>SE_mysql.Votes.BountyAmount</t>
        </is>
      </c>
      <c r="X1" s="3" t="inlineStr">
        <is>
          <t>SE_mysql.Votes.CreationDate</t>
        </is>
      </c>
      <c r="Y1" s="3" t="inlineStr">
        <is>
          <t>SE_mysql.Votes.PostId</t>
        </is>
      </c>
      <c r="Z1" s="3" t="inlineStr">
        <is>
          <t>SE_mysql.Votes.VoteTypeId</t>
        </is>
      </c>
      <c r="AA1" s="3" t="inlineStr">
        <is>
          <t>SE_mysql.Votetypes.Id</t>
        </is>
      </c>
      <c r="AB1" s="3" t="inlineStr">
        <is>
          <t>SE_mysql.Votetypes.Name</t>
        </is>
      </c>
      <c r="AC1" s="3" t="inlineStr">
        <is>
          <t>SE_mongodb.Badges.Id</t>
        </is>
      </c>
      <c r="AD1" s="3" t="inlineStr">
        <is>
          <t>SE_mongodb.Badges.UserId</t>
        </is>
      </c>
      <c r="AE1" s="3" t="inlineStr">
        <is>
          <t>SE_mongodb.Badges.Name</t>
        </is>
      </c>
      <c r="AF1" s="3" t="inlineStr">
        <is>
          <t>SE_mongodb.Badges.Date</t>
        </is>
      </c>
      <c r="AG1" s="3" t="inlineStr">
        <is>
          <t>SE_mongodb.Posts.Id</t>
        </is>
      </c>
      <c r="AH1" s="3" t="inlineStr">
        <is>
          <t>SE_mongodb.Posts.Tags</t>
        </is>
      </c>
      <c r="AI1" s="3" t="inlineStr">
        <is>
          <t>SE_mongodb.Posts.Body</t>
        </is>
      </c>
      <c r="AJ1" s="3" t="inlineStr">
        <is>
          <t>SE_mongodb.Users.Id</t>
        </is>
      </c>
      <c r="AK1" s="3" t="inlineStr">
        <is>
          <t>SE_mongodb.Users.DisplayName</t>
        </is>
      </c>
      <c r="AL1" s="3" t="inlineStr">
        <is>
          <t>SE_mongodb.Users.AboutMe</t>
        </is>
      </c>
      <c r="AM1" s="3" t="inlineStr">
        <is>
          <t>SE_mongodb.Comments.Id</t>
        </is>
      </c>
      <c r="AN1" s="3" t="inlineStr">
        <is>
          <t>SE_mongodb.Comments.UserId</t>
        </is>
      </c>
      <c r="AO1" s="3" t="inlineStr">
        <is>
          <t>SE_mongodb.Comments.Text</t>
        </is>
      </c>
      <c r="AP1" s="3" t="inlineStr">
        <is>
          <t>SE_mongodb.Comments.PostId</t>
        </is>
      </c>
      <c r="AQ1" s="3" t="inlineStr">
        <is>
          <t>SE_neo4j.postlinks.id</t>
        </is>
      </c>
      <c r="AR1" s="3" t="inlineStr">
        <is>
          <t>SE_neo4j.postlinks.LinkTypeId</t>
        </is>
      </c>
      <c r="AS1" s="3" t="inlineStr">
        <is>
          <t>SE_neo4j.postlinks.RelatedPostId</t>
        </is>
      </c>
      <c r="AT1" s="3" t="inlineStr">
        <is>
          <t>SE_neo4j.postlinks.PostIdd</t>
        </is>
      </c>
      <c r="AU1" s="3" t="inlineStr">
        <is>
          <t>SE_neo4j.postlinks.CreationDate</t>
        </is>
      </c>
      <c r="AV1" s="3" t="inlineStr">
        <is>
          <t>SE_neo4j.Posts.id</t>
        </is>
      </c>
      <c r="AW1" s="3" t="inlineStr">
        <is>
          <t>SE_neo4j.Posts.posttypeid</t>
        </is>
      </c>
      <c r="AX1" s="3" t="inlineStr">
        <is>
          <t>SE_neo4j.Posts.parentid</t>
        </is>
      </c>
      <c r="AY1" s="3" t="inlineStr">
        <is>
          <t>SE_neo4j.Posts.owneruserid</t>
        </is>
      </c>
      <c r="AZ1" s="3" t="inlineStr">
        <is>
          <t>SE_neo4j.Posts.acceptedanswerid</t>
        </is>
      </c>
      <c r="BA1" s="3" t="inlineStr">
        <is>
          <t>SE_neo4j.Comments.id</t>
        </is>
      </c>
      <c r="BB1" s="3" t="inlineStr">
        <is>
          <t>SE_neo4j.Comments.creationdate</t>
        </is>
      </c>
      <c r="BC1" s="3" t="inlineStr">
        <is>
          <t>SE_neo4j.Comments.score</t>
        </is>
      </c>
      <c r="BD1" s="3" t="inlineStr">
        <is>
          <t>SE_neo4j.Users.id</t>
        </is>
      </c>
      <c r="BE1" s="3" t="inlineStr">
        <is>
          <t>SE_neo4j.Users.accountid</t>
        </is>
      </c>
      <c r="BF1" s="3" t="inlineStr">
        <is>
          <t>SE_neo4j.Users.displayname</t>
        </is>
      </c>
      <c r="BG1" s="3" t="inlineStr">
        <is>
          <t>SE_neo4j.Users.creationdate</t>
        </is>
      </c>
      <c r="BH1" s="3" t="inlineStr">
        <is>
          <t>SE_neo4j.Tags.id</t>
        </is>
      </c>
      <c r="BI1" s="3" t="inlineStr">
        <is>
          <t>SE_neo4j.Tags.count</t>
        </is>
      </c>
      <c r="BJ1" s="3" t="inlineStr">
        <is>
          <t>SE_neo4j.Tags.wikipostid</t>
        </is>
      </c>
      <c r="BK1" s="3" t="inlineStr">
        <is>
          <t>SE_neo4j.Tags.tagname</t>
        </is>
      </c>
      <c r="BL1" s="3" t="inlineStr">
        <is>
          <t>SE_neo4j.Tags.excerptpostid</t>
        </is>
      </c>
    </row>
    <row r="2">
      <c r="A2" s="3" t="inlineStr">
        <is>
          <t>SE_mysql.postes.Id</t>
        </is>
      </c>
      <c r="B2" s="2">
        <f>IFERROR((SUMPRODUCT(Attributs!$B$2:$B$18,Attributs!$B$2:$B$18)+SUMPRODUCT(Attributs!$C$2:$C$18,Attributs!$C$2:$C$18))/((SQRT(SUMSQ(Attributs!$B$2:$B$18)+SUMSQ(Attributs!$C$2:$C$18)))*(SQRT(SUMSQ(Attributs!$B$2:$B$18)+SUMSQ(Attributs!$C$2:$C$18)))),0)</f>
        <v/>
      </c>
      <c r="C2" s="2">
        <f>IFERROR((SUMPRODUCT(Attributs!$B$2:$B$18,Attributs!$D$2:$D$18)+SUMPRODUCT(Attributs!$C$2:$C$18,Attributs!$E$2:$E$18))/((SQRT(SUMSQ(Attributs!$B$2:$B$18)+SUMSQ(Attributs!$C$2:$C$18)))*(SQRT(SUMSQ(Attributs!$D$2:$D$18)+SUMSQ(Attributs!$E$2:$E$18)))),0)</f>
        <v/>
      </c>
      <c r="D2" s="2">
        <f>IFERROR((SUMPRODUCT(Attributs!$B$2:$B$18,Attributs!$F$2:$F$18)+SUMPRODUCT(Attributs!$C$2:$C$18,Attributs!$G$2:$G$18))/((SQRT(SUMSQ(Attributs!$B$2:$B$18)+SUMSQ(Attributs!$C$2:$C$18)))*(SQRT(SUMSQ(Attributs!$F$2:$F$18)+SUMSQ(Attributs!$G$2:$G$18)))),0)</f>
        <v/>
      </c>
      <c r="E2" s="2">
        <f>IFERROR((SUMPRODUCT(Attributs!$B$2:$B$18,Attributs!$H$2:$H$18)+SUMPRODUCT(Attributs!$C$2:$C$18,Attributs!$I$2:$I$18))/((SQRT(SUMSQ(Attributs!$B$2:$B$18)+SUMSQ(Attributs!$C$2:$C$18)))*(SQRT(SUMSQ(Attributs!$H$2:$H$18)+SUMSQ(Attributs!$I$2:$I$18)))),0)</f>
        <v/>
      </c>
      <c r="F2" s="2">
        <f>IFERROR((SUMPRODUCT(Attributs!$B$2:$B$18,Attributs!$J$2:$J$18)+SUMPRODUCT(Attributs!$C$2:$C$18,Attributs!$K$2:$K$18))/((SQRT(SUMSQ(Attributs!$B$2:$B$18)+SUMSQ(Attributs!$C$2:$C$18)))*(SQRT(SUMSQ(Attributs!$J$2:$J$18)+SUMSQ(Attributs!$K$2:$K$18)))),0)</f>
        <v/>
      </c>
      <c r="G2" s="2">
        <f>IFERROR((SUMPRODUCT(Attributs!$B$2:$B$18,Attributs!$L$2:$L$18)+SUMPRODUCT(Attributs!$C$2:$C$18,Attributs!$M$2:$M$18))/((SQRT(SUMSQ(Attributs!$B$2:$B$18)+SUMSQ(Attributs!$C$2:$C$18)))*(SQRT(SUMSQ(Attributs!$L$2:$L$18)+SUMSQ(Attributs!$M$2:$M$18)))),0)</f>
        <v/>
      </c>
      <c r="H2" s="2">
        <f>IFERROR((SUMPRODUCT(Attributs!$B$2:$B$18,Attributs!$N$2:$N$18)+SUMPRODUCT(Attributs!$C$2:$C$18,Attributs!$O$2:$O$18))/((SQRT(SUMSQ(Attributs!$B$2:$B$18)+SUMSQ(Attributs!$C$2:$C$18)))*(SQRT(SUMSQ(Attributs!$N$2:$N$18)+SUMSQ(Attributs!$O$2:$O$18)))),0)</f>
        <v/>
      </c>
      <c r="I2" s="2">
        <f>IFERROR((SUMPRODUCT(Attributs!$B$2:$B$18,Attributs!$P$2:$P$18)+SUMPRODUCT(Attributs!$C$2:$C$18,Attributs!$Q$2:$Q$18))/((SQRT(SUMSQ(Attributs!$B$2:$B$18)+SUMSQ(Attributs!$C$2:$C$18)))*(SQRT(SUMSQ(Attributs!$P$2:$P$18)+SUMSQ(Attributs!$Q$2:$Q$18)))),0)</f>
        <v/>
      </c>
      <c r="J2" s="2">
        <f>IFERROR((SUMPRODUCT(Attributs!$B$2:$B$18,Attributs!$R$2:$R$18)+SUMPRODUCT(Attributs!$C$2:$C$18,Attributs!$S$2:$S$18))/((SQRT(SUMSQ(Attributs!$B$2:$B$18)+SUMSQ(Attributs!$C$2:$C$18)))*(SQRT(SUMSQ(Attributs!$R$2:$R$18)+SUMSQ(Attributs!$S$2:$S$18)))),0)</f>
        <v/>
      </c>
      <c r="K2" s="2">
        <f>IFERROR((SUMPRODUCT(Attributs!$B$2:$B$18,Attributs!$T$2:$T$18)+SUMPRODUCT(Attributs!$C$2:$C$18,Attributs!$U$2:$U$18))/((SQRT(SUMSQ(Attributs!$B$2:$B$18)+SUMSQ(Attributs!$C$2:$C$18)))*(SQRT(SUMSQ(Attributs!$T$2:$T$18)+SUMSQ(Attributs!$U$2:$U$18)))),0)</f>
        <v/>
      </c>
      <c r="L2" s="2">
        <f>IFERROR((SUMPRODUCT(Attributs!$B$2:$B$18,Attributs!$V$2:$V$18)+SUMPRODUCT(Attributs!$C$2:$C$18,Attributs!$W$2:$W$18))/((SQRT(SUMSQ(Attributs!$B$2:$B$18)+SUMSQ(Attributs!$C$2:$C$18)))*(SQRT(SUMSQ(Attributs!$V$2:$V$18)+SUMSQ(Attributs!$W$2:$W$18)))),0)</f>
        <v/>
      </c>
      <c r="M2" s="2">
        <f>IFERROR((SUMPRODUCT(Attributs!$B$2:$B$18,Attributs!$X$2:$X$18)+SUMPRODUCT(Attributs!$C$2:$C$18,Attributs!$Y$2:$Y$18))/((SQRT(SUMSQ(Attributs!$B$2:$B$18)+SUMSQ(Attributs!$C$2:$C$18)))*(SQRT(SUMSQ(Attributs!$X$2:$X$18)+SUMSQ(Attributs!$Y$2:$Y$18)))),0)</f>
        <v/>
      </c>
      <c r="N2" s="2">
        <f>IFERROR((SUMPRODUCT(Attributs!$B$2:$B$18,Attributs!$Z$2:$Z$18)+SUMPRODUCT(Attributs!$C$2:$C$18,Attributs!$AA$2:$AA$18))/((SQRT(SUMSQ(Attributs!$B$2:$B$18)+SUMSQ(Attributs!$C$2:$C$18)))*(SQRT(SUMSQ(Attributs!$Z$2:$Z$18)+SUMSQ(Attributs!$AA$2:$AA$18)))),0)</f>
        <v/>
      </c>
      <c r="O2" s="2">
        <f>IFERROR((SUMPRODUCT(Attributs!$B$2:$B$18,Attributs!$AB$2:$AB$18)+SUMPRODUCT(Attributs!$C$2:$C$18,Attributs!$AC$2:$AC$18))/((SQRT(SUMSQ(Attributs!$B$2:$B$18)+SUMSQ(Attributs!$C$2:$C$18)))*(SQRT(SUMSQ(Attributs!$AB$2:$AB$18)+SUMSQ(Attributs!$AC$2:$AC$18)))),0)</f>
        <v/>
      </c>
      <c r="P2" s="2">
        <f>IFERROR((SUMPRODUCT(Attributs!$B$2:$B$18,Attributs!$AD$2:$AD$18)+SUMPRODUCT(Attributs!$C$2:$C$18,Attributs!$AE$2:$AE$18))/((SQRT(SUMSQ(Attributs!$B$2:$B$18)+SUMSQ(Attributs!$C$2:$C$18)))*(SQRT(SUMSQ(Attributs!$AD$2:$AD$18)+SUMSQ(Attributs!$AE$2:$AE$18)))),0)</f>
        <v/>
      </c>
      <c r="Q2" s="2">
        <f>IFERROR((SUMPRODUCT(Attributs!$B$2:$B$18,Attributs!$AF$2:$AF$18)+SUMPRODUCT(Attributs!$C$2:$C$18,Attributs!$AG$2:$AG$18))/((SQRT(SUMSQ(Attributs!$B$2:$B$18)+SUMSQ(Attributs!$C$2:$C$18)))*(SQRT(SUMSQ(Attributs!$AF$2:$AF$18)+SUMSQ(Attributs!$AG$2:$AG$18)))),0)</f>
        <v/>
      </c>
      <c r="R2" s="2">
        <f>IFERROR((SUMPRODUCT(Attributs!$B$2:$B$18,Attributs!$AH$2:$AH$18)+SUMPRODUCT(Attributs!$C$2:$C$18,Attributs!$AI$2:$AI$18))/((SQRT(SUMSQ(Attributs!$B$2:$B$18)+SUMSQ(Attributs!$C$2:$C$18)))*(SQRT(SUMSQ(Attributs!$AH$2:$AH$18)+SUMSQ(Attributs!$AI$2:$AI$18)))),0)</f>
        <v/>
      </c>
      <c r="S2" s="2">
        <f>IFERROR((SUMPRODUCT(Attributs!$B$2:$B$18,Attributs!$AJ$2:$AJ$18)+SUMPRODUCT(Attributs!$C$2:$C$18,Attributs!$AK$2:$AK$18))/((SQRT(SUMSQ(Attributs!$B$2:$B$18)+SUMSQ(Attributs!$C$2:$C$18)))*(SQRT(SUMSQ(Attributs!$AJ$2:$AJ$18)+SUMSQ(Attributs!$AK$2:$AK$18)))),0)</f>
        <v/>
      </c>
      <c r="T2" s="2">
        <f>IFERROR((SUMPRODUCT(Attributs!$B$2:$B$18,Attributs!$AL$2:$AL$18)+SUMPRODUCT(Attributs!$C$2:$C$18,Attributs!$AM$2:$AM$18))/((SQRT(SUMSQ(Attributs!$B$2:$B$18)+SUMSQ(Attributs!$C$2:$C$18)))*(SQRT(SUMSQ(Attributs!$AL$2:$AL$18)+SUMSQ(Attributs!$AM$2:$AM$18)))),0)</f>
        <v/>
      </c>
      <c r="U2" s="2">
        <f>IFERROR((SUMPRODUCT(Attributs!$B$2:$B$18,Attributs!$AN$2:$AN$18)+SUMPRODUCT(Attributs!$C$2:$C$18,Attributs!$AO$2:$AO$18))/((SQRT(SUMSQ(Attributs!$B$2:$B$18)+SUMSQ(Attributs!$C$2:$C$18)))*(SQRT(SUMSQ(Attributs!$AN$2:$AN$18)+SUMSQ(Attributs!$AO$2:$AO$18)))),0)</f>
        <v/>
      </c>
      <c r="V2" s="2">
        <f>IFERROR((SUMPRODUCT(Attributs!$B$2:$B$18,Attributs!$AP$2:$AP$18)+SUMPRODUCT(Attributs!$C$2:$C$18,Attributs!$AQ$2:$AQ$18))/((SQRT(SUMSQ(Attributs!$B$2:$B$18)+SUMSQ(Attributs!$C$2:$C$18)))*(SQRT(SUMSQ(Attributs!$AP$2:$AP$18)+SUMSQ(Attributs!$AQ$2:$AQ$18)))),0)</f>
        <v/>
      </c>
      <c r="W2" s="2">
        <f>IFERROR((SUMPRODUCT(Attributs!$B$2:$B$18,Attributs!$AR$2:$AR$18)+SUMPRODUCT(Attributs!$C$2:$C$18,Attributs!$AS$2:$AS$18))/((SQRT(SUMSQ(Attributs!$B$2:$B$18)+SUMSQ(Attributs!$C$2:$C$18)))*(SQRT(SUMSQ(Attributs!$AR$2:$AR$18)+SUMSQ(Attributs!$AS$2:$AS$18)))),0)</f>
        <v/>
      </c>
      <c r="X2" s="2">
        <f>IFERROR((SUMPRODUCT(Attributs!$B$2:$B$18,Attributs!$AT$2:$AT$18)+SUMPRODUCT(Attributs!$C$2:$C$18,Attributs!$AU$2:$AU$18))/((SQRT(SUMSQ(Attributs!$B$2:$B$18)+SUMSQ(Attributs!$C$2:$C$18)))*(SQRT(SUMSQ(Attributs!$AT$2:$AT$18)+SUMSQ(Attributs!$AU$2:$AU$18)))),0)</f>
        <v/>
      </c>
      <c r="Y2" s="2">
        <f>IFERROR((SUMPRODUCT(Attributs!$B$2:$B$18,Attributs!$AV$2:$AV$18)+SUMPRODUCT(Attributs!$C$2:$C$18,Attributs!$AW$2:$AW$18))/((SQRT(SUMSQ(Attributs!$B$2:$B$18)+SUMSQ(Attributs!$C$2:$C$18)))*(SQRT(SUMSQ(Attributs!$AV$2:$AV$18)+SUMSQ(Attributs!$AW$2:$AW$18)))),0)</f>
        <v/>
      </c>
      <c r="Z2" s="2">
        <f>IFERROR((SUMPRODUCT(Attributs!$B$2:$B$18,Attributs!$AX$2:$AX$18)+SUMPRODUCT(Attributs!$C$2:$C$18,Attributs!$AY$2:$AY$18))/((SQRT(SUMSQ(Attributs!$B$2:$B$18)+SUMSQ(Attributs!$C$2:$C$18)))*(SQRT(SUMSQ(Attributs!$AX$2:$AX$18)+SUMSQ(Attributs!$AY$2:$AY$18)))),0)</f>
        <v/>
      </c>
      <c r="AA2" s="2">
        <f>IFERROR((SUMPRODUCT(Attributs!$B$2:$B$18,Attributs!$AZ$2:$AZ$18)+SUMPRODUCT(Attributs!$C$2:$C$18,Attributs!$BA$2:$BA$18))/((SQRT(SUMSQ(Attributs!$B$2:$B$18)+SUMSQ(Attributs!$C$2:$C$18)))*(SQRT(SUMSQ(Attributs!$AZ$2:$AZ$18)+SUMSQ(Attributs!$BA$2:$BA$18)))),0)</f>
        <v/>
      </c>
      <c r="AB2" s="2">
        <f>IFERROR((SUMPRODUCT(Attributs!$B$2:$B$18,Attributs!$BB$2:$BB$18)+SUMPRODUCT(Attributs!$C$2:$C$18,Attributs!$BC$2:$BC$18))/((SQRT(SUMSQ(Attributs!$B$2:$B$18)+SUMSQ(Attributs!$C$2:$C$18)))*(SQRT(SUMSQ(Attributs!$BB$2:$BB$18)+SUMSQ(Attributs!$BC$2:$BC$18)))),0)</f>
        <v/>
      </c>
      <c r="AC2" s="2">
        <f>IFERROR((SUMPRODUCT(Attributs!$B$2:$B$18,Attributs!$BD$2:$BD$18)+SUMPRODUCT(Attributs!$C$2:$C$18,Attributs!$BE$2:$BE$18))/((SQRT(SUMSQ(Attributs!$B$2:$B$18)+SUMSQ(Attributs!$C$2:$C$18)))*(SQRT(SUMSQ(Attributs!$BD$2:$BD$18)+SUMSQ(Attributs!$BE$2:$BE$18)))),0)</f>
        <v/>
      </c>
      <c r="AD2" s="2">
        <f>IFERROR((SUMPRODUCT(Attributs!$B$2:$B$18,Attributs!$BF$2:$BF$18)+SUMPRODUCT(Attributs!$C$2:$C$18,Attributs!$BG$2:$BG$18))/((SQRT(SUMSQ(Attributs!$B$2:$B$18)+SUMSQ(Attributs!$C$2:$C$18)))*(SQRT(SUMSQ(Attributs!$BF$2:$BF$18)+SUMSQ(Attributs!$BG$2:$BG$18)))),0)</f>
        <v/>
      </c>
      <c r="AE2" s="2">
        <f>IFERROR((SUMPRODUCT(Attributs!$B$2:$B$18,Attributs!$BH$2:$BH$18)+SUMPRODUCT(Attributs!$C$2:$C$18,Attributs!$BI$2:$BI$18))/((SQRT(SUMSQ(Attributs!$B$2:$B$18)+SUMSQ(Attributs!$C$2:$C$18)))*(SQRT(SUMSQ(Attributs!$BH$2:$BH$18)+SUMSQ(Attributs!$BI$2:$BI$18)))),0)</f>
        <v/>
      </c>
      <c r="AF2" s="2">
        <f>IFERROR((SUMPRODUCT(Attributs!$B$2:$B$18,Attributs!$BJ$2:$BJ$18)+SUMPRODUCT(Attributs!$C$2:$C$18,Attributs!$BK$2:$BK$18))/((SQRT(SUMSQ(Attributs!$B$2:$B$18)+SUMSQ(Attributs!$C$2:$C$18)))*(SQRT(SUMSQ(Attributs!$BJ$2:$BJ$18)+SUMSQ(Attributs!$BK$2:$BK$18)))),0)</f>
        <v/>
      </c>
      <c r="AG2" s="2">
        <f>IFERROR((SUMPRODUCT(Attributs!$B$2:$B$18,Attributs!$BL$2:$BL$18)+SUMPRODUCT(Attributs!$C$2:$C$18,Attributs!$BM$2:$BM$18))/((SQRT(SUMSQ(Attributs!$B$2:$B$18)+SUMSQ(Attributs!$C$2:$C$18)))*(SQRT(SUMSQ(Attributs!$BL$2:$BL$18)+SUMSQ(Attributs!$BM$2:$BM$18)))),0)</f>
        <v/>
      </c>
      <c r="AH2" s="2">
        <f>IFERROR((SUMPRODUCT(Attributs!$B$2:$B$18,Attributs!$BN$2:$BN$18)+SUMPRODUCT(Attributs!$C$2:$C$18,Attributs!$BO$2:$BO$18))/((SQRT(SUMSQ(Attributs!$B$2:$B$18)+SUMSQ(Attributs!$C$2:$C$18)))*(SQRT(SUMSQ(Attributs!$BN$2:$BN$18)+SUMSQ(Attributs!$BO$2:$BO$18)))),0)</f>
        <v/>
      </c>
      <c r="AI2" s="2">
        <f>IFERROR((SUMPRODUCT(Attributs!$B$2:$B$18,Attributs!$BP$2:$BP$18)+SUMPRODUCT(Attributs!$C$2:$C$18,Attributs!$BQ$2:$BQ$18))/((SQRT(SUMSQ(Attributs!$B$2:$B$18)+SUMSQ(Attributs!$C$2:$C$18)))*(SQRT(SUMSQ(Attributs!$BP$2:$BP$18)+SUMSQ(Attributs!$BQ$2:$BQ$18)))),0)</f>
        <v/>
      </c>
      <c r="AJ2" s="2">
        <f>IFERROR((SUMPRODUCT(Attributs!$B$2:$B$18,Attributs!$BR$2:$BR$18)+SUMPRODUCT(Attributs!$C$2:$C$18,Attributs!$BS$2:$BS$18))/((SQRT(SUMSQ(Attributs!$B$2:$B$18)+SUMSQ(Attributs!$C$2:$C$18)))*(SQRT(SUMSQ(Attributs!$BR$2:$BR$18)+SUMSQ(Attributs!$BS$2:$BS$18)))),0)</f>
        <v/>
      </c>
      <c r="AK2" s="2">
        <f>IFERROR((SUMPRODUCT(Attributs!$B$2:$B$18,Attributs!$BT$2:$BT$18)+SUMPRODUCT(Attributs!$C$2:$C$18,Attributs!$BU$2:$BU$18))/((SQRT(SUMSQ(Attributs!$B$2:$B$18)+SUMSQ(Attributs!$C$2:$C$18)))*(SQRT(SUMSQ(Attributs!$BT$2:$BT$18)+SUMSQ(Attributs!$BU$2:$BU$18)))),0)</f>
        <v/>
      </c>
      <c r="AL2" s="2">
        <f>IFERROR((SUMPRODUCT(Attributs!$B$2:$B$18,Attributs!$BV$2:$BV$18)+SUMPRODUCT(Attributs!$C$2:$C$18,Attributs!$BW$2:$BW$18))/((SQRT(SUMSQ(Attributs!$B$2:$B$18)+SUMSQ(Attributs!$C$2:$C$18)))*(SQRT(SUMSQ(Attributs!$BV$2:$BV$18)+SUMSQ(Attributs!$BW$2:$BW$18)))),0)</f>
        <v/>
      </c>
      <c r="AM2" s="2">
        <f>IFERROR((SUMPRODUCT(Attributs!$B$2:$B$18,Attributs!$BX$2:$BX$18)+SUMPRODUCT(Attributs!$C$2:$C$18,Attributs!$BY$2:$BY$18))/((SQRT(SUMSQ(Attributs!$B$2:$B$18)+SUMSQ(Attributs!$C$2:$C$18)))*(SQRT(SUMSQ(Attributs!$BX$2:$BX$18)+SUMSQ(Attributs!$BY$2:$BY$18)))),0)</f>
        <v/>
      </c>
      <c r="AN2" s="2">
        <f>IFERROR((SUMPRODUCT(Attributs!$B$2:$B$18,Attributs!$BZ$2:$BZ$18)+SUMPRODUCT(Attributs!$C$2:$C$18,Attributs!$CA$2:$CA$18))/((SQRT(SUMSQ(Attributs!$B$2:$B$18)+SUMSQ(Attributs!$C$2:$C$18)))*(SQRT(SUMSQ(Attributs!$BZ$2:$BZ$18)+SUMSQ(Attributs!$CA$2:$CA$18)))),0)</f>
        <v/>
      </c>
      <c r="AO2" s="2">
        <f>IFERROR((SUMPRODUCT(Attributs!$B$2:$B$18,Attributs!$CB$2:$CB$18)+SUMPRODUCT(Attributs!$C$2:$C$18,Attributs!$CC$2:$CC$18))/((SQRT(SUMSQ(Attributs!$B$2:$B$18)+SUMSQ(Attributs!$C$2:$C$18)))*(SQRT(SUMSQ(Attributs!$CB$2:$CB$18)+SUMSQ(Attributs!$CC$2:$CC$18)))),0)</f>
        <v/>
      </c>
      <c r="AP2" s="2">
        <f>IFERROR((SUMPRODUCT(Attributs!$B$2:$B$18,Attributs!$CD$2:$CD$18)+SUMPRODUCT(Attributs!$C$2:$C$18,Attributs!$CE$2:$CE$18))/((SQRT(SUMSQ(Attributs!$B$2:$B$18)+SUMSQ(Attributs!$C$2:$C$18)))*(SQRT(SUMSQ(Attributs!$CD$2:$CD$18)+SUMSQ(Attributs!$CE$2:$CE$18)))),0)</f>
        <v/>
      </c>
      <c r="AQ2" s="2">
        <f>IFERROR((SUMPRODUCT(Attributs!$B$2:$B$18,Attributs!$CF$2:$CF$18)+SUMPRODUCT(Attributs!$C$2:$C$18,Attributs!$CG$2:$CG$18))/((SQRT(SUMSQ(Attributs!$B$2:$B$18)+SUMSQ(Attributs!$C$2:$C$18)))*(SQRT(SUMSQ(Attributs!$CF$2:$CF$18)+SUMSQ(Attributs!$CG$2:$CG$18)))),0)</f>
        <v/>
      </c>
      <c r="AR2" s="2">
        <f>IFERROR((SUMPRODUCT(Attributs!$B$2:$B$18,Attributs!$CH$2:$CH$18)+SUMPRODUCT(Attributs!$C$2:$C$18,Attributs!$CI$2:$CI$18))/((SQRT(SUMSQ(Attributs!$B$2:$B$18)+SUMSQ(Attributs!$C$2:$C$18)))*(SQRT(SUMSQ(Attributs!$CH$2:$CH$18)+SUMSQ(Attributs!$CI$2:$CI$18)))),0)</f>
        <v/>
      </c>
      <c r="AS2" s="2">
        <f>IFERROR((SUMPRODUCT(Attributs!$B$2:$B$18,Attributs!$CJ$2:$CJ$18)+SUMPRODUCT(Attributs!$C$2:$C$18,Attributs!$CK$2:$CK$18))/((SQRT(SUMSQ(Attributs!$B$2:$B$18)+SUMSQ(Attributs!$C$2:$C$18)))*(SQRT(SUMSQ(Attributs!$CJ$2:$CJ$18)+SUMSQ(Attributs!$CK$2:$CK$18)))),0)</f>
        <v/>
      </c>
      <c r="AT2" s="2">
        <f>IFERROR((SUMPRODUCT(Attributs!$B$2:$B$18,Attributs!$CL$2:$CL$18)+SUMPRODUCT(Attributs!$C$2:$C$18,Attributs!$CM$2:$CM$18))/((SQRT(SUMSQ(Attributs!$B$2:$B$18)+SUMSQ(Attributs!$C$2:$C$18)))*(SQRT(SUMSQ(Attributs!$CL$2:$CL$18)+SUMSQ(Attributs!$CM$2:$CM$18)))),0)</f>
        <v/>
      </c>
      <c r="AU2" s="2">
        <f>IFERROR((SUMPRODUCT(Attributs!$B$2:$B$18,Attributs!$CN$2:$CN$18)+SUMPRODUCT(Attributs!$C$2:$C$18,Attributs!$CO$2:$CO$18))/((SQRT(SUMSQ(Attributs!$B$2:$B$18)+SUMSQ(Attributs!$C$2:$C$18)))*(SQRT(SUMSQ(Attributs!$CN$2:$CN$18)+SUMSQ(Attributs!$CO$2:$CO$18)))),0)</f>
        <v/>
      </c>
      <c r="AV2" s="2">
        <f>IFERROR((SUMPRODUCT(Attributs!$B$2:$B$18,Attributs!$CP$2:$CP$18)+SUMPRODUCT(Attributs!$C$2:$C$18,Attributs!$CQ$2:$CQ$18))/((SQRT(SUMSQ(Attributs!$B$2:$B$18)+SUMSQ(Attributs!$C$2:$C$18)))*(SQRT(SUMSQ(Attributs!$CP$2:$CP$18)+SUMSQ(Attributs!$CQ$2:$CQ$18)))),0)</f>
        <v/>
      </c>
      <c r="AW2" s="2">
        <f>IFERROR((SUMPRODUCT(Attributs!$B$2:$B$18,Attributs!$CR$2:$CR$18)+SUMPRODUCT(Attributs!$C$2:$C$18,Attributs!$CS$2:$CS$18))/((SQRT(SUMSQ(Attributs!$B$2:$B$18)+SUMSQ(Attributs!$C$2:$C$18)))*(SQRT(SUMSQ(Attributs!$CR$2:$CR$18)+SUMSQ(Attributs!$CS$2:$CS$18)))),0)</f>
        <v/>
      </c>
      <c r="AX2" s="2">
        <f>IFERROR((SUMPRODUCT(Attributs!$B$2:$B$18,Attributs!$CT$2:$CT$18)+SUMPRODUCT(Attributs!$C$2:$C$18,Attributs!$CU$2:$CU$18))/((SQRT(SUMSQ(Attributs!$B$2:$B$18)+SUMSQ(Attributs!$C$2:$C$18)))*(SQRT(SUMSQ(Attributs!$CT$2:$CT$18)+SUMSQ(Attributs!$CU$2:$CU$18)))),0)</f>
        <v/>
      </c>
      <c r="AY2" s="2">
        <f>IFERROR((SUMPRODUCT(Attributs!$B$2:$B$18,Attributs!$CV$2:$CV$18)+SUMPRODUCT(Attributs!$C$2:$C$18,Attributs!$CW$2:$CW$18))/((SQRT(SUMSQ(Attributs!$B$2:$B$18)+SUMSQ(Attributs!$C$2:$C$18)))*(SQRT(SUMSQ(Attributs!$CV$2:$CV$18)+SUMSQ(Attributs!$CW$2:$CW$18)))),0)</f>
        <v/>
      </c>
      <c r="AZ2" s="2">
        <f>IFERROR((SUMPRODUCT(Attributs!$B$2:$B$18,Attributs!$CX$2:$CX$18)+SUMPRODUCT(Attributs!$C$2:$C$18,Attributs!$CY$2:$CY$18))/((SQRT(SUMSQ(Attributs!$B$2:$B$18)+SUMSQ(Attributs!$C$2:$C$18)))*(SQRT(SUMSQ(Attributs!$CX$2:$CX$18)+SUMSQ(Attributs!$CY$2:$CY$18)))),0)</f>
        <v/>
      </c>
      <c r="BA2" s="2">
        <f>IFERROR((SUMPRODUCT(Attributs!$B$2:$B$18,Attributs!$CZ$2:$CZ$18)+SUMPRODUCT(Attributs!$C$2:$C$18,Attributs!$DA$2:$DA$18))/((SQRT(SUMSQ(Attributs!$B$2:$B$18)+SUMSQ(Attributs!$C$2:$C$18)))*(SQRT(SUMSQ(Attributs!$CZ$2:$CZ$18)+SUMSQ(Attributs!$DA$2:$DA$18)))),0)</f>
        <v/>
      </c>
      <c r="BB2" s="2">
        <f>IFERROR((SUMPRODUCT(Attributs!$B$2:$B$18,Attributs!$DB$2:$DB$18)+SUMPRODUCT(Attributs!$C$2:$C$18,Attributs!$DC$2:$DC$18))/((SQRT(SUMSQ(Attributs!$B$2:$B$18)+SUMSQ(Attributs!$C$2:$C$18)))*(SQRT(SUMSQ(Attributs!$DB$2:$DB$18)+SUMSQ(Attributs!$DC$2:$DC$18)))),0)</f>
        <v/>
      </c>
      <c r="BC2" s="2">
        <f>IFERROR((SUMPRODUCT(Attributs!$B$2:$B$18,Attributs!$DD$2:$DD$18)+SUMPRODUCT(Attributs!$C$2:$C$18,Attributs!$DE$2:$DE$18))/((SQRT(SUMSQ(Attributs!$B$2:$B$18)+SUMSQ(Attributs!$C$2:$C$18)))*(SQRT(SUMSQ(Attributs!$DD$2:$DD$18)+SUMSQ(Attributs!$DE$2:$DE$18)))),0)</f>
        <v/>
      </c>
      <c r="BD2" s="2">
        <f>IFERROR((SUMPRODUCT(Attributs!$B$2:$B$18,Attributs!$DF$2:$DF$18)+SUMPRODUCT(Attributs!$C$2:$C$18,Attributs!$DG$2:$DG$18))/((SQRT(SUMSQ(Attributs!$B$2:$B$18)+SUMSQ(Attributs!$C$2:$C$18)))*(SQRT(SUMSQ(Attributs!$DF$2:$DF$18)+SUMSQ(Attributs!$DG$2:$DG$18)))),0)</f>
        <v/>
      </c>
      <c r="BE2" s="2">
        <f>IFERROR((SUMPRODUCT(Attributs!$B$2:$B$18,Attributs!$DH$2:$DH$18)+SUMPRODUCT(Attributs!$C$2:$C$18,Attributs!$DI$2:$DI$18))/((SQRT(SUMSQ(Attributs!$B$2:$B$18)+SUMSQ(Attributs!$C$2:$C$18)))*(SQRT(SUMSQ(Attributs!$DH$2:$DH$18)+SUMSQ(Attributs!$DI$2:$DI$18)))),0)</f>
        <v/>
      </c>
      <c r="BF2" s="2">
        <f>IFERROR((SUMPRODUCT(Attributs!$B$2:$B$18,Attributs!$DJ$2:$DJ$18)+SUMPRODUCT(Attributs!$C$2:$C$18,Attributs!$DK$2:$DK$18))/((SQRT(SUMSQ(Attributs!$B$2:$B$18)+SUMSQ(Attributs!$C$2:$C$18)))*(SQRT(SUMSQ(Attributs!$DJ$2:$DJ$18)+SUMSQ(Attributs!$DK$2:$DK$18)))),0)</f>
        <v/>
      </c>
      <c r="BG2" s="2">
        <f>IFERROR((SUMPRODUCT(Attributs!$B$2:$B$18,Attributs!$DL$2:$DL$18)+SUMPRODUCT(Attributs!$C$2:$C$18,Attributs!$DM$2:$DM$18))/((SQRT(SUMSQ(Attributs!$B$2:$B$18)+SUMSQ(Attributs!$C$2:$C$18)))*(SQRT(SUMSQ(Attributs!$DL$2:$DL$18)+SUMSQ(Attributs!$DM$2:$DM$18)))),0)</f>
        <v/>
      </c>
      <c r="BH2" s="2">
        <f>IFERROR((SUMPRODUCT(Attributs!$B$2:$B$18,Attributs!$DN$2:$DN$18)+SUMPRODUCT(Attributs!$C$2:$C$18,Attributs!$DO$2:$DO$18))/((SQRT(SUMSQ(Attributs!$B$2:$B$18)+SUMSQ(Attributs!$C$2:$C$18)))*(SQRT(SUMSQ(Attributs!$DN$2:$DN$18)+SUMSQ(Attributs!$DO$2:$DO$18)))),0)</f>
        <v/>
      </c>
      <c r="BI2" s="2">
        <f>IFERROR((SUMPRODUCT(Attributs!$B$2:$B$18,Attributs!$DP$2:$DP$18)+SUMPRODUCT(Attributs!$C$2:$C$18,Attributs!$DQ$2:$DQ$18))/((SQRT(SUMSQ(Attributs!$B$2:$B$18)+SUMSQ(Attributs!$C$2:$C$18)))*(SQRT(SUMSQ(Attributs!$DP$2:$DP$18)+SUMSQ(Attributs!$DQ$2:$DQ$18)))),0)</f>
        <v/>
      </c>
      <c r="BJ2" s="2">
        <f>IFERROR((SUMPRODUCT(Attributs!$B$2:$B$18,Attributs!$DR$2:$DR$18)+SUMPRODUCT(Attributs!$C$2:$C$18,Attributs!$DS$2:$DS$18))/((SQRT(SUMSQ(Attributs!$B$2:$B$18)+SUMSQ(Attributs!$C$2:$C$18)))*(SQRT(SUMSQ(Attributs!$DR$2:$DR$18)+SUMSQ(Attributs!$DS$2:$DS$18)))),0)</f>
        <v/>
      </c>
      <c r="BK2" s="2">
        <f>IFERROR((SUMPRODUCT(Attributs!$B$2:$B$18,Attributs!$DT$2:$DT$18)+SUMPRODUCT(Attributs!$C$2:$C$18,Attributs!$DU$2:$DU$18))/((SQRT(SUMSQ(Attributs!$B$2:$B$18)+SUMSQ(Attributs!$C$2:$C$18)))*(SQRT(SUMSQ(Attributs!$DT$2:$DT$18)+SUMSQ(Attributs!$DU$2:$DU$18)))),0)</f>
        <v/>
      </c>
      <c r="BL2" s="2">
        <f>IFERROR((SUMPRODUCT(Attributs!$B$2:$B$18,Attributs!$DV$2:$DV$18)+SUMPRODUCT(Attributs!$C$2:$C$18,Attributs!$DW$2:$DW$18))/((SQRT(SUMSQ(Attributs!$B$2:$B$18)+SUMSQ(Attributs!$C$2:$C$18)))*(SQRT(SUMSQ(Attributs!$DV$2:$DV$18)+SUMSQ(Attributs!$DW$2:$DW$18)))),0)</f>
        <v/>
      </c>
    </row>
    <row r="3">
      <c r="A3" s="3" t="inlineStr">
        <is>
          <t>SE_mysql.postes.PostTypeId</t>
        </is>
      </c>
      <c r="B3" s="2">
        <f>IFERROR((SUMPRODUCT(Attributs!$D$2:$D$18,Attributs!$B$2:$B$18)+SUMPRODUCT(Attributs!$E$2:$E$18,Attributs!$C$2:$C$18))/((SQRT(SUMSQ(Attributs!$D$2:$D$18)+SUMSQ(Attributs!$E$2:$E$18)))*(SQRT(SUMSQ(Attributs!$B$2:$B$18)+SUMSQ(Attributs!$C$2:$C$18)))),0)</f>
        <v/>
      </c>
      <c r="C3" s="2">
        <f>IFERROR((SUMPRODUCT(Attributs!$D$2:$D$18,Attributs!$D$2:$D$18)+SUMPRODUCT(Attributs!$E$2:$E$18,Attributs!$E$2:$E$18))/((SQRT(SUMSQ(Attributs!$D$2:$D$18)+SUMSQ(Attributs!$E$2:$E$18)))*(SQRT(SUMSQ(Attributs!$D$2:$D$18)+SUMSQ(Attributs!$E$2:$E$18)))),0)</f>
        <v/>
      </c>
      <c r="D3" s="2">
        <f>IFERROR((SUMPRODUCT(Attributs!$D$2:$D$18,Attributs!$F$2:$F$18)+SUMPRODUCT(Attributs!$E$2:$E$18,Attributs!$G$2:$G$18))/((SQRT(SUMSQ(Attributs!$D$2:$D$18)+SUMSQ(Attributs!$E$2:$E$18)))*(SQRT(SUMSQ(Attributs!$F$2:$F$18)+SUMSQ(Attributs!$G$2:$G$18)))),0)</f>
        <v/>
      </c>
      <c r="E3" s="2">
        <f>IFERROR((SUMPRODUCT(Attributs!$D$2:$D$18,Attributs!$H$2:$H$18)+SUMPRODUCT(Attributs!$E$2:$E$18,Attributs!$I$2:$I$18))/((SQRT(SUMSQ(Attributs!$D$2:$D$18)+SUMSQ(Attributs!$E$2:$E$18)))*(SQRT(SUMSQ(Attributs!$H$2:$H$18)+SUMSQ(Attributs!$I$2:$I$18)))),0)</f>
        <v/>
      </c>
      <c r="F3" s="2">
        <f>IFERROR((SUMPRODUCT(Attributs!$D$2:$D$18,Attributs!$J$2:$J$18)+SUMPRODUCT(Attributs!$E$2:$E$18,Attributs!$K$2:$K$18))/((SQRT(SUMSQ(Attributs!$D$2:$D$18)+SUMSQ(Attributs!$E$2:$E$18)))*(SQRT(SUMSQ(Attributs!$J$2:$J$18)+SUMSQ(Attributs!$K$2:$K$18)))),0)</f>
        <v/>
      </c>
      <c r="G3" s="2">
        <f>IFERROR((SUMPRODUCT(Attributs!$D$2:$D$18,Attributs!$L$2:$L$18)+SUMPRODUCT(Attributs!$E$2:$E$18,Attributs!$M$2:$M$18))/((SQRT(SUMSQ(Attributs!$D$2:$D$18)+SUMSQ(Attributs!$E$2:$E$18)))*(SQRT(SUMSQ(Attributs!$L$2:$L$18)+SUMSQ(Attributs!$M$2:$M$18)))),0)</f>
        <v/>
      </c>
      <c r="H3" s="2">
        <f>IFERROR((SUMPRODUCT(Attributs!$D$2:$D$18,Attributs!$N$2:$N$18)+SUMPRODUCT(Attributs!$E$2:$E$18,Attributs!$O$2:$O$18))/((SQRT(SUMSQ(Attributs!$D$2:$D$18)+SUMSQ(Attributs!$E$2:$E$18)))*(SQRT(SUMSQ(Attributs!$N$2:$N$18)+SUMSQ(Attributs!$O$2:$O$18)))),0)</f>
        <v/>
      </c>
      <c r="I3" s="2">
        <f>IFERROR((SUMPRODUCT(Attributs!$D$2:$D$18,Attributs!$P$2:$P$18)+SUMPRODUCT(Attributs!$E$2:$E$18,Attributs!$Q$2:$Q$18))/((SQRT(SUMSQ(Attributs!$D$2:$D$18)+SUMSQ(Attributs!$E$2:$E$18)))*(SQRT(SUMSQ(Attributs!$P$2:$P$18)+SUMSQ(Attributs!$Q$2:$Q$18)))),0)</f>
        <v/>
      </c>
      <c r="J3" s="2">
        <f>IFERROR((SUMPRODUCT(Attributs!$D$2:$D$18,Attributs!$R$2:$R$18)+SUMPRODUCT(Attributs!$E$2:$E$18,Attributs!$S$2:$S$18))/((SQRT(SUMSQ(Attributs!$D$2:$D$18)+SUMSQ(Attributs!$E$2:$E$18)))*(SQRT(SUMSQ(Attributs!$R$2:$R$18)+SUMSQ(Attributs!$S$2:$S$18)))),0)</f>
        <v/>
      </c>
      <c r="K3" s="2">
        <f>IFERROR((SUMPRODUCT(Attributs!$D$2:$D$18,Attributs!$T$2:$T$18)+SUMPRODUCT(Attributs!$E$2:$E$18,Attributs!$U$2:$U$18))/((SQRT(SUMSQ(Attributs!$D$2:$D$18)+SUMSQ(Attributs!$E$2:$E$18)))*(SQRT(SUMSQ(Attributs!$T$2:$T$18)+SUMSQ(Attributs!$U$2:$U$18)))),0)</f>
        <v/>
      </c>
      <c r="L3" s="2">
        <f>IFERROR((SUMPRODUCT(Attributs!$D$2:$D$18,Attributs!$V$2:$V$18)+SUMPRODUCT(Attributs!$E$2:$E$18,Attributs!$W$2:$W$18))/((SQRT(SUMSQ(Attributs!$D$2:$D$18)+SUMSQ(Attributs!$E$2:$E$18)))*(SQRT(SUMSQ(Attributs!$V$2:$V$18)+SUMSQ(Attributs!$W$2:$W$18)))),0)</f>
        <v/>
      </c>
      <c r="M3" s="2">
        <f>IFERROR((SUMPRODUCT(Attributs!$D$2:$D$18,Attributs!$X$2:$X$18)+SUMPRODUCT(Attributs!$E$2:$E$18,Attributs!$Y$2:$Y$18))/((SQRT(SUMSQ(Attributs!$D$2:$D$18)+SUMSQ(Attributs!$E$2:$E$18)))*(SQRT(SUMSQ(Attributs!$X$2:$X$18)+SUMSQ(Attributs!$Y$2:$Y$18)))),0)</f>
        <v/>
      </c>
      <c r="N3" s="2">
        <f>IFERROR((SUMPRODUCT(Attributs!$D$2:$D$18,Attributs!$Z$2:$Z$18)+SUMPRODUCT(Attributs!$E$2:$E$18,Attributs!$AA$2:$AA$18))/((SQRT(SUMSQ(Attributs!$D$2:$D$18)+SUMSQ(Attributs!$E$2:$E$18)))*(SQRT(SUMSQ(Attributs!$Z$2:$Z$18)+SUMSQ(Attributs!$AA$2:$AA$18)))),0)</f>
        <v/>
      </c>
      <c r="O3" s="2">
        <f>IFERROR((SUMPRODUCT(Attributs!$D$2:$D$18,Attributs!$AB$2:$AB$18)+SUMPRODUCT(Attributs!$E$2:$E$18,Attributs!$AC$2:$AC$18))/((SQRT(SUMSQ(Attributs!$D$2:$D$18)+SUMSQ(Attributs!$E$2:$E$18)))*(SQRT(SUMSQ(Attributs!$AB$2:$AB$18)+SUMSQ(Attributs!$AC$2:$AC$18)))),0)</f>
        <v/>
      </c>
      <c r="P3" s="2">
        <f>IFERROR((SUMPRODUCT(Attributs!$D$2:$D$18,Attributs!$AD$2:$AD$18)+SUMPRODUCT(Attributs!$E$2:$E$18,Attributs!$AE$2:$AE$18))/((SQRT(SUMSQ(Attributs!$D$2:$D$18)+SUMSQ(Attributs!$E$2:$E$18)))*(SQRT(SUMSQ(Attributs!$AD$2:$AD$18)+SUMSQ(Attributs!$AE$2:$AE$18)))),0)</f>
        <v/>
      </c>
      <c r="Q3" s="2">
        <f>IFERROR((SUMPRODUCT(Attributs!$D$2:$D$18,Attributs!$AF$2:$AF$18)+SUMPRODUCT(Attributs!$E$2:$E$18,Attributs!$AG$2:$AG$18))/((SQRT(SUMSQ(Attributs!$D$2:$D$18)+SUMSQ(Attributs!$E$2:$E$18)))*(SQRT(SUMSQ(Attributs!$AF$2:$AF$18)+SUMSQ(Attributs!$AG$2:$AG$18)))),0)</f>
        <v/>
      </c>
      <c r="R3" s="2">
        <f>IFERROR((SUMPRODUCT(Attributs!$D$2:$D$18,Attributs!$AH$2:$AH$18)+SUMPRODUCT(Attributs!$E$2:$E$18,Attributs!$AI$2:$AI$18))/((SQRT(SUMSQ(Attributs!$D$2:$D$18)+SUMSQ(Attributs!$E$2:$E$18)))*(SQRT(SUMSQ(Attributs!$AH$2:$AH$18)+SUMSQ(Attributs!$AI$2:$AI$18)))),0)</f>
        <v/>
      </c>
      <c r="S3" s="2">
        <f>IFERROR((SUMPRODUCT(Attributs!$D$2:$D$18,Attributs!$AJ$2:$AJ$18)+SUMPRODUCT(Attributs!$E$2:$E$18,Attributs!$AK$2:$AK$18))/((SQRT(SUMSQ(Attributs!$D$2:$D$18)+SUMSQ(Attributs!$E$2:$E$18)))*(SQRT(SUMSQ(Attributs!$AJ$2:$AJ$18)+SUMSQ(Attributs!$AK$2:$AK$18)))),0)</f>
        <v/>
      </c>
      <c r="T3" s="2">
        <f>IFERROR((SUMPRODUCT(Attributs!$D$2:$D$18,Attributs!$AL$2:$AL$18)+SUMPRODUCT(Attributs!$E$2:$E$18,Attributs!$AM$2:$AM$18))/((SQRT(SUMSQ(Attributs!$D$2:$D$18)+SUMSQ(Attributs!$E$2:$E$18)))*(SQRT(SUMSQ(Attributs!$AL$2:$AL$18)+SUMSQ(Attributs!$AM$2:$AM$18)))),0)</f>
        <v/>
      </c>
      <c r="U3" s="2">
        <f>IFERROR((SUMPRODUCT(Attributs!$D$2:$D$18,Attributs!$AN$2:$AN$18)+SUMPRODUCT(Attributs!$E$2:$E$18,Attributs!$AO$2:$AO$18))/((SQRT(SUMSQ(Attributs!$D$2:$D$18)+SUMSQ(Attributs!$E$2:$E$18)))*(SQRT(SUMSQ(Attributs!$AN$2:$AN$18)+SUMSQ(Attributs!$AO$2:$AO$18)))),0)</f>
        <v/>
      </c>
      <c r="V3" s="2">
        <f>IFERROR((SUMPRODUCT(Attributs!$D$2:$D$18,Attributs!$AP$2:$AP$18)+SUMPRODUCT(Attributs!$E$2:$E$18,Attributs!$AQ$2:$AQ$18))/((SQRT(SUMSQ(Attributs!$D$2:$D$18)+SUMSQ(Attributs!$E$2:$E$18)))*(SQRT(SUMSQ(Attributs!$AP$2:$AP$18)+SUMSQ(Attributs!$AQ$2:$AQ$18)))),0)</f>
        <v/>
      </c>
      <c r="W3" s="2">
        <f>IFERROR((SUMPRODUCT(Attributs!$D$2:$D$18,Attributs!$AR$2:$AR$18)+SUMPRODUCT(Attributs!$E$2:$E$18,Attributs!$AS$2:$AS$18))/((SQRT(SUMSQ(Attributs!$D$2:$D$18)+SUMSQ(Attributs!$E$2:$E$18)))*(SQRT(SUMSQ(Attributs!$AR$2:$AR$18)+SUMSQ(Attributs!$AS$2:$AS$18)))),0)</f>
        <v/>
      </c>
      <c r="X3" s="2">
        <f>IFERROR((SUMPRODUCT(Attributs!$D$2:$D$18,Attributs!$AT$2:$AT$18)+SUMPRODUCT(Attributs!$E$2:$E$18,Attributs!$AU$2:$AU$18))/((SQRT(SUMSQ(Attributs!$D$2:$D$18)+SUMSQ(Attributs!$E$2:$E$18)))*(SQRT(SUMSQ(Attributs!$AT$2:$AT$18)+SUMSQ(Attributs!$AU$2:$AU$18)))),0)</f>
        <v/>
      </c>
      <c r="Y3" s="2">
        <f>IFERROR((SUMPRODUCT(Attributs!$D$2:$D$18,Attributs!$AV$2:$AV$18)+SUMPRODUCT(Attributs!$E$2:$E$18,Attributs!$AW$2:$AW$18))/((SQRT(SUMSQ(Attributs!$D$2:$D$18)+SUMSQ(Attributs!$E$2:$E$18)))*(SQRT(SUMSQ(Attributs!$AV$2:$AV$18)+SUMSQ(Attributs!$AW$2:$AW$18)))),0)</f>
        <v/>
      </c>
      <c r="Z3" s="2">
        <f>IFERROR((SUMPRODUCT(Attributs!$D$2:$D$18,Attributs!$AX$2:$AX$18)+SUMPRODUCT(Attributs!$E$2:$E$18,Attributs!$AY$2:$AY$18))/((SQRT(SUMSQ(Attributs!$D$2:$D$18)+SUMSQ(Attributs!$E$2:$E$18)))*(SQRT(SUMSQ(Attributs!$AX$2:$AX$18)+SUMSQ(Attributs!$AY$2:$AY$18)))),0)</f>
        <v/>
      </c>
      <c r="AA3" s="2">
        <f>IFERROR((SUMPRODUCT(Attributs!$D$2:$D$18,Attributs!$AZ$2:$AZ$18)+SUMPRODUCT(Attributs!$E$2:$E$18,Attributs!$BA$2:$BA$18))/((SQRT(SUMSQ(Attributs!$D$2:$D$18)+SUMSQ(Attributs!$E$2:$E$18)))*(SQRT(SUMSQ(Attributs!$AZ$2:$AZ$18)+SUMSQ(Attributs!$BA$2:$BA$18)))),0)</f>
        <v/>
      </c>
      <c r="AB3" s="2">
        <f>IFERROR((SUMPRODUCT(Attributs!$D$2:$D$18,Attributs!$BB$2:$BB$18)+SUMPRODUCT(Attributs!$E$2:$E$18,Attributs!$BC$2:$BC$18))/((SQRT(SUMSQ(Attributs!$D$2:$D$18)+SUMSQ(Attributs!$E$2:$E$18)))*(SQRT(SUMSQ(Attributs!$BB$2:$BB$18)+SUMSQ(Attributs!$BC$2:$BC$18)))),0)</f>
        <v/>
      </c>
      <c r="AC3" s="2">
        <f>IFERROR((SUMPRODUCT(Attributs!$D$2:$D$18,Attributs!$BD$2:$BD$18)+SUMPRODUCT(Attributs!$E$2:$E$18,Attributs!$BE$2:$BE$18))/((SQRT(SUMSQ(Attributs!$D$2:$D$18)+SUMSQ(Attributs!$E$2:$E$18)))*(SQRT(SUMSQ(Attributs!$BD$2:$BD$18)+SUMSQ(Attributs!$BE$2:$BE$18)))),0)</f>
        <v/>
      </c>
      <c r="AD3" s="2">
        <f>IFERROR((SUMPRODUCT(Attributs!$D$2:$D$18,Attributs!$BF$2:$BF$18)+SUMPRODUCT(Attributs!$E$2:$E$18,Attributs!$BG$2:$BG$18))/((SQRT(SUMSQ(Attributs!$D$2:$D$18)+SUMSQ(Attributs!$E$2:$E$18)))*(SQRT(SUMSQ(Attributs!$BF$2:$BF$18)+SUMSQ(Attributs!$BG$2:$BG$18)))),0)</f>
        <v/>
      </c>
      <c r="AE3" s="2">
        <f>IFERROR((SUMPRODUCT(Attributs!$D$2:$D$18,Attributs!$BH$2:$BH$18)+SUMPRODUCT(Attributs!$E$2:$E$18,Attributs!$BI$2:$BI$18))/((SQRT(SUMSQ(Attributs!$D$2:$D$18)+SUMSQ(Attributs!$E$2:$E$18)))*(SQRT(SUMSQ(Attributs!$BH$2:$BH$18)+SUMSQ(Attributs!$BI$2:$BI$18)))),0)</f>
        <v/>
      </c>
      <c r="AF3" s="2">
        <f>IFERROR((SUMPRODUCT(Attributs!$D$2:$D$18,Attributs!$BJ$2:$BJ$18)+SUMPRODUCT(Attributs!$E$2:$E$18,Attributs!$BK$2:$BK$18))/((SQRT(SUMSQ(Attributs!$D$2:$D$18)+SUMSQ(Attributs!$E$2:$E$18)))*(SQRT(SUMSQ(Attributs!$BJ$2:$BJ$18)+SUMSQ(Attributs!$BK$2:$BK$18)))),0)</f>
        <v/>
      </c>
      <c r="AG3" s="2">
        <f>IFERROR((SUMPRODUCT(Attributs!$D$2:$D$18,Attributs!$BL$2:$BL$18)+SUMPRODUCT(Attributs!$E$2:$E$18,Attributs!$BM$2:$BM$18))/((SQRT(SUMSQ(Attributs!$D$2:$D$18)+SUMSQ(Attributs!$E$2:$E$18)))*(SQRT(SUMSQ(Attributs!$BL$2:$BL$18)+SUMSQ(Attributs!$BM$2:$BM$18)))),0)</f>
        <v/>
      </c>
      <c r="AH3" s="2">
        <f>IFERROR((SUMPRODUCT(Attributs!$D$2:$D$18,Attributs!$BN$2:$BN$18)+SUMPRODUCT(Attributs!$E$2:$E$18,Attributs!$BO$2:$BO$18))/((SQRT(SUMSQ(Attributs!$D$2:$D$18)+SUMSQ(Attributs!$E$2:$E$18)))*(SQRT(SUMSQ(Attributs!$BN$2:$BN$18)+SUMSQ(Attributs!$BO$2:$BO$18)))),0)</f>
        <v/>
      </c>
      <c r="AI3" s="2">
        <f>IFERROR((SUMPRODUCT(Attributs!$D$2:$D$18,Attributs!$BP$2:$BP$18)+SUMPRODUCT(Attributs!$E$2:$E$18,Attributs!$BQ$2:$BQ$18))/((SQRT(SUMSQ(Attributs!$D$2:$D$18)+SUMSQ(Attributs!$E$2:$E$18)))*(SQRT(SUMSQ(Attributs!$BP$2:$BP$18)+SUMSQ(Attributs!$BQ$2:$BQ$18)))),0)</f>
        <v/>
      </c>
      <c r="AJ3" s="2">
        <f>IFERROR((SUMPRODUCT(Attributs!$D$2:$D$18,Attributs!$BR$2:$BR$18)+SUMPRODUCT(Attributs!$E$2:$E$18,Attributs!$BS$2:$BS$18))/((SQRT(SUMSQ(Attributs!$D$2:$D$18)+SUMSQ(Attributs!$E$2:$E$18)))*(SQRT(SUMSQ(Attributs!$BR$2:$BR$18)+SUMSQ(Attributs!$BS$2:$BS$18)))),0)</f>
        <v/>
      </c>
      <c r="AK3" s="2">
        <f>IFERROR((SUMPRODUCT(Attributs!$D$2:$D$18,Attributs!$BT$2:$BT$18)+SUMPRODUCT(Attributs!$E$2:$E$18,Attributs!$BU$2:$BU$18))/((SQRT(SUMSQ(Attributs!$D$2:$D$18)+SUMSQ(Attributs!$E$2:$E$18)))*(SQRT(SUMSQ(Attributs!$BT$2:$BT$18)+SUMSQ(Attributs!$BU$2:$BU$18)))),0)</f>
        <v/>
      </c>
      <c r="AL3" s="2">
        <f>IFERROR((SUMPRODUCT(Attributs!$D$2:$D$18,Attributs!$BV$2:$BV$18)+SUMPRODUCT(Attributs!$E$2:$E$18,Attributs!$BW$2:$BW$18))/((SQRT(SUMSQ(Attributs!$D$2:$D$18)+SUMSQ(Attributs!$E$2:$E$18)))*(SQRT(SUMSQ(Attributs!$BV$2:$BV$18)+SUMSQ(Attributs!$BW$2:$BW$18)))),0)</f>
        <v/>
      </c>
      <c r="AM3" s="2">
        <f>IFERROR((SUMPRODUCT(Attributs!$D$2:$D$18,Attributs!$BX$2:$BX$18)+SUMPRODUCT(Attributs!$E$2:$E$18,Attributs!$BY$2:$BY$18))/((SQRT(SUMSQ(Attributs!$D$2:$D$18)+SUMSQ(Attributs!$E$2:$E$18)))*(SQRT(SUMSQ(Attributs!$BX$2:$BX$18)+SUMSQ(Attributs!$BY$2:$BY$18)))),0)</f>
        <v/>
      </c>
      <c r="AN3" s="2">
        <f>IFERROR((SUMPRODUCT(Attributs!$D$2:$D$18,Attributs!$BZ$2:$BZ$18)+SUMPRODUCT(Attributs!$E$2:$E$18,Attributs!$CA$2:$CA$18))/((SQRT(SUMSQ(Attributs!$D$2:$D$18)+SUMSQ(Attributs!$E$2:$E$18)))*(SQRT(SUMSQ(Attributs!$BZ$2:$BZ$18)+SUMSQ(Attributs!$CA$2:$CA$18)))),0)</f>
        <v/>
      </c>
      <c r="AO3" s="2">
        <f>IFERROR((SUMPRODUCT(Attributs!$D$2:$D$18,Attributs!$CB$2:$CB$18)+SUMPRODUCT(Attributs!$E$2:$E$18,Attributs!$CC$2:$CC$18))/((SQRT(SUMSQ(Attributs!$D$2:$D$18)+SUMSQ(Attributs!$E$2:$E$18)))*(SQRT(SUMSQ(Attributs!$CB$2:$CB$18)+SUMSQ(Attributs!$CC$2:$CC$18)))),0)</f>
        <v/>
      </c>
      <c r="AP3" s="2">
        <f>IFERROR((SUMPRODUCT(Attributs!$D$2:$D$18,Attributs!$CD$2:$CD$18)+SUMPRODUCT(Attributs!$E$2:$E$18,Attributs!$CE$2:$CE$18))/((SQRT(SUMSQ(Attributs!$D$2:$D$18)+SUMSQ(Attributs!$E$2:$E$18)))*(SQRT(SUMSQ(Attributs!$CD$2:$CD$18)+SUMSQ(Attributs!$CE$2:$CE$18)))),0)</f>
        <v/>
      </c>
      <c r="AQ3" s="2">
        <f>IFERROR((SUMPRODUCT(Attributs!$D$2:$D$18,Attributs!$CF$2:$CF$18)+SUMPRODUCT(Attributs!$E$2:$E$18,Attributs!$CG$2:$CG$18))/((SQRT(SUMSQ(Attributs!$D$2:$D$18)+SUMSQ(Attributs!$E$2:$E$18)))*(SQRT(SUMSQ(Attributs!$CF$2:$CF$18)+SUMSQ(Attributs!$CG$2:$CG$18)))),0)</f>
        <v/>
      </c>
      <c r="AR3" s="2">
        <f>IFERROR((SUMPRODUCT(Attributs!$D$2:$D$18,Attributs!$CH$2:$CH$18)+SUMPRODUCT(Attributs!$E$2:$E$18,Attributs!$CI$2:$CI$18))/((SQRT(SUMSQ(Attributs!$D$2:$D$18)+SUMSQ(Attributs!$E$2:$E$18)))*(SQRT(SUMSQ(Attributs!$CH$2:$CH$18)+SUMSQ(Attributs!$CI$2:$CI$18)))),0)</f>
        <v/>
      </c>
      <c r="AS3" s="2">
        <f>IFERROR((SUMPRODUCT(Attributs!$D$2:$D$18,Attributs!$CJ$2:$CJ$18)+SUMPRODUCT(Attributs!$E$2:$E$18,Attributs!$CK$2:$CK$18))/((SQRT(SUMSQ(Attributs!$D$2:$D$18)+SUMSQ(Attributs!$E$2:$E$18)))*(SQRT(SUMSQ(Attributs!$CJ$2:$CJ$18)+SUMSQ(Attributs!$CK$2:$CK$18)))),0)</f>
        <v/>
      </c>
      <c r="AT3" s="2">
        <f>IFERROR((SUMPRODUCT(Attributs!$D$2:$D$18,Attributs!$CL$2:$CL$18)+SUMPRODUCT(Attributs!$E$2:$E$18,Attributs!$CM$2:$CM$18))/((SQRT(SUMSQ(Attributs!$D$2:$D$18)+SUMSQ(Attributs!$E$2:$E$18)))*(SQRT(SUMSQ(Attributs!$CL$2:$CL$18)+SUMSQ(Attributs!$CM$2:$CM$18)))),0)</f>
        <v/>
      </c>
      <c r="AU3" s="2">
        <f>IFERROR((SUMPRODUCT(Attributs!$D$2:$D$18,Attributs!$CN$2:$CN$18)+SUMPRODUCT(Attributs!$E$2:$E$18,Attributs!$CO$2:$CO$18))/((SQRT(SUMSQ(Attributs!$D$2:$D$18)+SUMSQ(Attributs!$E$2:$E$18)))*(SQRT(SUMSQ(Attributs!$CN$2:$CN$18)+SUMSQ(Attributs!$CO$2:$CO$18)))),0)</f>
        <v/>
      </c>
      <c r="AV3" s="2">
        <f>IFERROR((SUMPRODUCT(Attributs!$D$2:$D$18,Attributs!$CP$2:$CP$18)+SUMPRODUCT(Attributs!$E$2:$E$18,Attributs!$CQ$2:$CQ$18))/((SQRT(SUMSQ(Attributs!$D$2:$D$18)+SUMSQ(Attributs!$E$2:$E$18)))*(SQRT(SUMSQ(Attributs!$CP$2:$CP$18)+SUMSQ(Attributs!$CQ$2:$CQ$18)))),0)</f>
        <v/>
      </c>
      <c r="AW3" s="2">
        <f>IFERROR((SUMPRODUCT(Attributs!$D$2:$D$18,Attributs!$CR$2:$CR$18)+SUMPRODUCT(Attributs!$E$2:$E$18,Attributs!$CS$2:$CS$18))/((SQRT(SUMSQ(Attributs!$D$2:$D$18)+SUMSQ(Attributs!$E$2:$E$18)))*(SQRT(SUMSQ(Attributs!$CR$2:$CR$18)+SUMSQ(Attributs!$CS$2:$CS$18)))),0)</f>
        <v/>
      </c>
      <c r="AX3" s="2">
        <f>IFERROR((SUMPRODUCT(Attributs!$D$2:$D$18,Attributs!$CT$2:$CT$18)+SUMPRODUCT(Attributs!$E$2:$E$18,Attributs!$CU$2:$CU$18))/((SQRT(SUMSQ(Attributs!$D$2:$D$18)+SUMSQ(Attributs!$E$2:$E$18)))*(SQRT(SUMSQ(Attributs!$CT$2:$CT$18)+SUMSQ(Attributs!$CU$2:$CU$18)))),0)</f>
        <v/>
      </c>
      <c r="AY3" s="2">
        <f>IFERROR((SUMPRODUCT(Attributs!$D$2:$D$18,Attributs!$CV$2:$CV$18)+SUMPRODUCT(Attributs!$E$2:$E$18,Attributs!$CW$2:$CW$18))/((SQRT(SUMSQ(Attributs!$D$2:$D$18)+SUMSQ(Attributs!$E$2:$E$18)))*(SQRT(SUMSQ(Attributs!$CV$2:$CV$18)+SUMSQ(Attributs!$CW$2:$CW$18)))),0)</f>
        <v/>
      </c>
      <c r="AZ3" s="2">
        <f>IFERROR((SUMPRODUCT(Attributs!$D$2:$D$18,Attributs!$CX$2:$CX$18)+SUMPRODUCT(Attributs!$E$2:$E$18,Attributs!$CY$2:$CY$18))/((SQRT(SUMSQ(Attributs!$D$2:$D$18)+SUMSQ(Attributs!$E$2:$E$18)))*(SQRT(SUMSQ(Attributs!$CX$2:$CX$18)+SUMSQ(Attributs!$CY$2:$CY$18)))),0)</f>
        <v/>
      </c>
      <c r="BA3" s="2">
        <f>IFERROR((SUMPRODUCT(Attributs!$D$2:$D$18,Attributs!$CZ$2:$CZ$18)+SUMPRODUCT(Attributs!$E$2:$E$18,Attributs!$DA$2:$DA$18))/((SQRT(SUMSQ(Attributs!$D$2:$D$18)+SUMSQ(Attributs!$E$2:$E$18)))*(SQRT(SUMSQ(Attributs!$CZ$2:$CZ$18)+SUMSQ(Attributs!$DA$2:$DA$18)))),0)</f>
        <v/>
      </c>
      <c r="BB3" s="2">
        <f>IFERROR((SUMPRODUCT(Attributs!$D$2:$D$18,Attributs!$DB$2:$DB$18)+SUMPRODUCT(Attributs!$E$2:$E$18,Attributs!$DC$2:$DC$18))/((SQRT(SUMSQ(Attributs!$D$2:$D$18)+SUMSQ(Attributs!$E$2:$E$18)))*(SQRT(SUMSQ(Attributs!$DB$2:$DB$18)+SUMSQ(Attributs!$DC$2:$DC$18)))),0)</f>
        <v/>
      </c>
      <c r="BC3" s="2">
        <f>IFERROR((SUMPRODUCT(Attributs!$D$2:$D$18,Attributs!$DD$2:$DD$18)+SUMPRODUCT(Attributs!$E$2:$E$18,Attributs!$DE$2:$DE$18))/((SQRT(SUMSQ(Attributs!$D$2:$D$18)+SUMSQ(Attributs!$E$2:$E$18)))*(SQRT(SUMSQ(Attributs!$DD$2:$DD$18)+SUMSQ(Attributs!$DE$2:$DE$18)))),0)</f>
        <v/>
      </c>
      <c r="BD3" s="2">
        <f>IFERROR((SUMPRODUCT(Attributs!$D$2:$D$18,Attributs!$DF$2:$DF$18)+SUMPRODUCT(Attributs!$E$2:$E$18,Attributs!$DG$2:$DG$18))/((SQRT(SUMSQ(Attributs!$D$2:$D$18)+SUMSQ(Attributs!$E$2:$E$18)))*(SQRT(SUMSQ(Attributs!$DF$2:$DF$18)+SUMSQ(Attributs!$DG$2:$DG$18)))),0)</f>
        <v/>
      </c>
      <c r="BE3" s="2">
        <f>IFERROR((SUMPRODUCT(Attributs!$D$2:$D$18,Attributs!$DH$2:$DH$18)+SUMPRODUCT(Attributs!$E$2:$E$18,Attributs!$DI$2:$DI$18))/((SQRT(SUMSQ(Attributs!$D$2:$D$18)+SUMSQ(Attributs!$E$2:$E$18)))*(SQRT(SUMSQ(Attributs!$DH$2:$DH$18)+SUMSQ(Attributs!$DI$2:$DI$18)))),0)</f>
        <v/>
      </c>
      <c r="BF3" s="2">
        <f>IFERROR((SUMPRODUCT(Attributs!$D$2:$D$18,Attributs!$DJ$2:$DJ$18)+SUMPRODUCT(Attributs!$E$2:$E$18,Attributs!$DK$2:$DK$18))/((SQRT(SUMSQ(Attributs!$D$2:$D$18)+SUMSQ(Attributs!$E$2:$E$18)))*(SQRT(SUMSQ(Attributs!$DJ$2:$DJ$18)+SUMSQ(Attributs!$DK$2:$DK$18)))),0)</f>
        <v/>
      </c>
      <c r="BG3" s="2">
        <f>IFERROR((SUMPRODUCT(Attributs!$D$2:$D$18,Attributs!$DL$2:$DL$18)+SUMPRODUCT(Attributs!$E$2:$E$18,Attributs!$DM$2:$DM$18))/((SQRT(SUMSQ(Attributs!$D$2:$D$18)+SUMSQ(Attributs!$E$2:$E$18)))*(SQRT(SUMSQ(Attributs!$DL$2:$DL$18)+SUMSQ(Attributs!$DM$2:$DM$18)))),0)</f>
        <v/>
      </c>
      <c r="BH3" s="2">
        <f>IFERROR((SUMPRODUCT(Attributs!$D$2:$D$18,Attributs!$DN$2:$DN$18)+SUMPRODUCT(Attributs!$E$2:$E$18,Attributs!$DO$2:$DO$18))/((SQRT(SUMSQ(Attributs!$D$2:$D$18)+SUMSQ(Attributs!$E$2:$E$18)))*(SQRT(SUMSQ(Attributs!$DN$2:$DN$18)+SUMSQ(Attributs!$DO$2:$DO$18)))),0)</f>
        <v/>
      </c>
      <c r="BI3" s="2">
        <f>IFERROR((SUMPRODUCT(Attributs!$D$2:$D$18,Attributs!$DP$2:$DP$18)+SUMPRODUCT(Attributs!$E$2:$E$18,Attributs!$DQ$2:$DQ$18))/((SQRT(SUMSQ(Attributs!$D$2:$D$18)+SUMSQ(Attributs!$E$2:$E$18)))*(SQRT(SUMSQ(Attributs!$DP$2:$DP$18)+SUMSQ(Attributs!$DQ$2:$DQ$18)))),0)</f>
        <v/>
      </c>
      <c r="BJ3" s="2">
        <f>IFERROR((SUMPRODUCT(Attributs!$D$2:$D$18,Attributs!$DR$2:$DR$18)+SUMPRODUCT(Attributs!$E$2:$E$18,Attributs!$DS$2:$DS$18))/((SQRT(SUMSQ(Attributs!$D$2:$D$18)+SUMSQ(Attributs!$E$2:$E$18)))*(SQRT(SUMSQ(Attributs!$DR$2:$DR$18)+SUMSQ(Attributs!$DS$2:$DS$18)))),0)</f>
        <v/>
      </c>
      <c r="BK3" s="2">
        <f>IFERROR((SUMPRODUCT(Attributs!$D$2:$D$18,Attributs!$DT$2:$DT$18)+SUMPRODUCT(Attributs!$E$2:$E$18,Attributs!$DU$2:$DU$18))/((SQRT(SUMSQ(Attributs!$D$2:$D$18)+SUMSQ(Attributs!$E$2:$E$18)))*(SQRT(SUMSQ(Attributs!$DT$2:$DT$18)+SUMSQ(Attributs!$DU$2:$DU$18)))),0)</f>
        <v/>
      </c>
      <c r="BL3" s="2">
        <f>IFERROR((SUMPRODUCT(Attributs!$D$2:$D$18,Attributs!$DV$2:$DV$18)+SUMPRODUCT(Attributs!$E$2:$E$18,Attributs!$DW$2:$DW$18))/((SQRT(SUMSQ(Attributs!$D$2:$D$18)+SUMSQ(Attributs!$E$2:$E$18)))*(SQRT(SUMSQ(Attributs!$DV$2:$DV$18)+SUMSQ(Attributs!$DW$2:$DW$18)))),0)</f>
        <v/>
      </c>
    </row>
    <row r="4">
      <c r="A4" s="3" t="inlineStr">
        <is>
          <t>SE_mysql.postes.Title</t>
        </is>
      </c>
      <c r="B4" s="2">
        <f>IFERROR((SUMPRODUCT(Attributs!$F$2:$F$18,Attributs!$B$2:$B$18)+SUMPRODUCT(Attributs!$G$2:$G$18,Attributs!$C$2:$C$18))/((SQRT(SUMSQ(Attributs!$F$2:$F$18)+SUMSQ(Attributs!$G$2:$G$18)))*(SQRT(SUMSQ(Attributs!$B$2:$B$18)+SUMSQ(Attributs!$C$2:$C$18)))),0)</f>
        <v/>
      </c>
      <c r="C4" s="2">
        <f>IFERROR((SUMPRODUCT(Attributs!$F$2:$F$18,Attributs!$D$2:$D$18)+SUMPRODUCT(Attributs!$G$2:$G$18,Attributs!$E$2:$E$18))/((SQRT(SUMSQ(Attributs!$F$2:$F$18)+SUMSQ(Attributs!$G$2:$G$18)))*(SQRT(SUMSQ(Attributs!$D$2:$D$18)+SUMSQ(Attributs!$E$2:$E$18)))),0)</f>
        <v/>
      </c>
      <c r="D4" s="2">
        <f>IFERROR((SUMPRODUCT(Attributs!$F$2:$F$18,Attributs!$F$2:$F$18)+SUMPRODUCT(Attributs!$G$2:$G$18,Attributs!$G$2:$G$18))/((SQRT(SUMSQ(Attributs!$F$2:$F$18)+SUMSQ(Attributs!$G$2:$G$18)))*(SQRT(SUMSQ(Attributs!$F$2:$F$18)+SUMSQ(Attributs!$G$2:$G$18)))),0)</f>
        <v/>
      </c>
      <c r="E4" s="2">
        <f>IFERROR((SUMPRODUCT(Attributs!$F$2:$F$18,Attributs!$H$2:$H$18)+SUMPRODUCT(Attributs!$G$2:$G$18,Attributs!$I$2:$I$18))/((SQRT(SUMSQ(Attributs!$F$2:$F$18)+SUMSQ(Attributs!$G$2:$G$18)))*(SQRT(SUMSQ(Attributs!$H$2:$H$18)+SUMSQ(Attributs!$I$2:$I$18)))),0)</f>
        <v/>
      </c>
      <c r="F4" s="2">
        <f>IFERROR((SUMPRODUCT(Attributs!$F$2:$F$18,Attributs!$J$2:$J$18)+SUMPRODUCT(Attributs!$G$2:$G$18,Attributs!$K$2:$K$18))/((SQRT(SUMSQ(Attributs!$F$2:$F$18)+SUMSQ(Attributs!$G$2:$G$18)))*(SQRT(SUMSQ(Attributs!$J$2:$J$18)+SUMSQ(Attributs!$K$2:$K$18)))),0)</f>
        <v/>
      </c>
      <c r="G4" s="2">
        <f>IFERROR((SUMPRODUCT(Attributs!$F$2:$F$18,Attributs!$L$2:$L$18)+SUMPRODUCT(Attributs!$G$2:$G$18,Attributs!$M$2:$M$18))/((SQRT(SUMSQ(Attributs!$F$2:$F$18)+SUMSQ(Attributs!$G$2:$G$18)))*(SQRT(SUMSQ(Attributs!$L$2:$L$18)+SUMSQ(Attributs!$M$2:$M$18)))),0)</f>
        <v/>
      </c>
      <c r="H4" s="2">
        <f>IFERROR((SUMPRODUCT(Attributs!$F$2:$F$18,Attributs!$N$2:$N$18)+SUMPRODUCT(Attributs!$G$2:$G$18,Attributs!$O$2:$O$18))/((SQRT(SUMSQ(Attributs!$F$2:$F$18)+SUMSQ(Attributs!$G$2:$G$18)))*(SQRT(SUMSQ(Attributs!$N$2:$N$18)+SUMSQ(Attributs!$O$2:$O$18)))),0)</f>
        <v/>
      </c>
      <c r="I4" s="2">
        <f>IFERROR((SUMPRODUCT(Attributs!$F$2:$F$18,Attributs!$P$2:$P$18)+SUMPRODUCT(Attributs!$G$2:$G$18,Attributs!$Q$2:$Q$18))/((SQRT(SUMSQ(Attributs!$F$2:$F$18)+SUMSQ(Attributs!$G$2:$G$18)))*(SQRT(SUMSQ(Attributs!$P$2:$P$18)+SUMSQ(Attributs!$Q$2:$Q$18)))),0)</f>
        <v/>
      </c>
      <c r="J4" s="2">
        <f>IFERROR((SUMPRODUCT(Attributs!$F$2:$F$18,Attributs!$R$2:$R$18)+SUMPRODUCT(Attributs!$G$2:$G$18,Attributs!$S$2:$S$18))/((SQRT(SUMSQ(Attributs!$F$2:$F$18)+SUMSQ(Attributs!$G$2:$G$18)))*(SQRT(SUMSQ(Attributs!$R$2:$R$18)+SUMSQ(Attributs!$S$2:$S$18)))),0)</f>
        <v/>
      </c>
      <c r="K4" s="2">
        <f>IFERROR((SUMPRODUCT(Attributs!$F$2:$F$18,Attributs!$T$2:$T$18)+SUMPRODUCT(Attributs!$G$2:$G$18,Attributs!$U$2:$U$18))/((SQRT(SUMSQ(Attributs!$F$2:$F$18)+SUMSQ(Attributs!$G$2:$G$18)))*(SQRT(SUMSQ(Attributs!$T$2:$T$18)+SUMSQ(Attributs!$U$2:$U$18)))),0)</f>
        <v/>
      </c>
      <c r="L4" s="2">
        <f>IFERROR((SUMPRODUCT(Attributs!$F$2:$F$18,Attributs!$V$2:$V$18)+SUMPRODUCT(Attributs!$G$2:$G$18,Attributs!$W$2:$W$18))/((SQRT(SUMSQ(Attributs!$F$2:$F$18)+SUMSQ(Attributs!$G$2:$G$18)))*(SQRT(SUMSQ(Attributs!$V$2:$V$18)+SUMSQ(Attributs!$W$2:$W$18)))),0)</f>
        <v/>
      </c>
      <c r="M4" s="2">
        <f>IFERROR((SUMPRODUCT(Attributs!$F$2:$F$18,Attributs!$X$2:$X$18)+SUMPRODUCT(Attributs!$G$2:$G$18,Attributs!$Y$2:$Y$18))/((SQRT(SUMSQ(Attributs!$F$2:$F$18)+SUMSQ(Attributs!$G$2:$G$18)))*(SQRT(SUMSQ(Attributs!$X$2:$X$18)+SUMSQ(Attributs!$Y$2:$Y$18)))),0)</f>
        <v/>
      </c>
      <c r="N4" s="2">
        <f>IFERROR((SUMPRODUCT(Attributs!$F$2:$F$18,Attributs!$Z$2:$Z$18)+SUMPRODUCT(Attributs!$G$2:$G$18,Attributs!$AA$2:$AA$18))/((SQRT(SUMSQ(Attributs!$F$2:$F$18)+SUMSQ(Attributs!$G$2:$G$18)))*(SQRT(SUMSQ(Attributs!$Z$2:$Z$18)+SUMSQ(Attributs!$AA$2:$AA$18)))),0)</f>
        <v/>
      </c>
      <c r="O4" s="2">
        <f>IFERROR((SUMPRODUCT(Attributs!$F$2:$F$18,Attributs!$AB$2:$AB$18)+SUMPRODUCT(Attributs!$G$2:$G$18,Attributs!$AC$2:$AC$18))/((SQRT(SUMSQ(Attributs!$F$2:$F$18)+SUMSQ(Attributs!$G$2:$G$18)))*(SQRT(SUMSQ(Attributs!$AB$2:$AB$18)+SUMSQ(Attributs!$AC$2:$AC$18)))),0)</f>
        <v/>
      </c>
      <c r="P4" s="2">
        <f>IFERROR((SUMPRODUCT(Attributs!$F$2:$F$18,Attributs!$AD$2:$AD$18)+SUMPRODUCT(Attributs!$G$2:$G$18,Attributs!$AE$2:$AE$18))/((SQRT(SUMSQ(Attributs!$F$2:$F$18)+SUMSQ(Attributs!$G$2:$G$18)))*(SQRT(SUMSQ(Attributs!$AD$2:$AD$18)+SUMSQ(Attributs!$AE$2:$AE$18)))),0)</f>
        <v/>
      </c>
      <c r="Q4" s="2">
        <f>IFERROR((SUMPRODUCT(Attributs!$F$2:$F$18,Attributs!$AF$2:$AF$18)+SUMPRODUCT(Attributs!$G$2:$G$18,Attributs!$AG$2:$AG$18))/((SQRT(SUMSQ(Attributs!$F$2:$F$18)+SUMSQ(Attributs!$G$2:$G$18)))*(SQRT(SUMSQ(Attributs!$AF$2:$AF$18)+SUMSQ(Attributs!$AG$2:$AG$18)))),0)</f>
        <v/>
      </c>
      <c r="R4" s="2">
        <f>IFERROR((SUMPRODUCT(Attributs!$F$2:$F$18,Attributs!$AH$2:$AH$18)+SUMPRODUCT(Attributs!$G$2:$G$18,Attributs!$AI$2:$AI$18))/((SQRT(SUMSQ(Attributs!$F$2:$F$18)+SUMSQ(Attributs!$G$2:$G$18)))*(SQRT(SUMSQ(Attributs!$AH$2:$AH$18)+SUMSQ(Attributs!$AI$2:$AI$18)))),0)</f>
        <v/>
      </c>
      <c r="S4" s="2">
        <f>IFERROR((SUMPRODUCT(Attributs!$F$2:$F$18,Attributs!$AJ$2:$AJ$18)+SUMPRODUCT(Attributs!$G$2:$G$18,Attributs!$AK$2:$AK$18))/((SQRT(SUMSQ(Attributs!$F$2:$F$18)+SUMSQ(Attributs!$G$2:$G$18)))*(SQRT(SUMSQ(Attributs!$AJ$2:$AJ$18)+SUMSQ(Attributs!$AK$2:$AK$18)))),0)</f>
        <v/>
      </c>
      <c r="T4" s="2">
        <f>IFERROR((SUMPRODUCT(Attributs!$F$2:$F$18,Attributs!$AL$2:$AL$18)+SUMPRODUCT(Attributs!$G$2:$G$18,Attributs!$AM$2:$AM$18))/((SQRT(SUMSQ(Attributs!$F$2:$F$18)+SUMSQ(Attributs!$G$2:$G$18)))*(SQRT(SUMSQ(Attributs!$AL$2:$AL$18)+SUMSQ(Attributs!$AM$2:$AM$18)))),0)</f>
        <v/>
      </c>
      <c r="U4" s="2">
        <f>IFERROR((SUMPRODUCT(Attributs!$F$2:$F$18,Attributs!$AN$2:$AN$18)+SUMPRODUCT(Attributs!$G$2:$G$18,Attributs!$AO$2:$AO$18))/((SQRT(SUMSQ(Attributs!$F$2:$F$18)+SUMSQ(Attributs!$G$2:$G$18)))*(SQRT(SUMSQ(Attributs!$AN$2:$AN$18)+SUMSQ(Attributs!$AO$2:$AO$18)))),0)</f>
        <v/>
      </c>
      <c r="V4" s="2">
        <f>IFERROR((SUMPRODUCT(Attributs!$F$2:$F$18,Attributs!$AP$2:$AP$18)+SUMPRODUCT(Attributs!$G$2:$G$18,Attributs!$AQ$2:$AQ$18))/((SQRT(SUMSQ(Attributs!$F$2:$F$18)+SUMSQ(Attributs!$G$2:$G$18)))*(SQRT(SUMSQ(Attributs!$AP$2:$AP$18)+SUMSQ(Attributs!$AQ$2:$AQ$18)))),0)</f>
        <v/>
      </c>
      <c r="W4" s="2">
        <f>IFERROR((SUMPRODUCT(Attributs!$F$2:$F$18,Attributs!$AR$2:$AR$18)+SUMPRODUCT(Attributs!$G$2:$G$18,Attributs!$AS$2:$AS$18))/((SQRT(SUMSQ(Attributs!$F$2:$F$18)+SUMSQ(Attributs!$G$2:$G$18)))*(SQRT(SUMSQ(Attributs!$AR$2:$AR$18)+SUMSQ(Attributs!$AS$2:$AS$18)))),0)</f>
        <v/>
      </c>
      <c r="X4" s="2">
        <f>IFERROR((SUMPRODUCT(Attributs!$F$2:$F$18,Attributs!$AT$2:$AT$18)+SUMPRODUCT(Attributs!$G$2:$G$18,Attributs!$AU$2:$AU$18))/((SQRT(SUMSQ(Attributs!$F$2:$F$18)+SUMSQ(Attributs!$G$2:$G$18)))*(SQRT(SUMSQ(Attributs!$AT$2:$AT$18)+SUMSQ(Attributs!$AU$2:$AU$18)))),0)</f>
        <v/>
      </c>
      <c r="Y4" s="2">
        <f>IFERROR((SUMPRODUCT(Attributs!$F$2:$F$18,Attributs!$AV$2:$AV$18)+SUMPRODUCT(Attributs!$G$2:$G$18,Attributs!$AW$2:$AW$18))/((SQRT(SUMSQ(Attributs!$F$2:$F$18)+SUMSQ(Attributs!$G$2:$G$18)))*(SQRT(SUMSQ(Attributs!$AV$2:$AV$18)+SUMSQ(Attributs!$AW$2:$AW$18)))),0)</f>
        <v/>
      </c>
      <c r="Z4" s="2">
        <f>IFERROR((SUMPRODUCT(Attributs!$F$2:$F$18,Attributs!$AX$2:$AX$18)+SUMPRODUCT(Attributs!$G$2:$G$18,Attributs!$AY$2:$AY$18))/((SQRT(SUMSQ(Attributs!$F$2:$F$18)+SUMSQ(Attributs!$G$2:$G$18)))*(SQRT(SUMSQ(Attributs!$AX$2:$AX$18)+SUMSQ(Attributs!$AY$2:$AY$18)))),0)</f>
        <v/>
      </c>
      <c r="AA4" s="2">
        <f>IFERROR((SUMPRODUCT(Attributs!$F$2:$F$18,Attributs!$AZ$2:$AZ$18)+SUMPRODUCT(Attributs!$G$2:$G$18,Attributs!$BA$2:$BA$18))/((SQRT(SUMSQ(Attributs!$F$2:$F$18)+SUMSQ(Attributs!$G$2:$G$18)))*(SQRT(SUMSQ(Attributs!$AZ$2:$AZ$18)+SUMSQ(Attributs!$BA$2:$BA$18)))),0)</f>
        <v/>
      </c>
      <c r="AB4" s="2">
        <f>IFERROR((SUMPRODUCT(Attributs!$F$2:$F$18,Attributs!$BB$2:$BB$18)+SUMPRODUCT(Attributs!$G$2:$G$18,Attributs!$BC$2:$BC$18))/((SQRT(SUMSQ(Attributs!$F$2:$F$18)+SUMSQ(Attributs!$G$2:$G$18)))*(SQRT(SUMSQ(Attributs!$BB$2:$BB$18)+SUMSQ(Attributs!$BC$2:$BC$18)))),0)</f>
        <v/>
      </c>
      <c r="AC4" s="2">
        <f>IFERROR((SUMPRODUCT(Attributs!$F$2:$F$18,Attributs!$BD$2:$BD$18)+SUMPRODUCT(Attributs!$G$2:$G$18,Attributs!$BE$2:$BE$18))/((SQRT(SUMSQ(Attributs!$F$2:$F$18)+SUMSQ(Attributs!$G$2:$G$18)))*(SQRT(SUMSQ(Attributs!$BD$2:$BD$18)+SUMSQ(Attributs!$BE$2:$BE$18)))),0)</f>
        <v/>
      </c>
      <c r="AD4" s="2">
        <f>IFERROR((SUMPRODUCT(Attributs!$F$2:$F$18,Attributs!$BF$2:$BF$18)+SUMPRODUCT(Attributs!$G$2:$G$18,Attributs!$BG$2:$BG$18))/((SQRT(SUMSQ(Attributs!$F$2:$F$18)+SUMSQ(Attributs!$G$2:$G$18)))*(SQRT(SUMSQ(Attributs!$BF$2:$BF$18)+SUMSQ(Attributs!$BG$2:$BG$18)))),0)</f>
        <v/>
      </c>
      <c r="AE4" s="2">
        <f>IFERROR((SUMPRODUCT(Attributs!$F$2:$F$18,Attributs!$BH$2:$BH$18)+SUMPRODUCT(Attributs!$G$2:$G$18,Attributs!$BI$2:$BI$18))/((SQRT(SUMSQ(Attributs!$F$2:$F$18)+SUMSQ(Attributs!$G$2:$G$18)))*(SQRT(SUMSQ(Attributs!$BH$2:$BH$18)+SUMSQ(Attributs!$BI$2:$BI$18)))),0)</f>
        <v/>
      </c>
      <c r="AF4" s="2">
        <f>IFERROR((SUMPRODUCT(Attributs!$F$2:$F$18,Attributs!$BJ$2:$BJ$18)+SUMPRODUCT(Attributs!$G$2:$G$18,Attributs!$BK$2:$BK$18))/((SQRT(SUMSQ(Attributs!$F$2:$F$18)+SUMSQ(Attributs!$G$2:$G$18)))*(SQRT(SUMSQ(Attributs!$BJ$2:$BJ$18)+SUMSQ(Attributs!$BK$2:$BK$18)))),0)</f>
        <v/>
      </c>
      <c r="AG4" s="2">
        <f>IFERROR((SUMPRODUCT(Attributs!$F$2:$F$18,Attributs!$BL$2:$BL$18)+SUMPRODUCT(Attributs!$G$2:$G$18,Attributs!$BM$2:$BM$18))/((SQRT(SUMSQ(Attributs!$F$2:$F$18)+SUMSQ(Attributs!$G$2:$G$18)))*(SQRT(SUMSQ(Attributs!$BL$2:$BL$18)+SUMSQ(Attributs!$BM$2:$BM$18)))),0)</f>
        <v/>
      </c>
      <c r="AH4" s="2">
        <f>IFERROR((SUMPRODUCT(Attributs!$F$2:$F$18,Attributs!$BN$2:$BN$18)+SUMPRODUCT(Attributs!$G$2:$G$18,Attributs!$BO$2:$BO$18))/((SQRT(SUMSQ(Attributs!$F$2:$F$18)+SUMSQ(Attributs!$G$2:$G$18)))*(SQRT(SUMSQ(Attributs!$BN$2:$BN$18)+SUMSQ(Attributs!$BO$2:$BO$18)))),0)</f>
        <v/>
      </c>
      <c r="AI4" s="2">
        <f>IFERROR((SUMPRODUCT(Attributs!$F$2:$F$18,Attributs!$BP$2:$BP$18)+SUMPRODUCT(Attributs!$G$2:$G$18,Attributs!$BQ$2:$BQ$18))/((SQRT(SUMSQ(Attributs!$F$2:$F$18)+SUMSQ(Attributs!$G$2:$G$18)))*(SQRT(SUMSQ(Attributs!$BP$2:$BP$18)+SUMSQ(Attributs!$BQ$2:$BQ$18)))),0)</f>
        <v/>
      </c>
      <c r="AJ4" s="2">
        <f>IFERROR((SUMPRODUCT(Attributs!$F$2:$F$18,Attributs!$BR$2:$BR$18)+SUMPRODUCT(Attributs!$G$2:$G$18,Attributs!$BS$2:$BS$18))/((SQRT(SUMSQ(Attributs!$F$2:$F$18)+SUMSQ(Attributs!$G$2:$G$18)))*(SQRT(SUMSQ(Attributs!$BR$2:$BR$18)+SUMSQ(Attributs!$BS$2:$BS$18)))),0)</f>
        <v/>
      </c>
      <c r="AK4" s="2">
        <f>IFERROR((SUMPRODUCT(Attributs!$F$2:$F$18,Attributs!$BT$2:$BT$18)+SUMPRODUCT(Attributs!$G$2:$G$18,Attributs!$BU$2:$BU$18))/((SQRT(SUMSQ(Attributs!$F$2:$F$18)+SUMSQ(Attributs!$G$2:$G$18)))*(SQRT(SUMSQ(Attributs!$BT$2:$BT$18)+SUMSQ(Attributs!$BU$2:$BU$18)))),0)</f>
        <v/>
      </c>
      <c r="AL4" s="2">
        <f>IFERROR((SUMPRODUCT(Attributs!$F$2:$F$18,Attributs!$BV$2:$BV$18)+SUMPRODUCT(Attributs!$G$2:$G$18,Attributs!$BW$2:$BW$18))/((SQRT(SUMSQ(Attributs!$F$2:$F$18)+SUMSQ(Attributs!$G$2:$G$18)))*(SQRT(SUMSQ(Attributs!$BV$2:$BV$18)+SUMSQ(Attributs!$BW$2:$BW$18)))),0)</f>
        <v/>
      </c>
      <c r="AM4" s="2">
        <f>IFERROR((SUMPRODUCT(Attributs!$F$2:$F$18,Attributs!$BX$2:$BX$18)+SUMPRODUCT(Attributs!$G$2:$G$18,Attributs!$BY$2:$BY$18))/((SQRT(SUMSQ(Attributs!$F$2:$F$18)+SUMSQ(Attributs!$G$2:$G$18)))*(SQRT(SUMSQ(Attributs!$BX$2:$BX$18)+SUMSQ(Attributs!$BY$2:$BY$18)))),0)</f>
        <v/>
      </c>
      <c r="AN4" s="2">
        <f>IFERROR((SUMPRODUCT(Attributs!$F$2:$F$18,Attributs!$BZ$2:$BZ$18)+SUMPRODUCT(Attributs!$G$2:$G$18,Attributs!$CA$2:$CA$18))/((SQRT(SUMSQ(Attributs!$F$2:$F$18)+SUMSQ(Attributs!$G$2:$G$18)))*(SQRT(SUMSQ(Attributs!$BZ$2:$BZ$18)+SUMSQ(Attributs!$CA$2:$CA$18)))),0)</f>
        <v/>
      </c>
      <c r="AO4" s="2">
        <f>IFERROR((SUMPRODUCT(Attributs!$F$2:$F$18,Attributs!$CB$2:$CB$18)+SUMPRODUCT(Attributs!$G$2:$G$18,Attributs!$CC$2:$CC$18))/((SQRT(SUMSQ(Attributs!$F$2:$F$18)+SUMSQ(Attributs!$G$2:$G$18)))*(SQRT(SUMSQ(Attributs!$CB$2:$CB$18)+SUMSQ(Attributs!$CC$2:$CC$18)))),0)</f>
        <v/>
      </c>
      <c r="AP4" s="2">
        <f>IFERROR((SUMPRODUCT(Attributs!$F$2:$F$18,Attributs!$CD$2:$CD$18)+SUMPRODUCT(Attributs!$G$2:$G$18,Attributs!$CE$2:$CE$18))/((SQRT(SUMSQ(Attributs!$F$2:$F$18)+SUMSQ(Attributs!$G$2:$G$18)))*(SQRT(SUMSQ(Attributs!$CD$2:$CD$18)+SUMSQ(Attributs!$CE$2:$CE$18)))),0)</f>
        <v/>
      </c>
      <c r="AQ4" s="2">
        <f>IFERROR((SUMPRODUCT(Attributs!$F$2:$F$18,Attributs!$CF$2:$CF$18)+SUMPRODUCT(Attributs!$G$2:$G$18,Attributs!$CG$2:$CG$18))/((SQRT(SUMSQ(Attributs!$F$2:$F$18)+SUMSQ(Attributs!$G$2:$G$18)))*(SQRT(SUMSQ(Attributs!$CF$2:$CF$18)+SUMSQ(Attributs!$CG$2:$CG$18)))),0)</f>
        <v/>
      </c>
      <c r="AR4" s="2">
        <f>IFERROR((SUMPRODUCT(Attributs!$F$2:$F$18,Attributs!$CH$2:$CH$18)+SUMPRODUCT(Attributs!$G$2:$G$18,Attributs!$CI$2:$CI$18))/((SQRT(SUMSQ(Attributs!$F$2:$F$18)+SUMSQ(Attributs!$G$2:$G$18)))*(SQRT(SUMSQ(Attributs!$CH$2:$CH$18)+SUMSQ(Attributs!$CI$2:$CI$18)))),0)</f>
        <v/>
      </c>
      <c r="AS4" s="2">
        <f>IFERROR((SUMPRODUCT(Attributs!$F$2:$F$18,Attributs!$CJ$2:$CJ$18)+SUMPRODUCT(Attributs!$G$2:$G$18,Attributs!$CK$2:$CK$18))/((SQRT(SUMSQ(Attributs!$F$2:$F$18)+SUMSQ(Attributs!$G$2:$G$18)))*(SQRT(SUMSQ(Attributs!$CJ$2:$CJ$18)+SUMSQ(Attributs!$CK$2:$CK$18)))),0)</f>
        <v/>
      </c>
      <c r="AT4" s="2">
        <f>IFERROR((SUMPRODUCT(Attributs!$F$2:$F$18,Attributs!$CL$2:$CL$18)+SUMPRODUCT(Attributs!$G$2:$G$18,Attributs!$CM$2:$CM$18))/((SQRT(SUMSQ(Attributs!$F$2:$F$18)+SUMSQ(Attributs!$G$2:$G$18)))*(SQRT(SUMSQ(Attributs!$CL$2:$CL$18)+SUMSQ(Attributs!$CM$2:$CM$18)))),0)</f>
        <v/>
      </c>
      <c r="AU4" s="2">
        <f>IFERROR((SUMPRODUCT(Attributs!$F$2:$F$18,Attributs!$CN$2:$CN$18)+SUMPRODUCT(Attributs!$G$2:$G$18,Attributs!$CO$2:$CO$18))/((SQRT(SUMSQ(Attributs!$F$2:$F$18)+SUMSQ(Attributs!$G$2:$G$18)))*(SQRT(SUMSQ(Attributs!$CN$2:$CN$18)+SUMSQ(Attributs!$CO$2:$CO$18)))),0)</f>
        <v/>
      </c>
      <c r="AV4" s="2">
        <f>IFERROR((SUMPRODUCT(Attributs!$F$2:$F$18,Attributs!$CP$2:$CP$18)+SUMPRODUCT(Attributs!$G$2:$G$18,Attributs!$CQ$2:$CQ$18))/((SQRT(SUMSQ(Attributs!$F$2:$F$18)+SUMSQ(Attributs!$G$2:$G$18)))*(SQRT(SUMSQ(Attributs!$CP$2:$CP$18)+SUMSQ(Attributs!$CQ$2:$CQ$18)))),0)</f>
        <v/>
      </c>
      <c r="AW4" s="2">
        <f>IFERROR((SUMPRODUCT(Attributs!$F$2:$F$18,Attributs!$CR$2:$CR$18)+SUMPRODUCT(Attributs!$G$2:$G$18,Attributs!$CS$2:$CS$18))/((SQRT(SUMSQ(Attributs!$F$2:$F$18)+SUMSQ(Attributs!$G$2:$G$18)))*(SQRT(SUMSQ(Attributs!$CR$2:$CR$18)+SUMSQ(Attributs!$CS$2:$CS$18)))),0)</f>
        <v/>
      </c>
      <c r="AX4" s="2">
        <f>IFERROR((SUMPRODUCT(Attributs!$F$2:$F$18,Attributs!$CT$2:$CT$18)+SUMPRODUCT(Attributs!$G$2:$G$18,Attributs!$CU$2:$CU$18))/((SQRT(SUMSQ(Attributs!$F$2:$F$18)+SUMSQ(Attributs!$G$2:$G$18)))*(SQRT(SUMSQ(Attributs!$CT$2:$CT$18)+SUMSQ(Attributs!$CU$2:$CU$18)))),0)</f>
        <v/>
      </c>
      <c r="AY4" s="2">
        <f>IFERROR((SUMPRODUCT(Attributs!$F$2:$F$18,Attributs!$CV$2:$CV$18)+SUMPRODUCT(Attributs!$G$2:$G$18,Attributs!$CW$2:$CW$18))/((SQRT(SUMSQ(Attributs!$F$2:$F$18)+SUMSQ(Attributs!$G$2:$G$18)))*(SQRT(SUMSQ(Attributs!$CV$2:$CV$18)+SUMSQ(Attributs!$CW$2:$CW$18)))),0)</f>
        <v/>
      </c>
      <c r="AZ4" s="2">
        <f>IFERROR((SUMPRODUCT(Attributs!$F$2:$F$18,Attributs!$CX$2:$CX$18)+SUMPRODUCT(Attributs!$G$2:$G$18,Attributs!$CY$2:$CY$18))/((SQRT(SUMSQ(Attributs!$F$2:$F$18)+SUMSQ(Attributs!$G$2:$G$18)))*(SQRT(SUMSQ(Attributs!$CX$2:$CX$18)+SUMSQ(Attributs!$CY$2:$CY$18)))),0)</f>
        <v/>
      </c>
      <c r="BA4" s="2">
        <f>IFERROR((SUMPRODUCT(Attributs!$F$2:$F$18,Attributs!$CZ$2:$CZ$18)+SUMPRODUCT(Attributs!$G$2:$G$18,Attributs!$DA$2:$DA$18))/((SQRT(SUMSQ(Attributs!$F$2:$F$18)+SUMSQ(Attributs!$G$2:$G$18)))*(SQRT(SUMSQ(Attributs!$CZ$2:$CZ$18)+SUMSQ(Attributs!$DA$2:$DA$18)))),0)</f>
        <v/>
      </c>
      <c r="BB4" s="2">
        <f>IFERROR((SUMPRODUCT(Attributs!$F$2:$F$18,Attributs!$DB$2:$DB$18)+SUMPRODUCT(Attributs!$G$2:$G$18,Attributs!$DC$2:$DC$18))/((SQRT(SUMSQ(Attributs!$F$2:$F$18)+SUMSQ(Attributs!$G$2:$G$18)))*(SQRT(SUMSQ(Attributs!$DB$2:$DB$18)+SUMSQ(Attributs!$DC$2:$DC$18)))),0)</f>
        <v/>
      </c>
      <c r="BC4" s="2">
        <f>IFERROR((SUMPRODUCT(Attributs!$F$2:$F$18,Attributs!$DD$2:$DD$18)+SUMPRODUCT(Attributs!$G$2:$G$18,Attributs!$DE$2:$DE$18))/((SQRT(SUMSQ(Attributs!$F$2:$F$18)+SUMSQ(Attributs!$G$2:$G$18)))*(SQRT(SUMSQ(Attributs!$DD$2:$DD$18)+SUMSQ(Attributs!$DE$2:$DE$18)))),0)</f>
        <v/>
      </c>
      <c r="BD4" s="2">
        <f>IFERROR((SUMPRODUCT(Attributs!$F$2:$F$18,Attributs!$DF$2:$DF$18)+SUMPRODUCT(Attributs!$G$2:$G$18,Attributs!$DG$2:$DG$18))/((SQRT(SUMSQ(Attributs!$F$2:$F$18)+SUMSQ(Attributs!$G$2:$G$18)))*(SQRT(SUMSQ(Attributs!$DF$2:$DF$18)+SUMSQ(Attributs!$DG$2:$DG$18)))),0)</f>
        <v/>
      </c>
      <c r="BE4" s="2">
        <f>IFERROR((SUMPRODUCT(Attributs!$F$2:$F$18,Attributs!$DH$2:$DH$18)+SUMPRODUCT(Attributs!$G$2:$G$18,Attributs!$DI$2:$DI$18))/((SQRT(SUMSQ(Attributs!$F$2:$F$18)+SUMSQ(Attributs!$G$2:$G$18)))*(SQRT(SUMSQ(Attributs!$DH$2:$DH$18)+SUMSQ(Attributs!$DI$2:$DI$18)))),0)</f>
        <v/>
      </c>
      <c r="BF4" s="2">
        <f>IFERROR((SUMPRODUCT(Attributs!$F$2:$F$18,Attributs!$DJ$2:$DJ$18)+SUMPRODUCT(Attributs!$G$2:$G$18,Attributs!$DK$2:$DK$18))/((SQRT(SUMSQ(Attributs!$F$2:$F$18)+SUMSQ(Attributs!$G$2:$G$18)))*(SQRT(SUMSQ(Attributs!$DJ$2:$DJ$18)+SUMSQ(Attributs!$DK$2:$DK$18)))),0)</f>
        <v/>
      </c>
      <c r="BG4" s="2">
        <f>IFERROR((SUMPRODUCT(Attributs!$F$2:$F$18,Attributs!$DL$2:$DL$18)+SUMPRODUCT(Attributs!$G$2:$G$18,Attributs!$DM$2:$DM$18))/((SQRT(SUMSQ(Attributs!$F$2:$F$18)+SUMSQ(Attributs!$G$2:$G$18)))*(SQRT(SUMSQ(Attributs!$DL$2:$DL$18)+SUMSQ(Attributs!$DM$2:$DM$18)))),0)</f>
        <v/>
      </c>
      <c r="BH4" s="2">
        <f>IFERROR((SUMPRODUCT(Attributs!$F$2:$F$18,Attributs!$DN$2:$DN$18)+SUMPRODUCT(Attributs!$G$2:$G$18,Attributs!$DO$2:$DO$18))/((SQRT(SUMSQ(Attributs!$F$2:$F$18)+SUMSQ(Attributs!$G$2:$G$18)))*(SQRT(SUMSQ(Attributs!$DN$2:$DN$18)+SUMSQ(Attributs!$DO$2:$DO$18)))),0)</f>
        <v/>
      </c>
      <c r="BI4" s="2">
        <f>IFERROR((SUMPRODUCT(Attributs!$F$2:$F$18,Attributs!$DP$2:$DP$18)+SUMPRODUCT(Attributs!$G$2:$G$18,Attributs!$DQ$2:$DQ$18))/((SQRT(SUMSQ(Attributs!$F$2:$F$18)+SUMSQ(Attributs!$G$2:$G$18)))*(SQRT(SUMSQ(Attributs!$DP$2:$DP$18)+SUMSQ(Attributs!$DQ$2:$DQ$18)))),0)</f>
        <v/>
      </c>
      <c r="BJ4" s="2">
        <f>IFERROR((SUMPRODUCT(Attributs!$F$2:$F$18,Attributs!$DR$2:$DR$18)+SUMPRODUCT(Attributs!$G$2:$G$18,Attributs!$DS$2:$DS$18))/((SQRT(SUMSQ(Attributs!$F$2:$F$18)+SUMSQ(Attributs!$G$2:$G$18)))*(SQRT(SUMSQ(Attributs!$DR$2:$DR$18)+SUMSQ(Attributs!$DS$2:$DS$18)))),0)</f>
        <v/>
      </c>
      <c r="BK4" s="2">
        <f>IFERROR((SUMPRODUCT(Attributs!$F$2:$F$18,Attributs!$DT$2:$DT$18)+SUMPRODUCT(Attributs!$G$2:$G$18,Attributs!$DU$2:$DU$18))/((SQRT(SUMSQ(Attributs!$F$2:$F$18)+SUMSQ(Attributs!$G$2:$G$18)))*(SQRT(SUMSQ(Attributs!$DT$2:$DT$18)+SUMSQ(Attributs!$DU$2:$DU$18)))),0)</f>
        <v/>
      </c>
      <c r="BL4" s="2">
        <f>IFERROR((SUMPRODUCT(Attributs!$F$2:$F$18,Attributs!$DV$2:$DV$18)+SUMPRODUCT(Attributs!$G$2:$G$18,Attributs!$DW$2:$DW$18))/((SQRT(SUMSQ(Attributs!$F$2:$F$18)+SUMSQ(Attributs!$G$2:$G$18)))*(SQRT(SUMSQ(Attributs!$DV$2:$DV$18)+SUMSQ(Attributs!$DW$2:$DW$18)))),0)</f>
        <v/>
      </c>
    </row>
    <row r="5">
      <c r="A5" s="3" t="inlineStr">
        <is>
          <t>SE_mysql.postes.OwnerUserId</t>
        </is>
      </c>
      <c r="B5" s="2">
        <f>IFERROR((SUMPRODUCT(Attributs!$H$2:$H$18,Attributs!$B$2:$B$18)+SUMPRODUCT(Attributs!$I$2:$I$18,Attributs!$C$2:$C$18))/((SQRT(SUMSQ(Attributs!$H$2:$H$18)+SUMSQ(Attributs!$I$2:$I$18)))*(SQRT(SUMSQ(Attributs!$B$2:$B$18)+SUMSQ(Attributs!$C$2:$C$18)))),0)</f>
        <v/>
      </c>
      <c r="C5" s="2">
        <f>IFERROR((SUMPRODUCT(Attributs!$H$2:$H$18,Attributs!$D$2:$D$18)+SUMPRODUCT(Attributs!$I$2:$I$18,Attributs!$E$2:$E$18))/((SQRT(SUMSQ(Attributs!$H$2:$H$18)+SUMSQ(Attributs!$I$2:$I$18)))*(SQRT(SUMSQ(Attributs!$D$2:$D$18)+SUMSQ(Attributs!$E$2:$E$18)))),0)</f>
        <v/>
      </c>
      <c r="D5" s="2">
        <f>IFERROR((SUMPRODUCT(Attributs!$H$2:$H$18,Attributs!$F$2:$F$18)+SUMPRODUCT(Attributs!$I$2:$I$18,Attributs!$G$2:$G$18))/((SQRT(SUMSQ(Attributs!$H$2:$H$18)+SUMSQ(Attributs!$I$2:$I$18)))*(SQRT(SUMSQ(Attributs!$F$2:$F$18)+SUMSQ(Attributs!$G$2:$G$18)))),0)</f>
        <v/>
      </c>
      <c r="E5" s="2">
        <f>IFERROR((SUMPRODUCT(Attributs!$H$2:$H$18,Attributs!$H$2:$H$18)+SUMPRODUCT(Attributs!$I$2:$I$18,Attributs!$I$2:$I$18))/((SQRT(SUMSQ(Attributs!$H$2:$H$18)+SUMSQ(Attributs!$I$2:$I$18)))*(SQRT(SUMSQ(Attributs!$H$2:$H$18)+SUMSQ(Attributs!$I$2:$I$18)))),0)</f>
        <v/>
      </c>
      <c r="F5" s="2">
        <f>IFERROR((SUMPRODUCT(Attributs!$H$2:$H$18,Attributs!$J$2:$J$18)+SUMPRODUCT(Attributs!$I$2:$I$18,Attributs!$K$2:$K$18))/((SQRT(SUMSQ(Attributs!$H$2:$H$18)+SUMSQ(Attributs!$I$2:$I$18)))*(SQRT(SUMSQ(Attributs!$J$2:$J$18)+SUMSQ(Attributs!$K$2:$K$18)))),0)</f>
        <v/>
      </c>
      <c r="G5" s="2">
        <f>IFERROR((SUMPRODUCT(Attributs!$H$2:$H$18,Attributs!$L$2:$L$18)+SUMPRODUCT(Attributs!$I$2:$I$18,Attributs!$M$2:$M$18))/((SQRT(SUMSQ(Attributs!$H$2:$H$18)+SUMSQ(Attributs!$I$2:$I$18)))*(SQRT(SUMSQ(Attributs!$L$2:$L$18)+SUMSQ(Attributs!$M$2:$M$18)))),0)</f>
        <v/>
      </c>
      <c r="H5" s="2">
        <f>IFERROR((SUMPRODUCT(Attributs!$H$2:$H$18,Attributs!$N$2:$N$18)+SUMPRODUCT(Attributs!$I$2:$I$18,Attributs!$O$2:$O$18))/((SQRT(SUMSQ(Attributs!$H$2:$H$18)+SUMSQ(Attributs!$I$2:$I$18)))*(SQRT(SUMSQ(Attributs!$N$2:$N$18)+SUMSQ(Attributs!$O$2:$O$18)))),0)</f>
        <v/>
      </c>
      <c r="I5" s="2">
        <f>IFERROR((SUMPRODUCT(Attributs!$H$2:$H$18,Attributs!$P$2:$P$18)+SUMPRODUCT(Attributs!$I$2:$I$18,Attributs!$Q$2:$Q$18))/((SQRT(SUMSQ(Attributs!$H$2:$H$18)+SUMSQ(Attributs!$I$2:$I$18)))*(SQRT(SUMSQ(Attributs!$P$2:$P$18)+SUMSQ(Attributs!$Q$2:$Q$18)))),0)</f>
        <v/>
      </c>
      <c r="J5" s="2">
        <f>IFERROR((SUMPRODUCT(Attributs!$H$2:$H$18,Attributs!$R$2:$R$18)+SUMPRODUCT(Attributs!$I$2:$I$18,Attributs!$S$2:$S$18))/((SQRT(SUMSQ(Attributs!$H$2:$H$18)+SUMSQ(Attributs!$I$2:$I$18)))*(SQRT(SUMSQ(Attributs!$R$2:$R$18)+SUMSQ(Attributs!$S$2:$S$18)))),0)</f>
        <v/>
      </c>
      <c r="K5" s="2">
        <f>IFERROR((SUMPRODUCT(Attributs!$H$2:$H$18,Attributs!$T$2:$T$18)+SUMPRODUCT(Attributs!$I$2:$I$18,Attributs!$U$2:$U$18))/((SQRT(SUMSQ(Attributs!$H$2:$H$18)+SUMSQ(Attributs!$I$2:$I$18)))*(SQRT(SUMSQ(Attributs!$T$2:$T$18)+SUMSQ(Attributs!$U$2:$U$18)))),0)</f>
        <v/>
      </c>
      <c r="L5" s="2">
        <f>IFERROR((SUMPRODUCT(Attributs!$H$2:$H$18,Attributs!$V$2:$V$18)+SUMPRODUCT(Attributs!$I$2:$I$18,Attributs!$W$2:$W$18))/((SQRT(SUMSQ(Attributs!$H$2:$H$18)+SUMSQ(Attributs!$I$2:$I$18)))*(SQRT(SUMSQ(Attributs!$V$2:$V$18)+SUMSQ(Attributs!$W$2:$W$18)))),0)</f>
        <v/>
      </c>
      <c r="M5" s="2">
        <f>IFERROR((SUMPRODUCT(Attributs!$H$2:$H$18,Attributs!$X$2:$X$18)+SUMPRODUCT(Attributs!$I$2:$I$18,Attributs!$Y$2:$Y$18))/((SQRT(SUMSQ(Attributs!$H$2:$H$18)+SUMSQ(Attributs!$I$2:$I$18)))*(SQRT(SUMSQ(Attributs!$X$2:$X$18)+SUMSQ(Attributs!$Y$2:$Y$18)))),0)</f>
        <v/>
      </c>
      <c r="N5" s="2">
        <f>IFERROR((SUMPRODUCT(Attributs!$H$2:$H$18,Attributs!$Z$2:$Z$18)+SUMPRODUCT(Attributs!$I$2:$I$18,Attributs!$AA$2:$AA$18))/((SQRT(SUMSQ(Attributs!$H$2:$H$18)+SUMSQ(Attributs!$I$2:$I$18)))*(SQRT(SUMSQ(Attributs!$Z$2:$Z$18)+SUMSQ(Attributs!$AA$2:$AA$18)))),0)</f>
        <v/>
      </c>
      <c r="O5" s="2">
        <f>IFERROR((SUMPRODUCT(Attributs!$H$2:$H$18,Attributs!$AB$2:$AB$18)+SUMPRODUCT(Attributs!$I$2:$I$18,Attributs!$AC$2:$AC$18))/((SQRT(SUMSQ(Attributs!$H$2:$H$18)+SUMSQ(Attributs!$I$2:$I$18)))*(SQRT(SUMSQ(Attributs!$AB$2:$AB$18)+SUMSQ(Attributs!$AC$2:$AC$18)))),0)</f>
        <v/>
      </c>
      <c r="P5" s="2">
        <f>IFERROR((SUMPRODUCT(Attributs!$H$2:$H$18,Attributs!$AD$2:$AD$18)+SUMPRODUCT(Attributs!$I$2:$I$18,Attributs!$AE$2:$AE$18))/((SQRT(SUMSQ(Attributs!$H$2:$H$18)+SUMSQ(Attributs!$I$2:$I$18)))*(SQRT(SUMSQ(Attributs!$AD$2:$AD$18)+SUMSQ(Attributs!$AE$2:$AE$18)))),0)</f>
        <v/>
      </c>
      <c r="Q5" s="2">
        <f>IFERROR((SUMPRODUCT(Attributs!$H$2:$H$18,Attributs!$AF$2:$AF$18)+SUMPRODUCT(Attributs!$I$2:$I$18,Attributs!$AG$2:$AG$18))/((SQRT(SUMSQ(Attributs!$H$2:$H$18)+SUMSQ(Attributs!$I$2:$I$18)))*(SQRT(SUMSQ(Attributs!$AF$2:$AF$18)+SUMSQ(Attributs!$AG$2:$AG$18)))),0)</f>
        <v/>
      </c>
      <c r="R5" s="2">
        <f>IFERROR((SUMPRODUCT(Attributs!$H$2:$H$18,Attributs!$AH$2:$AH$18)+SUMPRODUCT(Attributs!$I$2:$I$18,Attributs!$AI$2:$AI$18))/((SQRT(SUMSQ(Attributs!$H$2:$H$18)+SUMSQ(Attributs!$I$2:$I$18)))*(SQRT(SUMSQ(Attributs!$AH$2:$AH$18)+SUMSQ(Attributs!$AI$2:$AI$18)))),0)</f>
        <v/>
      </c>
      <c r="S5" s="2">
        <f>IFERROR((SUMPRODUCT(Attributs!$H$2:$H$18,Attributs!$AJ$2:$AJ$18)+SUMPRODUCT(Attributs!$I$2:$I$18,Attributs!$AK$2:$AK$18))/((SQRT(SUMSQ(Attributs!$H$2:$H$18)+SUMSQ(Attributs!$I$2:$I$18)))*(SQRT(SUMSQ(Attributs!$AJ$2:$AJ$18)+SUMSQ(Attributs!$AK$2:$AK$18)))),0)</f>
        <v/>
      </c>
      <c r="T5" s="2">
        <f>IFERROR((SUMPRODUCT(Attributs!$H$2:$H$18,Attributs!$AL$2:$AL$18)+SUMPRODUCT(Attributs!$I$2:$I$18,Attributs!$AM$2:$AM$18))/((SQRT(SUMSQ(Attributs!$H$2:$H$18)+SUMSQ(Attributs!$I$2:$I$18)))*(SQRT(SUMSQ(Attributs!$AL$2:$AL$18)+SUMSQ(Attributs!$AM$2:$AM$18)))),0)</f>
        <v/>
      </c>
      <c r="U5" s="2">
        <f>IFERROR((SUMPRODUCT(Attributs!$H$2:$H$18,Attributs!$AN$2:$AN$18)+SUMPRODUCT(Attributs!$I$2:$I$18,Attributs!$AO$2:$AO$18))/((SQRT(SUMSQ(Attributs!$H$2:$H$18)+SUMSQ(Attributs!$I$2:$I$18)))*(SQRT(SUMSQ(Attributs!$AN$2:$AN$18)+SUMSQ(Attributs!$AO$2:$AO$18)))),0)</f>
        <v/>
      </c>
      <c r="V5" s="2">
        <f>IFERROR((SUMPRODUCT(Attributs!$H$2:$H$18,Attributs!$AP$2:$AP$18)+SUMPRODUCT(Attributs!$I$2:$I$18,Attributs!$AQ$2:$AQ$18))/((SQRT(SUMSQ(Attributs!$H$2:$H$18)+SUMSQ(Attributs!$I$2:$I$18)))*(SQRT(SUMSQ(Attributs!$AP$2:$AP$18)+SUMSQ(Attributs!$AQ$2:$AQ$18)))),0)</f>
        <v/>
      </c>
      <c r="W5" s="2">
        <f>IFERROR((SUMPRODUCT(Attributs!$H$2:$H$18,Attributs!$AR$2:$AR$18)+SUMPRODUCT(Attributs!$I$2:$I$18,Attributs!$AS$2:$AS$18))/((SQRT(SUMSQ(Attributs!$H$2:$H$18)+SUMSQ(Attributs!$I$2:$I$18)))*(SQRT(SUMSQ(Attributs!$AR$2:$AR$18)+SUMSQ(Attributs!$AS$2:$AS$18)))),0)</f>
        <v/>
      </c>
      <c r="X5" s="2">
        <f>IFERROR((SUMPRODUCT(Attributs!$H$2:$H$18,Attributs!$AT$2:$AT$18)+SUMPRODUCT(Attributs!$I$2:$I$18,Attributs!$AU$2:$AU$18))/((SQRT(SUMSQ(Attributs!$H$2:$H$18)+SUMSQ(Attributs!$I$2:$I$18)))*(SQRT(SUMSQ(Attributs!$AT$2:$AT$18)+SUMSQ(Attributs!$AU$2:$AU$18)))),0)</f>
        <v/>
      </c>
      <c r="Y5" s="2">
        <f>IFERROR((SUMPRODUCT(Attributs!$H$2:$H$18,Attributs!$AV$2:$AV$18)+SUMPRODUCT(Attributs!$I$2:$I$18,Attributs!$AW$2:$AW$18))/((SQRT(SUMSQ(Attributs!$H$2:$H$18)+SUMSQ(Attributs!$I$2:$I$18)))*(SQRT(SUMSQ(Attributs!$AV$2:$AV$18)+SUMSQ(Attributs!$AW$2:$AW$18)))),0)</f>
        <v/>
      </c>
      <c r="Z5" s="2">
        <f>IFERROR((SUMPRODUCT(Attributs!$H$2:$H$18,Attributs!$AX$2:$AX$18)+SUMPRODUCT(Attributs!$I$2:$I$18,Attributs!$AY$2:$AY$18))/((SQRT(SUMSQ(Attributs!$H$2:$H$18)+SUMSQ(Attributs!$I$2:$I$18)))*(SQRT(SUMSQ(Attributs!$AX$2:$AX$18)+SUMSQ(Attributs!$AY$2:$AY$18)))),0)</f>
        <v/>
      </c>
      <c r="AA5" s="2">
        <f>IFERROR((SUMPRODUCT(Attributs!$H$2:$H$18,Attributs!$AZ$2:$AZ$18)+SUMPRODUCT(Attributs!$I$2:$I$18,Attributs!$BA$2:$BA$18))/((SQRT(SUMSQ(Attributs!$H$2:$H$18)+SUMSQ(Attributs!$I$2:$I$18)))*(SQRT(SUMSQ(Attributs!$AZ$2:$AZ$18)+SUMSQ(Attributs!$BA$2:$BA$18)))),0)</f>
        <v/>
      </c>
      <c r="AB5" s="2">
        <f>IFERROR((SUMPRODUCT(Attributs!$H$2:$H$18,Attributs!$BB$2:$BB$18)+SUMPRODUCT(Attributs!$I$2:$I$18,Attributs!$BC$2:$BC$18))/((SQRT(SUMSQ(Attributs!$H$2:$H$18)+SUMSQ(Attributs!$I$2:$I$18)))*(SQRT(SUMSQ(Attributs!$BB$2:$BB$18)+SUMSQ(Attributs!$BC$2:$BC$18)))),0)</f>
        <v/>
      </c>
      <c r="AC5" s="2">
        <f>IFERROR((SUMPRODUCT(Attributs!$H$2:$H$18,Attributs!$BD$2:$BD$18)+SUMPRODUCT(Attributs!$I$2:$I$18,Attributs!$BE$2:$BE$18))/((SQRT(SUMSQ(Attributs!$H$2:$H$18)+SUMSQ(Attributs!$I$2:$I$18)))*(SQRT(SUMSQ(Attributs!$BD$2:$BD$18)+SUMSQ(Attributs!$BE$2:$BE$18)))),0)</f>
        <v/>
      </c>
      <c r="AD5" s="2">
        <f>IFERROR((SUMPRODUCT(Attributs!$H$2:$H$18,Attributs!$BF$2:$BF$18)+SUMPRODUCT(Attributs!$I$2:$I$18,Attributs!$BG$2:$BG$18))/((SQRT(SUMSQ(Attributs!$H$2:$H$18)+SUMSQ(Attributs!$I$2:$I$18)))*(SQRT(SUMSQ(Attributs!$BF$2:$BF$18)+SUMSQ(Attributs!$BG$2:$BG$18)))),0)</f>
        <v/>
      </c>
      <c r="AE5" s="2">
        <f>IFERROR((SUMPRODUCT(Attributs!$H$2:$H$18,Attributs!$BH$2:$BH$18)+SUMPRODUCT(Attributs!$I$2:$I$18,Attributs!$BI$2:$BI$18))/((SQRT(SUMSQ(Attributs!$H$2:$H$18)+SUMSQ(Attributs!$I$2:$I$18)))*(SQRT(SUMSQ(Attributs!$BH$2:$BH$18)+SUMSQ(Attributs!$BI$2:$BI$18)))),0)</f>
        <v/>
      </c>
      <c r="AF5" s="2">
        <f>IFERROR((SUMPRODUCT(Attributs!$H$2:$H$18,Attributs!$BJ$2:$BJ$18)+SUMPRODUCT(Attributs!$I$2:$I$18,Attributs!$BK$2:$BK$18))/((SQRT(SUMSQ(Attributs!$H$2:$H$18)+SUMSQ(Attributs!$I$2:$I$18)))*(SQRT(SUMSQ(Attributs!$BJ$2:$BJ$18)+SUMSQ(Attributs!$BK$2:$BK$18)))),0)</f>
        <v/>
      </c>
      <c r="AG5" s="2">
        <f>IFERROR((SUMPRODUCT(Attributs!$H$2:$H$18,Attributs!$BL$2:$BL$18)+SUMPRODUCT(Attributs!$I$2:$I$18,Attributs!$BM$2:$BM$18))/((SQRT(SUMSQ(Attributs!$H$2:$H$18)+SUMSQ(Attributs!$I$2:$I$18)))*(SQRT(SUMSQ(Attributs!$BL$2:$BL$18)+SUMSQ(Attributs!$BM$2:$BM$18)))),0)</f>
        <v/>
      </c>
      <c r="AH5" s="2">
        <f>IFERROR((SUMPRODUCT(Attributs!$H$2:$H$18,Attributs!$BN$2:$BN$18)+SUMPRODUCT(Attributs!$I$2:$I$18,Attributs!$BO$2:$BO$18))/((SQRT(SUMSQ(Attributs!$H$2:$H$18)+SUMSQ(Attributs!$I$2:$I$18)))*(SQRT(SUMSQ(Attributs!$BN$2:$BN$18)+SUMSQ(Attributs!$BO$2:$BO$18)))),0)</f>
        <v/>
      </c>
      <c r="AI5" s="2">
        <f>IFERROR((SUMPRODUCT(Attributs!$H$2:$H$18,Attributs!$BP$2:$BP$18)+SUMPRODUCT(Attributs!$I$2:$I$18,Attributs!$BQ$2:$BQ$18))/((SQRT(SUMSQ(Attributs!$H$2:$H$18)+SUMSQ(Attributs!$I$2:$I$18)))*(SQRT(SUMSQ(Attributs!$BP$2:$BP$18)+SUMSQ(Attributs!$BQ$2:$BQ$18)))),0)</f>
        <v/>
      </c>
      <c r="AJ5" s="2">
        <f>IFERROR((SUMPRODUCT(Attributs!$H$2:$H$18,Attributs!$BR$2:$BR$18)+SUMPRODUCT(Attributs!$I$2:$I$18,Attributs!$BS$2:$BS$18))/((SQRT(SUMSQ(Attributs!$H$2:$H$18)+SUMSQ(Attributs!$I$2:$I$18)))*(SQRT(SUMSQ(Attributs!$BR$2:$BR$18)+SUMSQ(Attributs!$BS$2:$BS$18)))),0)</f>
        <v/>
      </c>
      <c r="AK5" s="2">
        <f>IFERROR((SUMPRODUCT(Attributs!$H$2:$H$18,Attributs!$BT$2:$BT$18)+SUMPRODUCT(Attributs!$I$2:$I$18,Attributs!$BU$2:$BU$18))/((SQRT(SUMSQ(Attributs!$H$2:$H$18)+SUMSQ(Attributs!$I$2:$I$18)))*(SQRT(SUMSQ(Attributs!$BT$2:$BT$18)+SUMSQ(Attributs!$BU$2:$BU$18)))),0)</f>
        <v/>
      </c>
      <c r="AL5" s="2">
        <f>IFERROR((SUMPRODUCT(Attributs!$H$2:$H$18,Attributs!$BV$2:$BV$18)+SUMPRODUCT(Attributs!$I$2:$I$18,Attributs!$BW$2:$BW$18))/((SQRT(SUMSQ(Attributs!$H$2:$H$18)+SUMSQ(Attributs!$I$2:$I$18)))*(SQRT(SUMSQ(Attributs!$BV$2:$BV$18)+SUMSQ(Attributs!$BW$2:$BW$18)))),0)</f>
        <v/>
      </c>
      <c r="AM5" s="2">
        <f>IFERROR((SUMPRODUCT(Attributs!$H$2:$H$18,Attributs!$BX$2:$BX$18)+SUMPRODUCT(Attributs!$I$2:$I$18,Attributs!$BY$2:$BY$18))/((SQRT(SUMSQ(Attributs!$H$2:$H$18)+SUMSQ(Attributs!$I$2:$I$18)))*(SQRT(SUMSQ(Attributs!$BX$2:$BX$18)+SUMSQ(Attributs!$BY$2:$BY$18)))),0)</f>
        <v/>
      </c>
      <c r="AN5" s="2">
        <f>IFERROR((SUMPRODUCT(Attributs!$H$2:$H$18,Attributs!$BZ$2:$BZ$18)+SUMPRODUCT(Attributs!$I$2:$I$18,Attributs!$CA$2:$CA$18))/((SQRT(SUMSQ(Attributs!$H$2:$H$18)+SUMSQ(Attributs!$I$2:$I$18)))*(SQRT(SUMSQ(Attributs!$BZ$2:$BZ$18)+SUMSQ(Attributs!$CA$2:$CA$18)))),0)</f>
        <v/>
      </c>
      <c r="AO5" s="2">
        <f>IFERROR((SUMPRODUCT(Attributs!$H$2:$H$18,Attributs!$CB$2:$CB$18)+SUMPRODUCT(Attributs!$I$2:$I$18,Attributs!$CC$2:$CC$18))/((SQRT(SUMSQ(Attributs!$H$2:$H$18)+SUMSQ(Attributs!$I$2:$I$18)))*(SQRT(SUMSQ(Attributs!$CB$2:$CB$18)+SUMSQ(Attributs!$CC$2:$CC$18)))),0)</f>
        <v/>
      </c>
      <c r="AP5" s="2">
        <f>IFERROR((SUMPRODUCT(Attributs!$H$2:$H$18,Attributs!$CD$2:$CD$18)+SUMPRODUCT(Attributs!$I$2:$I$18,Attributs!$CE$2:$CE$18))/((SQRT(SUMSQ(Attributs!$H$2:$H$18)+SUMSQ(Attributs!$I$2:$I$18)))*(SQRT(SUMSQ(Attributs!$CD$2:$CD$18)+SUMSQ(Attributs!$CE$2:$CE$18)))),0)</f>
        <v/>
      </c>
      <c r="AQ5" s="2">
        <f>IFERROR((SUMPRODUCT(Attributs!$H$2:$H$18,Attributs!$CF$2:$CF$18)+SUMPRODUCT(Attributs!$I$2:$I$18,Attributs!$CG$2:$CG$18))/((SQRT(SUMSQ(Attributs!$H$2:$H$18)+SUMSQ(Attributs!$I$2:$I$18)))*(SQRT(SUMSQ(Attributs!$CF$2:$CF$18)+SUMSQ(Attributs!$CG$2:$CG$18)))),0)</f>
        <v/>
      </c>
      <c r="AR5" s="2">
        <f>IFERROR((SUMPRODUCT(Attributs!$H$2:$H$18,Attributs!$CH$2:$CH$18)+SUMPRODUCT(Attributs!$I$2:$I$18,Attributs!$CI$2:$CI$18))/((SQRT(SUMSQ(Attributs!$H$2:$H$18)+SUMSQ(Attributs!$I$2:$I$18)))*(SQRT(SUMSQ(Attributs!$CH$2:$CH$18)+SUMSQ(Attributs!$CI$2:$CI$18)))),0)</f>
        <v/>
      </c>
      <c r="AS5" s="2">
        <f>IFERROR((SUMPRODUCT(Attributs!$H$2:$H$18,Attributs!$CJ$2:$CJ$18)+SUMPRODUCT(Attributs!$I$2:$I$18,Attributs!$CK$2:$CK$18))/((SQRT(SUMSQ(Attributs!$H$2:$H$18)+SUMSQ(Attributs!$I$2:$I$18)))*(SQRT(SUMSQ(Attributs!$CJ$2:$CJ$18)+SUMSQ(Attributs!$CK$2:$CK$18)))),0)</f>
        <v/>
      </c>
      <c r="AT5" s="2">
        <f>IFERROR((SUMPRODUCT(Attributs!$H$2:$H$18,Attributs!$CL$2:$CL$18)+SUMPRODUCT(Attributs!$I$2:$I$18,Attributs!$CM$2:$CM$18))/((SQRT(SUMSQ(Attributs!$H$2:$H$18)+SUMSQ(Attributs!$I$2:$I$18)))*(SQRT(SUMSQ(Attributs!$CL$2:$CL$18)+SUMSQ(Attributs!$CM$2:$CM$18)))),0)</f>
        <v/>
      </c>
      <c r="AU5" s="2">
        <f>IFERROR((SUMPRODUCT(Attributs!$H$2:$H$18,Attributs!$CN$2:$CN$18)+SUMPRODUCT(Attributs!$I$2:$I$18,Attributs!$CO$2:$CO$18))/((SQRT(SUMSQ(Attributs!$H$2:$H$18)+SUMSQ(Attributs!$I$2:$I$18)))*(SQRT(SUMSQ(Attributs!$CN$2:$CN$18)+SUMSQ(Attributs!$CO$2:$CO$18)))),0)</f>
        <v/>
      </c>
      <c r="AV5" s="2">
        <f>IFERROR((SUMPRODUCT(Attributs!$H$2:$H$18,Attributs!$CP$2:$CP$18)+SUMPRODUCT(Attributs!$I$2:$I$18,Attributs!$CQ$2:$CQ$18))/((SQRT(SUMSQ(Attributs!$H$2:$H$18)+SUMSQ(Attributs!$I$2:$I$18)))*(SQRT(SUMSQ(Attributs!$CP$2:$CP$18)+SUMSQ(Attributs!$CQ$2:$CQ$18)))),0)</f>
        <v/>
      </c>
      <c r="AW5" s="2">
        <f>IFERROR((SUMPRODUCT(Attributs!$H$2:$H$18,Attributs!$CR$2:$CR$18)+SUMPRODUCT(Attributs!$I$2:$I$18,Attributs!$CS$2:$CS$18))/((SQRT(SUMSQ(Attributs!$H$2:$H$18)+SUMSQ(Attributs!$I$2:$I$18)))*(SQRT(SUMSQ(Attributs!$CR$2:$CR$18)+SUMSQ(Attributs!$CS$2:$CS$18)))),0)</f>
        <v/>
      </c>
      <c r="AX5" s="2">
        <f>IFERROR((SUMPRODUCT(Attributs!$H$2:$H$18,Attributs!$CT$2:$CT$18)+SUMPRODUCT(Attributs!$I$2:$I$18,Attributs!$CU$2:$CU$18))/((SQRT(SUMSQ(Attributs!$H$2:$H$18)+SUMSQ(Attributs!$I$2:$I$18)))*(SQRT(SUMSQ(Attributs!$CT$2:$CT$18)+SUMSQ(Attributs!$CU$2:$CU$18)))),0)</f>
        <v/>
      </c>
      <c r="AY5" s="2">
        <f>IFERROR((SUMPRODUCT(Attributs!$H$2:$H$18,Attributs!$CV$2:$CV$18)+SUMPRODUCT(Attributs!$I$2:$I$18,Attributs!$CW$2:$CW$18))/((SQRT(SUMSQ(Attributs!$H$2:$H$18)+SUMSQ(Attributs!$I$2:$I$18)))*(SQRT(SUMSQ(Attributs!$CV$2:$CV$18)+SUMSQ(Attributs!$CW$2:$CW$18)))),0)</f>
        <v/>
      </c>
      <c r="AZ5" s="2">
        <f>IFERROR((SUMPRODUCT(Attributs!$H$2:$H$18,Attributs!$CX$2:$CX$18)+SUMPRODUCT(Attributs!$I$2:$I$18,Attributs!$CY$2:$CY$18))/((SQRT(SUMSQ(Attributs!$H$2:$H$18)+SUMSQ(Attributs!$I$2:$I$18)))*(SQRT(SUMSQ(Attributs!$CX$2:$CX$18)+SUMSQ(Attributs!$CY$2:$CY$18)))),0)</f>
        <v/>
      </c>
      <c r="BA5" s="2">
        <f>IFERROR((SUMPRODUCT(Attributs!$H$2:$H$18,Attributs!$CZ$2:$CZ$18)+SUMPRODUCT(Attributs!$I$2:$I$18,Attributs!$DA$2:$DA$18))/((SQRT(SUMSQ(Attributs!$H$2:$H$18)+SUMSQ(Attributs!$I$2:$I$18)))*(SQRT(SUMSQ(Attributs!$CZ$2:$CZ$18)+SUMSQ(Attributs!$DA$2:$DA$18)))),0)</f>
        <v/>
      </c>
      <c r="BB5" s="2">
        <f>IFERROR((SUMPRODUCT(Attributs!$H$2:$H$18,Attributs!$DB$2:$DB$18)+SUMPRODUCT(Attributs!$I$2:$I$18,Attributs!$DC$2:$DC$18))/((SQRT(SUMSQ(Attributs!$H$2:$H$18)+SUMSQ(Attributs!$I$2:$I$18)))*(SQRT(SUMSQ(Attributs!$DB$2:$DB$18)+SUMSQ(Attributs!$DC$2:$DC$18)))),0)</f>
        <v/>
      </c>
      <c r="BC5" s="2">
        <f>IFERROR((SUMPRODUCT(Attributs!$H$2:$H$18,Attributs!$DD$2:$DD$18)+SUMPRODUCT(Attributs!$I$2:$I$18,Attributs!$DE$2:$DE$18))/((SQRT(SUMSQ(Attributs!$H$2:$H$18)+SUMSQ(Attributs!$I$2:$I$18)))*(SQRT(SUMSQ(Attributs!$DD$2:$DD$18)+SUMSQ(Attributs!$DE$2:$DE$18)))),0)</f>
        <v/>
      </c>
      <c r="BD5" s="2">
        <f>IFERROR((SUMPRODUCT(Attributs!$H$2:$H$18,Attributs!$DF$2:$DF$18)+SUMPRODUCT(Attributs!$I$2:$I$18,Attributs!$DG$2:$DG$18))/((SQRT(SUMSQ(Attributs!$H$2:$H$18)+SUMSQ(Attributs!$I$2:$I$18)))*(SQRT(SUMSQ(Attributs!$DF$2:$DF$18)+SUMSQ(Attributs!$DG$2:$DG$18)))),0)</f>
        <v/>
      </c>
      <c r="BE5" s="2">
        <f>IFERROR((SUMPRODUCT(Attributs!$H$2:$H$18,Attributs!$DH$2:$DH$18)+SUMPRODUCT(Attributs!$I$2:$I$18,Attributs!$DI$2:$DI$18))/((SQRT(SUMSQ(Attributs!$H$2:$H$18)+SUMSQ(Attributs!$I$2:$I$18)))*(SQRT(SUMSQ(Attributs!$DH$2:$DH$18)+SUMSQ(Attributs!$DI$2:$DI$18)))),0)</f>
        <v/>
      </c>
      <c r="BF5" s="2">
        <f>IFERROR((SUMPRODUCT(Attributs!$H$2:$H$18,Attributs!$DJ$2:$DJ$18)+SUMPRODUCT(Attributs!$I$2:$I$18,Attributs!$DK$2:$DK$18))/((SQRT(SUMSQ(Attributs!$H$2:$H$18)+SUMSQ(Attributs!$I$2:$I$18)))*(SQRT(SUMSQ(Attributs!$DJ$2:$DJ$18)+SUMSQ(Attributs!$DK$2:$DK$18)))),0)</f>
        <v/>
      </c>
      <c r="BG5" s="2">
        <f>IFERROR((SUMPRODUCT(Attributs!$H$2:$H$18,Attributs!$DL$2:$DL$18)+SUMPRODUCT(Attributs!$I$2:$I$18,Attributs!$DM$2:$DM$18))/((SQRT(SUMSQ(Attributs!$H$2:$H$18)+SUMSQ(Attributs!$I$2:$I$18)))*(SQRT(SUMSQ(Attributs!$DL$2:$DL$18)+SUMSQ(Attributs!$DM$2:$DM$18)))),0)</f>
        <v/>
      </c>
      <c r="BH5" s="2">
        <f>IFERROR((SUMPRODUCT(Attributs!$H$2:$H$18,Attributs!$DN$2:$DN$18)+SUMPRODUCT(Attributs!$I$2:$I$18,Attributs!$DO$2:$DO$18))/((SQRT(SUMSQ(Attributs!$H$2:$H$18)+SUMSQ(Attributs!$I$2:$I$18)))*(SQRT(SUMSQ(Attributs!$DN$2:$DN$18)+SUMSQ(Attributs!$DO$2:$DO$18)))),0)</f>
        <v/>
      </c>
      <c r="BI5" s="2">
        <f>IFERROR((SUMPRODUCT(Attributs!$H$2:$H$18,Attributs!$DP$2:$DP$18)+SUMPRODUCT(Attributs!$I$2:$I$18,Attributs!$DQ$2:$DQ$18))/((SQRT(SUMSQ(Attributs!$H$2:$H$18)+SUMSQ(Attributs!$I$2:$I$18)))*(SQRT(SUMSQ(Attributs!$DP$2:$DP$18)+SUMSQ(Attributs!$DQ$2:$DQ$18)))),0)</f>
        <v/>
      </c>
      <c r="BJ5" s="2">
        <f>IFERROR((SUMPRODUCT(Attributs!$H$2:$H$18,Attributs!$DR$2:$DR$18)+SUMPRODUCT(Attributs!$I$2:$I$18,Attributs!$DS$2:$DS$18))/((SQRT(SUMSQ(Attributs!$H$2:$H$18)+SUMSQ(Attributs!$I$2:$I$18)))*(SQRT(SUMSQ(Attributs!$DR$2:$DR$18)+SUMSQ(Attributs!$DS$2:$DS$18)))),0)</f>
        <v/>
      </c>
      <c r="BK5" s="2">
        <f>IFERROR((SUMPRODUCT(Attributs!$H$2:$H$18,Attributs!$DT$2:$DT$18)+SUMPRODUCT(Attributs!$I$2:$I$18,Attributs!$DU$2:$DU$18))/((SQRT(SUMSQ(Attributs!$H$2:$H$18)+SUMSQ(Attributs!$I$2:$I$18)))*(SQRT(SUMSQ(Attributs!$DT$2:$DT$18)+SUMSQ(Attributs!$DU$2:$DU$18)))),0)</f>
        <v/>
      </c>
      <c r="BL5" s="2">
        <f>IFERROR((SUMPRODUCT(Attributs!$H$2:$H$18,Attributs!$DV$2:$DV$18)+SUMPRODUCT(Attributs!$I$2:$I$18,Attributs!$DW$2:$DW$18))/((SQRT(SUMSQ(Attributs!$H$2:$H$18)+SUMSQ(Attributs!$I$2:$I$18)))*(SQRT(SUMSQ(Attributs!$DV$2:$DV$18)+SUMSQ(Attributs!$DW$2:$DW$18)))),0)</f>
        <v/>
      </c>
    </row>
    <row r="6">
      <c r="A6" s="3" t="inlineStr">
        <is>
          <t>SE_mysql.postes.ViewCount</t>
        </is>
      </c>
      <c r="B6" s="2">
        <f>IFERROR((SUMPRODUCT(Attributs!$J$2:$J$18,Attributs!$B$2:$B$18)+SUMPRODUCT(Attributs!$K$2:$K$18,Attributs!$C$2:$C$18))/((SQRT(SUMSQ(Attributs!$J$2:$J$18)+SUMSQ(Attributs!$K$2:$K$18)))*(SQRT(SUMSQ(Attributs!$B$2:$B$18)+SUMSQ(Attributs!$C$2:$C$18)))),0)</f>
        <v/>
      </c>
      <c r="C6" s="2">
        <f>IFERROR((SUMPRODUCT(Attributs!$J$2:$J$18,Attributs!$D$2:$D$18)+SUMPRODUCT(Attributs!$K$2:$K$18,Attributs!$E$2:$E$18))/((SQRT(SUMSQ(Attributs!$J$2:$J$18)+SUMSQ(Attributs!$K$2:$K$18)))*(SQRT(SUMSQ(Attributs!$D$2:$D$18)+SUMSQ(Attributs!$E$2:$E$18)))),0)</f>
        <v/>
      </c>
      <c r="D6" s="2">
        <f>IFERROR((SUMPRODUCT(Attributs!$J$2:$J$18,Attributs!$F$2:$F$18)+SUMPRODUCT(Attributs!$K$2:$K$18,Attributs!$G$2:$G$18))/((SQRT(SUMSQ(Attributs!$J$2:$J$18)+SUMSQ(Attributs!$K$2:$K$18)))*(SQRT(SUMSQ(Attributs!$F$2:$F$18)+SUMSQ(Attributs!$G$2:$G$18)))),0)</f>
        <v/>
      </c>
      <c r="E6" s="2">
        <f>IFERROR((SUMPRODUCT(Attributs!$J$2:$J$18,Attributs!$H$2:$H$18)+SUMPRODUCT(Attributs!$K$2:$K$18,Attributs!$I$2:$I$18))/((SQRT(SUMSQ(Attributs!$J$2:$J$18)+SUMSQ(Attributs!$K$2:$K$18)))*(SQRT(SUMSQ(Attributs!$H$2:$H$18)+SUMSQ(Attributs!$I$2:$I$18)))),0)</f>
        <v/>
      </c>
      <c r="F6" s="2">
        <f>IFERROR((SUMPRODUCT(Attributs!$J$2:$J$18,Attributs!$J$2:$J$18)+SUMPRODUCT(Attributs!$K$2:$K$18,Attributs!$K$2:$K$18))/((SQRT(SUMSQ(Attributs!$J$2:$J$18)+SUMSQ(Attributs!$K$2:$K$18)))*(SQRT(SUMSQ(Attributs!$J$2:$J$18)+SUMSQ(Attributs!$K$2:$K$18)))),0)</f>
        <v/>
      </c>
      <c r="G6" s="2">
        <f>IFERROR((SUMPRODUCT(Attributs!$J$2:$J$18,Attributs!$L$2:$L$18)+SUMPRODUCT(Attributs!$K$2:$K$18,Attributs!$M$2:$M$18))/((SQRT(SUMSQ(Attributs!$J$2:$J$18)+SUMSQ(Attributs!$K$2:$K$18)))*(SQRT(SUMSQ(Attributs!$L$2:$L$18)+SUMSQ(Attributs!$M$2:$M$18)))),0)</f>
        <v/>
      </c>
      <c r="H6" s="2">
        <f>IFERROR((SUMPRODUCT(Attributs!$J$2:$J$18,Attributs!$N$2:$N$18)+SUMPRODUCT(Attributs!$K$2:$K$18,Attributs!$O$2:$O$18))/((SQRT(SUMSQ(Attributs!$J$2:$J$18)+SUMSQ(Attributs!$K$2:$K$18)))*(SQRT(SUMSQ(Attributs!$N$2:$N$18)+SUMSQ(Attributs!$O$2:$O$18)))),0)</f>
        <v/>
      </c>
      <c r="I6" s="2">
        <f>IFERROR((SUMPRODUCT(Attributs!$J$2:$J$18,Attributs!$P$2:$P$18)+SUMPRODUCT(Attributs!$K$2:$K$18,Attributs!$Q$2:$Q$18))/((SQRT(SUMSQ(Attributs!$J$2:$J$18)+SUMSQ(Attributs!$K$2:$K$18)))*(SQRT(SUMSQ(Attributs!$P$2:$P$18)+SUMSQ(Attributs!$Q$2:$Q$18)))),0)</f>
        <v/>
      </c>
      <c r="J6" s="2">
        <f>IFERROR((SUMPRODUCT(Attributs!$J$2:$J$18,Attributs!$R$2:$R$18)+SUMPRODUCT(Attributs!$K$2:$K$18,Attributs!$S$2:$S$18))/((SQRT(SUMSQ(Attributs!$J$2:$J$18)+SUMSQ(Attributs!$K$2:$K$18)))*(SQRT(SUMSQ(Attributs!$R$2:$R$18)+SUMSQ(Attributs!$S$2:$S$18)))),0)</f>
        <v/>
      </c>
      <c r="K6" s="2">
        <f>IFERROR((SUMPRODUCT(Attributs!$J$2:$J$18,Attributs!$T$2:$T$18)+SUMPRODUCT(Attributs!$K$2:$K$18,Attributs!$U$2:$U$18))/((SQRT(SUMSQ(Attributs!$J$2:$J$18)+SUMSQ(Attributs!$K$2:$K$18)))*(SQRT(SUMSQ(Attributs!$T$2:$T$18)+SUMSQ(Attributs!$U$2:$U$18)))),0)</f>
        <v/>
      </c>
      <c r="L6" s="2">
        <f>IFERROR((SUMPRODUCT(Attributs!$J$2:$J$18,Attributs!$V$2:$V$18)+SUMPRODUCT(Attributs!$K$2:$K$18,Attributs!$W$2:$W$18))/((SQRT(SUMSQ(Attributs!$J$2:$J$18)+SUMSQ(Attributs!$K$2:$K$18)))*(SQRT(SUMSQ(Attributs!$V$2:$V$18)+SUMSQ(Attributs!$W$2:$W$18)))),0)</f>
        <v/>
      </c>
      <c r="M6" s="2">
        <f>IFERROR((SUMPRODUCT(Attributs!$J$2:$J$18,Attributs!$X$2:$X$18)+SUMPRODUCT(Attributs!$K$2:$K$18,Attributs!$Y$2:$Y$18))/((SQRT(SUMSQ(Attributs!$J$2:$J$18)+SUMSQ(Attributs!$K$2:$K$18)))*(SQRT(SUMSQ(Attributs!$X$2:$X$18)+SUMSQ(Attributs!$Y$2:$Y$18)))),0)</f>
        <v/>
      </c>
      <c r="N6" s="2">
        <f>IFERROR((SUMPRODUCT(Attributs!$J$2:$J$18,Attributs!$Z$2:$Z$18)+SUMPRODUCT(Attributs!$K$2:$K$18,Attributs!$AA$2:$AA$18))/((SQRT(SUMSQ(Attributs!$J$2:$J$18)+SUMSQ(Attributs!$K$2:$K$18)))*(SQRT(SUMSQ(Attributs!$Z$2:$Z$18)+SUMSQ(Attributs!$AA$2:$AA$18)))),0)</f>
        <v/>
      </c>
      <c r="O6" s="2">
        <f>IFERROR((SUMPRODUCT(Attributs!$J$2:$J$18,Attributs!$AB$2:$AB$18)+SUMPRODUCT(Attributs!$K$2:$K$18,Attributs!$AC$2:$AC$18))/((SQRT(SUMSQ(Attributs!$J$2:$J$18)+SUMSQ(Attributs!$K$2:$K$18)))*(SQRT(SUMSQ(Attributs!$AB$2:$AB$18)+SUMSQ(Attributs!$AC$2:$AC$18)))),0)</f>
        <v/>
      </c>
      <c r="P6" s="2">
        <f>IFERROR((SUMPRODUCT(Attributs!$J$2:$J$18,Attributs!$AD$2:$AD$18)+SUMPRODUCT(Attributs!$K$2:$K$18,Attributs!$AE$2:$AE$18))/((SQRT(SUMSQ(Attributs!$J$2:$J$18)+SUMSQ(Attributs!$K$2:$K$18)))*(SQRT(SUMSQ(Attributs!$AD$2:$AD$18)+SUMSQ(Attributs!$AE$2:$AE$18)))),0)</f>
        <v/>
      </c>
      <c r="Q6" s="2">
        <f>IFERROR((SUMPRODUCT(Attributs!$J$2:$J$18,Attributs!$AF$2:$AF$18)+SUMPRODUCT(Attributs!$K$2:$K$18,Attributs!$AG$2:$AG$18))/((SQRT(SUMSQ(Attributs!$J$2:$J$18)+SUMSQ(Attributs!$K$2:$K$18)))*(SQRT(SUMSQ(Attributs!$AF$2:$AF$18)+SUMSQ(Attributs!$AG$2:$AG$18)))),0)</f>
        <v/>
      </c>
      <c r="R6" s="2">
        <f>IFERROR((SUMPRODUCT(Attributs!$J$2:$J$18,Attributs!$AH$2:$AH$18)+SUMPRODUCT(Attributs!$K$2:$K$18,Attributs!$AI$2:$AI$18))/((SQRT(SUMSQ(Attributs!$J$2:$J$18)+SUMSQ(Attributs!$K$2:$K$18)))*(SQRT(SUMSQ(Attributs!$AH$2:$AH$18)+SUMSQ(Attributs!$AI$2:$AI$18)))),0)</f>
        <v/>
      </c>
      <c r="S6" s="2">
        <f>IFERROR((SUMPRODUCT(Attributs!$J$2:$J$18,Attributs!$AJ$2:$AJ$18)+SUMPRODUCT(Attributs!$K$2:$K$18,Attributs!$AK$2:$AK$18))/((SQRT(SUMSQ(Attributs!$J$2:$J$18)+SUMSQ(Attributs!$K$2:$K$18)))*(SQRT(SUMSQ(Attributs!$AJ$2:$AJ$18)+SUMSQ(Attributs!$AK$2:$AK$18)))),0)</f>
        <v/>
      </c>
      <c r="T6" s="2">
        <f>IFERROR((SUMPRODUCT(Attributs!$J$2:$J$18,Attributs!$AL$2:$AL$18)+SUMPRODUCT(Attributs!$K$2:$K$18,Attributs!$AM$2:$AM$18))/((SQRT(SUMSQ(Attributs!$J$2:$J$18)+SUMSQ(Attributs!$K$2:$K$18)))*(SQRT(SUMSQ(Attributs!$AL$2:$AL$18)+SUMSQ(Attributs!$AM$2:$AM$18)))),0)</f>
        <v/>
      </c>
      <c r="U6" s="2">
        <f>IFERROR((SUMPRODUCT(Attributs!$J$2:$J$18,Attributs!$AN$2:$AN$18)+SUMPRODUCT(Attributs!$K$2:$K$18,Attributs!$AO$2:$AO$18))/((SQRT(SUMSQ(Attributs!$J$2:$J$18)+SUMSQ(Attributs!$K$2:$K$18)))*(SQRT(SUMSQ(Attributs!$AN$2:$AN$18)+SUMSQ(Attributs!$AO$2:$AO$18)))),0)</f>
        <v/>
      </c>
      <c r="V6" s="2">
        <f>IFERROR((SUMPRODUCT(Attributs!$J$2:$J$18,Attributs!$AP$2:$AP$18)+SUMPRODUCT(Attributs!$K$2:$K$18,Attributs!$AQ$2:$AQ$18))/((SQRT(SUMSQ(Attributs!$J$2:$J$18)+SUMSQ(Attributs!$K$2:$K$18)))*(SQRT(SUMSQ(Attributs!$AP$2:$AP$18)+SUMSQ(Attributs!$AQ$2:$AQ$18)))),0)</f>
        <v/>
      </c>
      <c r="W6" s="2">
        <f>IFERROR((SUMPRODUCT(Attributs!$J$2:$J$18,Attributs!$AR$2:$AR$18)+SUMPRODUCT(Attributs!$K$2:$K$18,Attributs!$AS$2:$AS$18))/((SQRT(SUMSQ(Attributs!$J$2:$J$18)+SUMSQ(Attributs!$K$2:$K$18)))*(SQRT(SUMSQ(Attributs!$AR$2:$AR$18)+SUMSQ(Attributs!$AS$2:$AS$18)))),0)</f>
        <v/>
      </c>
      <c r="X6" s="2">
        <f>IFERROR((SUMPRODUCT(Attributs!$J$2:$J$18,Attributs!$AT$2:$AT$18)+SUMPRODUCT(Attributs!$K$2:$K$18,Attributs!$AU$2:$AU$18))/((SQRT(SUMSQ(Attributs!$J$2:$J$18)+SUMSQ(Attributs!$K$2:$K$18)))*(SQRT(SUMSQ(Attributs!$AT$2:$AT$18)+SUMSQ(Attributs!$AU$2:$AU$18)))),0)</f>
        <v/>
      </c>
      <c r="Y6" s="2">
        <f>IFERROR((SUMPRODUCT(Attributs!$J$2:$J$18,Attributs!$AV$2:$AV$18)+SUMPRODUCT(Attributs!$K$2:$K$18,Attributs!$AW$2:$AW$18))/((SQRT(SUMSQ(Attributs!$J$2:$J$18)+SUMSQ(Attributs!$K$2:$K$18)))*(SQRT(SUMSQ(Attributs!$AV$2:$AV$18)+SUMSQ(Attributs!$AW$2:$AW$18)))),0)</f>
        <v/>
      </c>
      <c r="Z6" s="2">
        <f>IFERROR((SUMPRODUCT(Attributs!$J$2:$J$18,Attributs!$AX$2:$AX$18)+SUMPRODUCT(Attributs!$K$2:$K$18,Attributs!$AY$2:$AY$18))/((SQRT(SUMSQ(Attributs!$J$2:$J$18)+SUMSQ(Attributs!$K$2:$K$18)))*(SQRT(SUMSQ(Attributs!$AX$2:$AX$18)+SUMSQ(Attributs!$AY$2:$AY$18)))),0)</f>
        <v/>
      </c>
      <c r="AA6" s="2">
        <f>IFERROR((SUMPRODUCT(Attributs!$J$2:$J$18,Attributs!$AZ$2:$AZ$18)+SUMPRODUCT(Attributs!$K$2:$K$18,Attributs!$BA$2:$BA$18))/((SQRT(SUMSQ(Attributs!$J$2:$J$18)+SUMSQ(Attributs!$K$2:$K$18)))*(SQRT(SUMSQ(Attributs!$AZ$2:$AZ$18)+SUMSQ(Attributs!$BA$2:$BA$18)))),0)</f>
        <v/>
      </c>
      <c r="AB6" s="2">
        <f>IFERROR((SUMPRODUCT(Attributs!$J$2:$J$18,Attributs!$BB$2:$BB$18)+SUMPRODUCT(Attributs!$K$2:$K$18,Attributs!$BC$2:$BC$18))/((SQRT(SUMSQ(Attributs!$J$2:$J$18)+SUMSQ(Attributs!$K$2:$K$18)))*(SQRT(SUMSQ(Attributs!$BB$2:$BB$18)+SUMSQ(Attributs!$BC$2:$BC$18)))),0)</f>
        <v/>
      </c>
      <c r="AC6" s="2">
        <f>IFERROR((SUMPRODUCT(Attributs!$J$2:$J$18,Attributs!$BD$2:$BD$18)+SUMPRODUCT(Attributs!$K$2:$K$18,Attributs!$BE$2:$BE$18))/((SQRT(SUMSQ(Attributs!$J$2:$J$18)+SUMSQ(Attributs!$K$2:$K$18)))*(SQRT(SUMSQ(Attributs!$BD$2:$BD$18)+SUMSQ(Attributs!$BE$2:$BE$18)))),0)</f>
        <v/>
      </c>
      <c r="AD6" s="2">
        <f>IFERROR((SUMPRODUCT(Attributs!$J$2:$J$18,Attributs!$BF$2:$BF$18)+SUMPRODUCT(Attributs!$K$2:$K$18,Attributs!$BG$2:$BG$18))/((SQRT(SUMSQ(Attributs!$J$2:$J$18)+SUMSQ(Attributs!$K$2:$K$18)))*(SQRT(SUMSQ(Attributs!$BF$2:$BF$18)+SUMSQ(Attributs!$BG$2:$BG$18)))),0)</f>
        <v/>
      </c>
      <c r="AE6" s="2">
        <f>IFERROR((SUMPRODUCT(Attributs!$J$2:$J$18,Attributs!$BH$2:$BH$18)+SUMPRODUCT(Attributs!$K$2:$K$18,Attributs!$BI$2:$BI$18))/((SQRT(SUMSQ(Attributs!$J$2:$J$18)+SUMSQ(Attributs!$K$2:$K$18)))*(SQRT(SUMSQ(Attributs!$BH$2:$BH$18)+SUMSQ(Attributs!$BI$2:$BI$18)))),0)</f>
        <v/>
      </c>
      <c r="AF6" s="2">
        <f>IFERROR((SUMPRODUCT(Attributs!$J$2:$J$18,Attributs!$BJ$2:$BJ$18)+SUMPRODUCT(Attributs!$K$2:$K$18,Attributs!$BK$2:$BK$18))/((SQRT(SUMSQ(Attributs!$J$2:$J$18)+SUMSQ(Attributs!$K$2:$K$18)))*(SQRT(SUMSQ(Attributs!$BJ$2:$BJ$18)+SUMSQ(Attributs!$BK$2:$BK$18)))),0)</f>
        <v/>
      </c>
      <c r="AG6" s="2">
        <f>IFERROR((SUMPRODUCT(Attributs!$J$2:$J$18,Attributs!$BL$2:$BL$18)+SUMPRODUCT(Attributs!$K$2:$K$18,Attributs!$BM$2:$BM$18))/((SQRT(SUMSQ(Attributs!$J$2:$J$18)+SUMSQ(Attributs!$K$2:$K$18)))*(SQRT(SUMSQ(Attributs!$BL$2:$BL$18)+SUMSQ(Attributs!$BM$2:$BM$18)))),0)</f>
        <v/>
      </c>
      <c r="AH6" s="2">
        <f>IFERROR((SUMPRODUCT(Attributs!$J$2:$J$18,Attributs!$BN$2:$BN$18)+SUMPRODUCT(Attributs!$K$2:$K$18,Attributs!$BO$2:$BO$18))/((SQRT(SUMSQ(Attributs!$J$2:$J$18)+SUMSQ(Attributs!$K$2:$K$18)))*(SQRT(SUMSQ(Attributs!$BN$2:$BN$18)+SUMSQ(Attributs!$BO$2:$BO$18)))),0)</f>
        <v/>
      </c>
      <c r="AI6" s="2">
        <f>IFERROR((SUMPRODUCT(Attributs!$J$2:$J$18,Attributs!$BP$2:$BP$18)+SUMPRODUCT(Attributs!$K$2:$K$18,Attributs!$BQ$2:$BQ$18))/((SQRT(SUMSQ(Attributs!$J$2:$J$18)+SUMSQ(Attributs!$K$2:$K$18)))*(SQRT(SUMSQ(Attributs!$BP$2:$BP$18)+SUMSQ(Attributs!$BQ$2:$BQ$18)))),0)</f>
        <v/>
      </c>
      <c r="AJ6" s="2">
        <f>IFERROR((SUMPRODUCT(Attributs!$J$2:$J$18,Attributs!$BR$2:$BR$18)+SUMPRODUCT(Attributs!$K$2:$K$18,Attributs!$BS$2:$BS$18))/((SQRT(SUMSQ(Attributs!$J$2:$J$18)+SUMSQ(Attributs!$K$2:$K$18)))*(SQRT(SUMSQ(Attributs!$BR$2:$BR$18)+SUMSQ(Attributs!$BS$2:$BS$18)))),0)</f>
        <v/>
      </c>
      <c r="AK6" s="2">
        <f>IFERROR((SUMPRODUCT(Attributs!$J$2:$J$18,Attributs!$BT$2:$BT$18)+SUMPRODUCT(Attributs!$K$2:$K$18,Attributs!$BU$2:$BU$18))/((SQRT(SUMSQ(Attributs!$J$2:$J$18)+SUMSQ(Attributs!$K$2:$K$18)))*(SQRT(SUMSQ(Attributs!$BT$2:$BT$18)+SUMSQ(Attributs!$BU$2:$BU$18)))),0)</f>
        <v/>
      </c>
      <c r="AL6" s="2">
        <f>IFERROR((SUMPRODUCT(Attributs!$J$2:$J$18,Attributs!$BV$2:$BV$18)+SUMPRODUCT(Attributs!$K$2:$K$18,Attributs!$BW$2:$BW$18))/((SQRT(SUMSQ(Attributs!$J$2:$J$18)+SUMSQ(Attributs!$K$2:$K$18)))*(SQRT(SUMSQ(Attributs!$BV$2:$BV$18)+SUMSQ(Attributs!$BW$2:$BW$18)))),0)</f>
        <v/>
      </c>
      <c r="AM6" s="2">
        <f>IFERROR((SUMPRODUCT(Attributs!$J$2:$J$18,Attributs!$BX$2:$BX$18)+SUMPRODUCT(Attributs!$K$2:$K$18,Attributs!$BY$2:$BY$18))/((SQRT(SUMSQ(Attributs!$J$2:$J$18)+SUMSQ(Attributs!$K$2:$K$18)))*(SQRT(SUMSQ(Attributs!$BX$2:$BX$18)+SUMSQ(Attributs!$BY$2:$BY$18)))),0)</f>
        <v/>
      </c>
      <c r="AN6" s="2">
        <f>IFERROR((SUMPRODUCT(Attributs!$J$2:$J$18,Attributs!$BZ$2:$BZ$18)+SUMPRODUCT(Attributs!$K$2:$K$18,Attributs!$CA$2:$CA$18))/((SQRT(SUMSQ(Attributs!$J$2:$J$18)+SUMSQ(Attributs!$K$2:$K$18)))*(SQRT(SUMSQ(Attributs!$BZ$2:$BZ$18)+SUMSQ(Attributs!$CA$2:$CA$18)))),0)</f>
        <v/>
      </c>
      <c r="AO6" s="2">
        <f>IFERROR((SUMPRODUCT(Attributs!$J$2:$J$18,Attributs!$CB$2:$CB$18)+SUMPRODUCT(Attributs!$K$2:$K$18,Attributs!$CC$2:$CC$18))/((SQRT(SUMSQ(Attributs!$J$2:$J$18)+SUMSQ(Attributs!$K$2:$K$18)))*(SQRT(SUMSQ(Attributs!$CB$2:$CB$18)+SUMSQ(Attributs!$CC$2:$CC$18)))),0)</f>
        <v/>
      </c>
      <c r="AP6" s="2">
        <f>IFERROR((SUMPRODUCT(Attributs!$J$2:$J$18,Attributs!$CD$2:$CD$18)+SUMPRODUCT(Attributs!$K$2:$K$18,Attributs!$CE$2:$CE$18))/((SQRT(SUMSQ(Attributs!$J$2:$J$18)+SUMSQ(Attributs!$K$2:$K$18)))*(SQRT(SUMSQ(Attributs!$CD$2:$CD$18)+SUMSQ(Attributs!$CE$2:$CE$18)))),0)</f>
        <v/>
      </c>
      <c r="AQ6" s="2">
        <f>IFERROR((SUMPRODUCT(Attributs!$J$2:$J$18,Attributs!$CF$2:$CF$18)+SUMPRODUCT(Attributs!$K$2:$K$18,Attributs!$CG$2:$CG$18))/((SQRT(SUMSQ(Attributs!$J$2:$J$18)+SUMSQ(Attributs!$K$2:$K$18)))*(SQRT(SUMSQ(Attributs!$CF$2:$CF$18)+SUMSQ(Attributs!$CG$2:$CG$18)))),0)</f>
        <v/>
      </c>
      <c r="AR6" s="2">
        <f>IFERROR((SUMPRODUCT(Attributs!$J$2:$J$18,Attributs!$CH$2:$CH$18)+SUMPRODUCT(Attributs!$K$2:$K$18,Attributs!$CI$2:$CI$18))/((SQRT(SUMSQ(Attributs!$J$2:$J$18)+SUMSQ(Attributs!$K$2:$K$18)))*(SQRT(SUMSQ(Attributs!$CH$2:$CH$18)+SUMSQ(Attributs!$CI$2:$CI$18)))),0)</f>
        <v/>
      </c>
      <c r="AS6" s="2">
        <f>IFERROR((SUMPRODUCT(Attributs!$J$2:$J$18,Attributs!$CJ$2:$CJ$18)+SUMPRODUCT(Attributs!$K$2:$K$18,Attributs!$CK$2:$CK$18))/((SQRT(SUMSQ(Attributs!$J$2:$J$18)+SUMSQ(Attributs!$K$2:$K$18)))*(SQRT(SUMSQ(Attributs!$CJ$2:$CJ$18)+SUMSQ(Attributs!$CK$2:$CK$18)))),0)</f>
        <v/>
      </c>
      <c r="AT6" s="2">
        <f>IFERROR((SUMPRODUCT(Attributs!$J$2:$J$18,Attributs!$CL$2:$CL$18)+SUMPRODUCT(Attributs!$K$2:$K$18,Attributs!$CM$2:$CM$18))/((SQRT(SUMSQ(Attributs!$J$2:$J$18)+SUMSQ(Attributs!$K$2:$K$18)))*(SQRT(SUMSQ(Attributs!$CL$2:$CL$18)+SUMSQ(Attributs!$CM$2:$CM$18)))),0)</f>
        <v/>
      </c>
      <c r="AU6" s="2">
        <f>IFERROR((SUMPRODUCT(Attributs!$J$2:$J$18,Attributs!$CN$2:$CN$18)+SUMPRODUCT(Attributs!$K$2:$K$18,Attributs!$CO$2:$CO$18))/((SQRT(SUMSQ(Attributs!$J$2:$J$18)+SUMSQ(Attributs!$K$2:$K$18)))*(SQRT(SUMSQ(Attributs!$CN$2:$CN$18)+SUMSQ(Attributs!$CO$2:$CO$18)))),0)</f>
        <v/>
      </c>
      <c r="AV6" s="2">
        <f>IFERROR((SUMPRODUCT(Attributs!$J$2:$J$18,Attributs!$CP$2:$CP$18)+SUMPRODUCT(Attributs!$K$2:$K$18,Attributs!$CQ$2:$CQ$18))/((SQRT(SUMSQ(Attributs!$J$2:$J$18)+SUMSQ(Attributs!$K$2:$K$18)))*(SQRT(SUMSQ(Attributs!$CP$2:$CP$18)+SUMSQ(Attributs!$CQ$2:$CQ$18)))),0)</f>
        <v/>
      </c>
      <c r="AW6" s="2">
        <f>IFERROR((SUMPRODUCT(Attributs!$J$2:$J$18,Attributs!$CR$2:$CR$18)+SUMPRODUCT(Attributs!$K$2:$K$18,Attributs!$CS$2:$CS$18))/((SQRT(SUMSQ(Attributs!$J$2:$J$18)+SUMSQ(Attributs!$K$2:$K$18)))*(SQRT(SUMSQ(Attributs!$CR$2:$CR$18)+SUMSQ(Attributs!$CS$2:$CS$18)))),0)</f>
        <v/>
      </c>
      <c r="AX6" s="2">
        <f>IFERROR((SUMPRODUCT(Attributs!$J$2:$J$18,Attributs!$CT$2:$CT$18)+SUMPRODUCT(Attributs!$K$2:$K$18,Attributs!$CU$2:$CU$18))/((SQRT(SUMSQ(Attributs!$J$2:$J$18)+SUMSQ(Attributs!$K$2:$K$18)))*(SQRT(SUMSQ(Attributs!$CT$2:$CT$18)+SUMSQ(Attributs!$CU$2:$CU$18)))),0)</f>
        <v/>
      </c>
      <c r="AY6" s="2">
        <f>IFERROR((SUMPRODUCT(Attributs!$J$2:$J$18,Attributs!$CV$2:$CV$18)+SUMPRODUCT(Attributs!$K$2:$K$18,Attributs!$CW$2:$CW$18))/((SQRT(SUMSQ(Attributs!$J$2:$J$18)+SUMSQ(Attributs!$K$2:$K$18)))*(SQRT(SUMSQ(Attributs!$CV$2:$CV$18)+SUMSQ(Attributs!$CW$2:$CW$18)))),0)</f>
        <v/>
      </c>
      <c r="AZ6" s="2">
        <f>IFERROR((SUMPRODUCT(Attributs!$J$2:$J$18,Attributs!$CX$2:$CX$18)+SUMPRODUCT(Attributs!$K$2:$K$18,Attributs!$CY$2:$CY$18))/((SQRT(SUMSQ(Attributs!$J$2:$J$18)+SUMSQ(Attributs!$K$2:$K$18)))*(SQRT(SUMSQ(Attributs!$CX$2:$CX$18)+SUMSQ(Attributs!$CY$2:$CY$18)))),0)</f>
        <v/>
      </c>
      <c r="BA6" s="2">
        <f>IFERROR((SUMPRODUCT(Attributs!$J$2:$J$18,Attributs!$CZ$2:$CZ$18)+SUMPRODUCT(Attributs!$K$2:$K$18,Attributs!$DA$2:$DA$18))/((SQRT(SUMSQ(Attributs!$J$2:$J$18)+SUMSQ(Attributs!$K$2:$K$18)))*(SQRT(SUMSQ(Attributs!$CZ$2:$CZ$18)+SUMSQ(Attributs!$DA$2:$DA$18)))),0)</f>
        <v/>
      </c>
      <c r="BB6" s="2">
        <f>IFERROR((SUMPRODUCT(Attributs!$J$2:$J$18,Attributs!$DB$2:$DB$18)+SUMPRODUCT(Attributs!$K$2:$K$18,Attributs!$DC$2:$DC$18))/((SQRT(SUMSQ(Attributs!$J$2:$J$18)+SUMSQ(Attributs!$K$2:$K$18)))*(SQRT(SUMSQ(Attributs!$DB$2:$DB$18)+SUMSQ(Attributs!$DC$2:$DC$18)))),0)</f>
        <v/>
      </c>
      <c r="BC6" s="2">
        <f>IFERROR((SUMPRODUCT(Attributs!$J$2:$J$18,Attributs!$DD$2:$DD$18)+SUMPRODUCT(Attributs!$K$2:$K$18,Attributs!$DE$2:$DE$18))/((SQRT(SUMSQ(Attributs!$J$2:$J$18)+SUMSQ(Attributs!$K$2:$K$18)))*(SQRT(SUMSQ(Attributs!$DD$2:$DD$18)+SUMSQ(Attributs!$DE$2:$DE$18)))),0)</f>
        <v/>
      </c>
      <c r="BD6" s="2">
        <f>IFERROR((SUMPRODUCT(Attributs!$J$2:$J$18,Attributs!$DF$2:$DF$18)+SUMPRODUCT(Attributs!$K$2:$K$18,Attributs!$DG$2:$DG$18))/((SQRT(SUMSQ(Attributs!$J$2:$J$18)+SUMSQ(Attributs!$K$2:$K$18)))*(SQRT(SUMSQ(Attributs!$DF$2:$DF$18)+SUMSQ(Attributs!$DG$2:$DG$18)))),0)</f>
        <v/>
      </c>
      <c r="BE6" s="2">
        <f>IFERROR((SUMPRODUCT(Attributs!$J$2:$J$18,Attributs!$DH$2:$DH$18)+SUMPRODUCT(Attributs!$K$2:$K$18,Attributs!$DI$2:$DI$18))/((SQRT(SUMSQ(Attributs!$J$2:$J$18)+SUMSQ(Attributs!$K$2:$K$18)))*(SQRT(SUMSQ(Attributs!$DH$2:$DH$18)+SUMSQ(Attributs!$DI$2:$DI$18)))),0)</f>
        <v/>
      </c>
      <c r="BF6" s="2">
        <f>IFERROR((SUMPRODUCT(Attributs!$J$2:$J$18,Attributs!$DJ$2:$DJ$18)+SUMPRODUCT(Attributs!$K$2:$K$18,Attributs!$DK$2:$DK$18))/((SQRT(SUMSQ(Attributs!$J$2:$J$18)+SUMSQ(Attributs!$K$2:$K$18)))*(SQRT(SUMSQ(Attributs!$DJ$2:$DJ$18)+SUMSQ(Attributs!$DK$2:$DK$18)))),0)</f>
        <v/>
      </c>
      <c r="BG6" s="2">
        <f>IFERROR((SUMPRODUCT(Attributs!$J$2:$J$18,Attributs!$DL$2:$DL$18)+SUMPRODUCT(Attributs!$K$2:$K$18,Attributs!$DM$2:$DM$18))/((SQRT(SUMSQ(Attributs!$J$2:$J$18)+SUMSQ(Attributs!$K$2:$K$18)))*(SQRT(SUMSQ(Attributs!$DL$2:$DL$18)+SUMSQ(Attributs!$DM$2:$DM$18)))),0)</f>
        <v/>
      </c>
      <c r="BH6" s="2">
        <f>IFERROR((SUMPRODUCT(Attributs!$J$2:$J$18,Attributs!$DN$2:$DN$18)+SUMPRODUCT(Attributs!$K$2:$K$18,Attributs!$DO$2:$DO$18))/((SQRT(SUMSQ(Attributs!$J$2:$J$18)+SUMSQ(Attributs!$K$2:$K$18)))*(SQRT(SUMSQ(Attributs!$DN$2:$DN$18)+SUMSQ(Attributs!$DO$2:$DO$18)))),0)</f>
        <v/>
      </c>
      <c r="BI6" s="2">
        <f>IFERROR((SUMPRODUCT(Attributs!$J$2:$J$18,Attributs!$DP$2:$DP$18)+SUMPRODUCT(Attributs!$K$2:$K$18,Attributs!$DQ$2:$DQ$18))/((SQRT(SUMSQ(Attributs!$J$2:$J$18)+SUMSQ(Attributs!$K$2:$K$18)))*(SQRT(SUMSQ(Attributs!$DP$2:$DP$18)+SUMSQ(Attributs!$DQ$2:$DQ$18)))),0)</f>
        <v/>
      </c>
      <c r="BJ6" s="2">
        <f>IFERROR((SUMPRODUCT(Attributs!$J$2:$J$18,Attributs!$DR$2:$DR$18)+SUMPRODUCT(Attributs!$K$2:$K$18,Attributs!$DS$2:$DS$18))/((SQRT(SUMSQ(Attributs!$J$2:$J$18)+SUMSQ(Attributs!$K$2:$K$18)))*(SQRT(SUMSQ(Attributs!$DR$2:$DR$18)+SUMSQ(Attributs!$DS$2:$DS$18)))),0)</f>
        <v/>
      </c>
      <c r="BK6" s="2">
        <f>IFERROR((SUMPRODUCT(Attributs!$J$2:$J$18,Attributs!$DT$2:$DT$18)+SUMPRODUCT(Attributs!$K$2:$K$18,Attributs!$DU$2:$DU$18))/((SQRT(SUMSQ(Attributs!$J$2:$J$18)+SUMSQ(Attributs!$K$2:$K$18)))*(SQRT(SUMSQ(Attributs!$DT$2:$DT$18)+SUMSQ(Attributs!$DU$2:$DU$18)))),0)</f>
        <v/>
      </c>
      <c r="BL6" s="2">
        <f>IFERROR((SUMPRODUCT(Attributs!$J$2:$J$18,Attributs!$DV$2:$DV$18)+SUMPRODUCT(Attributs!$K$2:$K$18,Attributs!$DW$2:$DW$18))/((SQRT(SUMSQ(Attributs!$J$2:$J$18)+SUMSQ(Attributs!$K$2:$K$18)))*(SQRT(SUMSQ(Attributs!$DV$2:$DV$18)+SUMSQ(Attributs!$DW$2:$DW$18)))),0)</f>
        <v/>
      </c>
    </row>
    <row r="7">
      <c r="A7" s="3" t="inlineStr">
        <is>
          <t>SE_mysql.postes.LastEditDate</t>
        </is>
      </c>
      <c r="B7" s="2">
        <f>IFERROR((SUMPRODUCT(Attributs!$L$2:$L$18,Attributs!$B$2:$B$18)+SUMPRODUCT(Attributs!$M$2:$M$18,Attributs!$C$2:$C$18))/((SQRT(SUMSQ(Attributs!$L$2:$L$18)+SUMSQ(Attributs!$M$2:$M$18)))*(SQRT(SUMSQ(Attributs!$B$2:$B$18)+SUMSQ(Attributs!$C$2:$C$18)))),0)</f>
        <v/>
      </c>
      <c r="C7" s="2">
        <f>IFERROR((SUMPRODUCT(Attributs!$L$2:$L$18,Attributs!$D$2:$D$18)+SUMPRODUCT(Attributs!$M$2:$M$18,Attributs!$E$2:$E$18))/((SQRT(SUMSQ(Attributs!$L$2:$L$18)+SUMSQ(Attributs!$M$2:$M$18)))*(SQRT(SUMSQ(Attributs!$D$2:$D$18)+SUMSQ(Attributs!$E$2:$E$18)))),0)</f>
        <v/>
      </c>
      <c r="D7" s="2">
        <f>IFERROR((SUMPRODUCT(Attributs!$L$2:$L$18,Attributs!$F$2:$F$18)+SUMPRODUCT(Attributs!$M$2:$M$18,Attributs!$G$2:$G$18))/((SQRT(SUMSQ(Attributs!$L$2:$L$18)+SUMSQ(Attributs!$M$2:$M$18)))*(SQRT(SUMSQ(Attributs!$F$2:$F$18)+SUMSQ(Attributs!$G$2:$G$18)))),0)</f>
        <v/>
      </c>
      <c r="E7" s="2">
        <f>IFERROR((SUMPRODUCT(Attributs!$L$2:$L$18,Attributs!$H$2:$H$18)+SUMPRODUCT(Attributs!$M$2:$M$18,Attributs!$I$2:$I$18))/((SQRT(SUMSQ(Attributs!$L$2:$L$18)+SUMSQ(Attributs!$M$2:$M$18)))*(SQRT(SUMSQ(Attributs!$H$2:$H$18)+SUMSQ(Attributs!$I$2:$I$18)))),0)</f>
        <v/>
      </c>
      <c r="F7" s="2">
        <f>IFERROR((SUMPRODUCT(Attributs!$L$2:$L$18,Attributs!$J$2:$J$18)+SUMPRODUCT(Attributs!$M$2:$M$18,Attributs!$K$2:$K$18))/((SQRT(SUMSQ(Attributs!$L$2:$L$18)+SUMSQ(Attributs!$M$2:$M$18)))*(SQRT(SUMSQ(Attributs!$J$2:$J$18)+SUMSQ(Attributs!$K$2:$K$18)))),0)</f>
        <v/>
      </c>
      <c r="G7" s="2">
        <f>IFERROR((SUMPRODUCT(Attributs!$L$2:$L$18,Attributs!$L$2:$L$18)+SUMPRODUCT(Attributs!$M$2:$M$18,Attributs!$M$2:$M$18))/((SQRT(SUMSQ(Attributs!$L$2:$L$18)+SUMSQ(Attributs!$M$2:$M$18)))*(SQRT(SUMSQ(Attributs!$L$2:$L$18)+SUMSQ(Attributs!$M$2:$M$18)))),0)</f>
        <v/>
      </c>
      <c r="H7" s="2">
        <f>IFERROR((SUMPRODUCT(Attributs!$L$2:$L$18,Attributs!$N$2:$N$18)+SUMPRODUCT(Attributs!$M$2:$M$18,Attributs!$O$2:$O$18))/((SQRT(SUMSQ(Attributs!$L$2:$L$18)+SUMSQ(Attributs!$M$2:$M$18)))*(SQRT(SUMSQ(Attributs!$N$2:$N$18)+SUMSQ(Attributs!$O$2:$O$18)))),0)</f>
        <v/>
      </c>
      <c r="I7" s="2">
        <f>IFERROR((SUMPRODUCT(Attributs!$L$2:$L$18,Attributs!$P$2:$P$18)+SUMPRODUCT(Attributs!$M$2:$M$18,Attributs!$Q$2:$Q$18))/((SQRT(SUMSQ(Attributs!$L$2:$L$18)+SUMSQ(Attributs!$M$2:$M$18)))*(SQRT(SUMSQ(Attributs!$P$2:$P$18)+SUMSQ(Attributs!$Q$2:$Q$18)))),0)</f>
        <v/>
      </c>
      <c r="J7" s="2">
        <f>IFERROR((SUMPRODUCT(Attributs!$L$2:$L$18,Attributs!$R$2:$R$18)+SUMPRODUCT(Attributs!$M$2:$M$18,Attributs!$S$2:$S$18))/((SQRT(SUMSQ(Attributs!$L$2:$L$18)+SUMSQ(Attributs!$M$2:$M$18)))*(SQRT(SUMSQ(Attributs!$R$2:$R$18)+SUMSQ(Attributs!$S$2:$S$18)))),0)</f>
        <v/>
      </c>
      <c r="K7" s="2">
        <f>IFERROR((SUMPRODUCT(Attributs!$L$2:$L$18,Attributs!$T$2:$T$18)+SUMPRODUCT(Attributs!$M$2:$M$18,Attributs!$U$2:$U$18))/((SQRT(SUMSQ(Attributs!$L$2:$L$18)+SUMSQ(Attributs!$M$2:$M$18)))*(SQRT(SUMSQ(Attributs!$T$2:$T$18)+SUMSQ(Attributs!$U$2:$U$18)))),0)</f>
        <v/>
      </c>
      <c r="L7" s="2">
        <f>IFERROR((SUMPRODUCT(Attributs!$L$2:$L$18,Attributs!$V$2:$V$18)+SUMPRODUCT(Attributs!$M$2:$M$18,Attributs!$W$2:$W$18))/((SQRT(SUMSQ(Attributs!$L$2:$L$18)+SUMSQ(Attributs!$M$2:$M$18)))*(SQRT(SUMSQ(Attributs!$V$2:$V$18)+SUMSQ(Attributs!$W$2:$W$18)))),0)</f>
        <v/>
      </c>
      <c r="M7" s="2">
        <f>IFERROR((SUMPRODUCT(Attributs!$L$2:$L$18,Attributs!$X$2:$X$18)+SUMPRODUCT(Attributs!$M$2:$M$18,Attributs!$Y$2:$Y$18))/((SQRT(SUMSQ(Attributs!$L$2:$L$18)+SUMSQ(Attributs!$M$2:$M$18)))*(SQRT(SUMSQ(Attributs!$X$2:$X$18)+SUMSQ(Attributs!$Y$2:$Y$18)))),0)</f>
        <v/>
      </c>
      <c r="N7" s="2">
        <f>IFERROR((SUMPRODUCT(Attributs!$L$2:$L$18,Attributs!$Z$2:$Z$18)+SUMPRODUCT(Attributs!$M$2:$M$18,Attributs!$AA$2:$AA$18))/((SQRT(SUMSQ(Attributs!$L$2:$L$18)+SUMSQ(Attributs!$M$2:$M$18)))*(SQRT(SUMSQ(Attributs!$Z$2:$Z$18)+SUMSQ(Attributs!$AA$2:$AA$18)))),0)</f>
        <v/>
      </c>
      <c r="O7" s="2">
        <f>IFERROR((SUMPRODUCT(Attributs!$L$2:$L$18,Attributs!$AB$2:$AB$18)+SUMPRODUCT(Attributs!$M$2:$M$18,Attributs!$AC$2:$AC$18))/((SQRT(SUMSQ(Attributs!$L$2:$L$18)+SUMSQ(Attributs!$M$2:$M$18)))*(SQRT(SUMSQ(Attributs!$AB$2:$AB$18)+SUMSQ(Attributs!$AC$2:$AC$18)))),0)</f>
        <v/>
      </c>
      <c r="P7" s="2">
        <f>IFERROR((SUMPRODUCT(Attributs!$L$2:$L$18,Attributs!$AD$2:$AD$18)+SUMPRODUCT(Attributs!$M$2:$M$18,Attributs!$AE$2:$AE$18))/((SQRT(SUMSQ(Attributs!$L$2:$L$18)+SUMSQ(Attributs!$M$2:$M$18)))*(SQRT(SUMSQ(Attributs!$AD$2:$AD$18)+SUMSQ(Attributs!$AE$2:$AE$18)))),0)</f>
        <v/>
      </c>
      <c r="Q7" s="2">
        <f>IFERROR((SUMPRODUCT(Attributs!$L$2:$L$18,Attributs!$AF$2:$AF$18)+SUMPRODUCT(Attributs!$M$2:$M$18,Attributs!$AG$2:$AG$18))/((SQRT(SUMSQ(Attributs!$L$2:$L$18)+SUMSQ(Attributs!$M$2:$M$18)))*(SQRT(SUMSQ(Attributs!$AF$2:$AF$18)+SUMSQ(Attributs!$AG$2:$AG$18)))),0)</f>
        <v/>
      </c>
      <c r="R7" s="2">
        <f>IFERROR((SUMPRODUCT(Attributs!$L$2:$L$18,Attributs!$AH$2:$AH$18)+SUMPRODUCT(Attributs!$M$2:$M$18,Attributs!$AI$2:$AI$18))/((SQRT(SUMSQ(Attributs!$L$2:$L$18)+SUMSQ(Attributs!$M$2:$M$18)))*(SQRT(SUMSQ(Attributs!$AH$2:$AH$18)+SUMSQ(Attributs!$AI$2:$AI$18)))),0)</f>
        <v/>
      </c>
      <c r="S7" s="2">
        <f>IFERROR((SUMPRODUCT(Attributs!$L$2:$L$18,Attributs!$AJ$2:$AJ$18)+SUMPRODUCT(Attributs!$M$2:$M$18,Attributs!$AK$2:$AK$18))/((SQRT(SUMSQ(Attributs!$L$2:$L$18)+SUMSQ(Attributs!$M$2:$M$18)))*(SQRT(SUMSQ(Attributs!$AJ$2:$AJ$18)+SUMSQ(Attributs!$AK$2:$AK$18)))),0)</f>
        <v/>
      </c>
      <c r="T7" s="2">
        <f>IFERROR((SUMPRODUCT(Attributs!$L$2:$L$18,Attributs!$AL$2:$AL$18)+SUMPRODUCT(Attributs!$M$2:$M$18,Attributs!$AM$2:$AM$18))/((SQRT(SUMSQ(Attributs!$L$2:$L$18)+SUMSQ(Attributs!$M$2:$M$18)))*(SQRT(SUMSQ(Attributs!$AL$2:$AL$18)+SUMSQ(Attributs!$AM$2:$AM$18)))),0)</f>
        <v/>
      </c>
      <c r="U7" s="2">
        <f>IFERROR((SUMPRODUCT(Attributs!$L$2:$L$18,Attributs!$AN$2:$AN$18)+SUMPRODUCT(Attributs!$M$2:$M$18,Attributs!$AO$2:$AO$18))/((SQRT(SUMSQ(Attributs!$L$2:$L$18)+SUMSQ(Attributs!$M$2:$M$18)))*(SQRT(SUMSQ(Attributs!$AN$2:$AN$18)+SUMSQ(Attributs!$AO$2:$AO$18)))),0)</f>
        <v/>
      </c>
      <c r="V7" s="2">
        <f>IFERROR((SUMPRODUCT(Attributs!$L$2:$L$18,Attributs!$AP$2:$AP$18)+SUMPRODUCT(Attributs!$M$2:$M$18,Attributs!$AQ$2:$AQ$18))/((SQRT(SUMSQ(Attributs!$L$2:$L$18)+SUMSQ(Attributs!$M$2:$M$18)))*(SQRT(SUMSQ(Attributs!$AP$2:$AP$18)+SUMSQ(Attributs!$AQ$2:$AQ$18)))),0)</f>
        <v/>
      </c>
      <c r="W7" s="2">
        <f>IFERROR((SUMPRODUCT(Attributs!$L$2:$L$18,Attributs!$AR$2:$AR$18)+SUMPRODUCT(Attributs!$M$2:$M$18,Attributs!$AS$2:$AS$18))/((SQRT(SUMSQ(Attributs!$L$2:$L$18)+SUMSQ(Attributs!$M$2:$M$18)))*(SQRT(SUMSQ(Attributs!$AR$2:$AR$18)+SUMSQ(Attributs!$AS$2:$AS$18)))),0)</f>
        <v/>
      </c>
      <c r="X7" s="2">
        <f>IFERROR((SUMPRODUCT(Attributs!$L$2:$L$18,Attributs!$AT$2:$AT$18)+SUMPRODUCT(Attributs!$M$2:$M$18,Attributs!$AU$2:$AU$18))/((SQRT(SUMSQ(Attributs!$L$2:$L$18)+SUMSQ(Attributs!$M$2:$M$18)))*(SQRT(SUMSQ(Attributs!$AT$2:$AT$18)+SUMSQ(Attributs!$AU$2:$AU$18)))),0)</f>
        <v/>
      </c>
      <c r="Y7" s="2">
        <f>IFERROR((SUMPRODUCT(Attributs!$L$2:$L$18,Attributs!$AV$2:$AV$18)+SUMPRODUCT(Attributs!$M$2:$M$18,Attributs!$AW$2:$AW$18))/((SQRT(SUMSQ(Attributs!$L$2:$L$18)+SUMSQ(Attributs!$M$2:$M$18)))*(SQRT(SUMSQ(Attributs!$AV$2:$AV$18)+SUMSQ(Attributs!$AW$2:$AW$18)))),0)</f>
        <v/>
      </c>
      <c r="Z7" s="2">
        <f>IFERROR((SUMPRODUCT(Attributs!$L$2:$L$18,Attributs!$AX$2:$AX$18)+SUMPRODUCT(Attributs!$M$2:$M$18,Attributs!$AY$2:$AY$18))/((SQRT(SUMSQ(Attributs!$L$2:$L$18)+SUMSQ(Attributs!$M$2:$M$18)))*(SQRT(SUMSQ(Attributs!$AX$2:$AX$18)+SUMSQ(Attributs!$AY$2:$AY$18)))),0)</f>
        <v/>
      </c>
      <c r="AA7" s="2">
        <f>IFERROR((SUMPRODUCT(Attributs!$L$2:$L$18,Attributs!$AZ$2:$AZ$18)+SUMPRODUCT(Attributs!$M$2:$M$18,Attributs!$BA$2:$BA$18))/((SQRT(SUMSQ(Attributs!$L$2:$L$18)+SUMSQ(Attributs!$M$2:$M$18)))*(SQRT(SUMSQ(Attributs!$AZ$2:$AZ$18)+SUMSQ(Attributs!$BA$2:$BA$18)))),0)</f>
        <v/>
      </c>
      <c r="AB7" s="2">
        <f>IFERROR((SUMPRODUCT(Attributs!$L$2:$L$18,Attributs!$BB$2:$BB$18)+SUMPRODUCT(Attributs!$M$2:$M$18,Attributs!$BC$2:$BC$18))/((SQRT(SUMSQ(Attributs!$L$2:$L$18)+SUMSQ(Attributs!$M$2:$M$18)))*(SQRT(SUMSQ(Attributs!$BB$2:$BB$18)+SUMSQ(Attributs!$BC$2:$BC$18)))),0)</f>
        <v/>
      </c>
      <c r="AC7" s="2">
        <f>IFERROR((SUMPRODUCT(Attributs!$L$2:$L$18,Attributs!$BD$2:$BD$18)+SUMPRODUCT(Attributs!$M$2:$M$18,Attributs!$BE$2:$BE$18))/((SQRT(SUMSQ(Attributs!$L$2:$L$18)+SUMSQ(Attributs!$M$2:$M$18)))*(SQRT(SUMSQ(Attributs!$BD$2:$BD$18)+SUMSQ(Attributs!$BE$2:$BE$18)))),0)</f>
        <v/>
      </c>
      <c r="AD7" s="2">
        <f>IFERROR((SUMPRODUCT(Attributs!$L$2:$L$18,Attributs!$BF$2:$BF$18)+SUMPRODUCT(Attributs!$M$2:$M$18,Attributs!$BG$2:$BG$18))/((SQRT(SUMSQ(Attributs!$L$2:$L$18)+SUMSQ(Attributs!$M$2:$M$18)))*(SQRT(SUMSQ(Attributs!$BF$2:$BF$18)+SUMSQ(Attributs!$BG$2:$BG$18)))),0)</f>
        <v/>
      </c>
      <c r="AE7" s="2">
        <f>IFERROR((SUMPRODUCT(Attributs!$L$2:$L$18,Attributs!$BH$2:$BH$18)+SUMPRODUCT(Attributs!$M$2:$M$18,Attributs!$BI$2:$BI$18))/((SQRT(SUMSQ(Attributs!$L$2:$L$18)+SUMSQ(Attributs!$M$2:$M$18)))*(SQRT(SUMSQ(Attributs!$BH$2:$BH$18)+SUMSQ(Attributs!$BI$2:$BI$18)))),0)</f>
        <v/>
      </c>
      <c r="AF7" s="2">
        <f>IFERROR((SUMPRODUCT(Attributs!$L$2:$L$18,Attributs!$BJ$2:$BJ$18)+SUMPRODUCT(Attributs!$M$2:$M$18,Attributs!$BK$2:$BK$18))/((SQRT(SUMSQ(Attributs!$L$2:$L$18)+SUMSQ(Attributs!$M$2:$M$18)))*(SQRT(SUMSQ(Attributs!$BJ$2:$BJ$18)+SUMSQ(Attributs!$BK$2:$BK$18)))),0)</f>
        <v/>
      </c>
      <c r="AG7" s="2">
        <f>IFERROR((SUMPRODUCT(Attributs!$L$2:$L$18,Attributs!$BL$2:$BL$18)+SUMPRODUCT(Attributs!$M$2:$M$18,Attributs!$BM$2:$BM$18))/((SQRT(SUMSQ(Attributs!$L$2:$L$18)+SUMSQ(Attributs!$M$2:$M$18)))*(SQRT(SUMSQ(Attributs!$BL$2:$BL$18)+SUMSQ(Attributs!$BM$2:$BM$18)))),0)</f>
        <v/>
      </c>
      <c r="AH7" s="2">
        <f>IFERROR((SUMPRODUCT(Attributs!$L$2:$L$18,Attributs!$BN$2:$BN$18)+SUMPRODUCT(Attributs!$M$2:$M$18,Attributs!$BO$2:$BO$18))/((SQRT(SUMSQ(Attributs!$L$2:$L$18)+SUMSQ(Attributs!$M$2:$M$18)))*(SQRT(SUMSQ(Attributs!$BN$2:$BN$18)+SUMSQ(Attributs!$BO$2:$BO$18)))),0)</f>
        <v/>
      </c>
      <c r="AI7" s="2">
        <f>IFERROR((SUMPRODUCT(Attributs!$L$2:$L$18,Attributs!$BP$2:$BP$18)+SUMPRODUCT(Attributs!$M$2:$M$18,Attributs!$BQ$2:$BQ$18))/((SQRT(SUMSQ(Attributs!$L$2:$L$18)+SUMSQ(Attributs!$M$2:$M$18)))*(SQRT(SUMSQ(Attributs!$BP$2:$BP$18)+SUMSQ(Attributs!$BQ$2:$BQ$18)))),0)</f>
        <v/>
      </c>
      <c r="AJ7" s="2">
        <f>IFERROR((SUMPRODUCT(Attributs!$L$2:$L$18,Attributs!$BR$2:$BR$18)+SUMPRODUCT(Attributs!$M$2:$M$18,Attributs!$BS$2:$BS$18))/((SQRT(SUMSQ(Attributs!$L$2:$L$18)+SUMSQ(Attributs!$M$2:$M$18)))*(SQRT(SUMSQ(Attributs!$BR$2:$BR$18)+SUMSQ(Attributs!$BS$2:$BS$18)))),0)</f>
        <v/>
      </c>
      <c r="AK7" s="2">
        <f>IFERROR((SUMPRODUCT(Attributs!$L$2:$L$18,Attributs!$BT$2:$BT$18)+SUMPRODUCT(Attributs!$M$2:$M$18,Attributs!$BU$2:$BU$18))/((SQRT(SUMSQ(Attributs!$L$2:$L$18)+SUMSQ(Attributs!$M$2:$M$18)))*(SQRT(SUMSQ(Attributs!$BT$2:$BT$18)+SUMSQ(Attributs!$BU$2:$BU$18)))),0)</f>
        <v/>
      </c>
      <c r="AL7" s="2">
        <f>IFERROR((SUMPRODUCT(Attributs!$L$2:$L$18,Attributs!$BV$2:$BV$18)+SUMPRODUCT(Attributs!$M$2:$M$18,Attributs!$BW$2:$BW$18))/((SQRT(SUMSQ(Attributs!$L$2:$L$18)+SUMSQ(Attributs!$M$2:$M$18)))*(SQRT(SUMSQ(Attributs!$BV$2:$BV$18)+SUMSQ(Attributs!$BW$2:$BW$18)))),0)</f>
        <v/>
      </c>
      <c r="AM7" s="2">
        <f>IFERROR((SUMPRODUCT(Attributs!$L$2:$L$18,Attributs!$BX$2:$BX$18)+SUMPRODUCT(Attributs!$M$2:$M$18,Attributs!$BY$2:$BY$18))/((SQRT(SUMSQ(Attributs!$L$2:$L$18)+SUMSQ(Attributs!$M$2:$M$18)))*(SQRT(SUMSQ(Attributs!$BX$2:$BX$18)+SUMSQ(Attributs!$BY$2:$BY$18)))),0)</f>
        <v/>
      </c>
      <c r="AN7" s="2">
        <f>IFERROR((SUMPRODUCT(Attributs!$L$2:$L$18,Attributs!$BZ$2:$BZ$18)+SUMPRODUCT(Attributs!$M$2:$M$18,Attributs!$CA$2:$CA$18))/((SQRT(SUMSQ(Attributs!$L$2:$L$18)+SUMSQ(Attributs!$M$2:$M$18)))*(SQRT(SUMSQ(Attributs!$BZ$2:$BZ$18)+SUMSQ(Attributs!$CA$2:$CA$18)))),0)</f>
        <v/>
      </c>
      <c r="AO7" s="2">
        <f>IFERROR((SUMPRODUCT(Attributs!$L$2:$L$18,Attributs!$CB$2:$CB$18)+SUMPRODUCT(Attributs!$M$2:$M$18,Attributs!$CC$2:$CC$18))/((SQRT(SUMSQ(Attributs!$L$2:$L$18)+SUMSQ(Attributs!$M$2:$M$18)))*(SQRT(SUMSQ(Attributs!$CB$2:$CB$18)+SUMSQ(Attributs!$CC$2:$CC$18)))),0)</f>
        <v/>
      </c>
      <c r="AP7" s="2">
        <f>IFERROR((SUMPRODUCT(Attributs!$L$2:$L$18,Attributs!$CD$2:$CD$18)+SUMPRODUCT(Attributs!$M$2:$M$18,Attributs!$CE$2:$CE$18))/((SQRT(SUMSQ(Attributs!$L$2:$L$18)+SUMSQ(Attributs!$M$2:$M$18)))*(SQRT(SUMSQ(Attributs!$CD$2:$CD$18)+SUMSQ(Attributs!$CE$2:$CE$18)))),0)</f>
        <v/>
      </c>
      <c r="AQ7" s="2">
        <f>IFERROR((SUMPRODUCT(Attributs!$L$2:$L$18,Attributs!$CF$2:$CF$18)+SUMPRODUCT(Attributs!$M$2:$M$18,Attributs!$CG$2:$CG$18))/((SQRT(SUMSQ(Attributs!$L$2:$L$18)+SUMSQ(Attributs!$M$2:$M$18)))*(SQRT(SUMSQ(Attributs!$CF$2:$CF$18)+SUMSQ(Attributs!$CG$2:$CG$18)))),0)</f>
        <v/>
      </c>
      <c r="AR7" s="2">
        <f>IFERROR((SUMPRODUCT(Attributs!$L$2:$L$18,Attributs!$CH$2:$CH$18)+SUMPRODUCT(Attributs!$M$2:$M$18,Attributs!$CI$2:$CI$18))/((SQRT(SUMSQ(Attributs!$L$2:$L$18)+SUMSQ(Attributs!$M$2:$M$18)))*(SQRT(SUMSQ(Attributs!$CH$2:$CH$18)+SUMSQ(Attributs!$CI$2:$CI$18)))),0)</f>
        <v/>
      </c>
      <c r="AS7" s="2">
        <f>IFERROR((SUMPRODUCT(Attributs!$L$2:$L$18,Attributs!$CJ$2:$CJ$18)+SUMPRODUCT(Attributs!$M$2:$M$18,Attributs!$CK$2:$CK$18))/((SQRT(SUMSQ(Attributs!$L$2:$L$18)+SUMSQ(Attributs!$M$2:$M$18)))*(SQRT(SUMSQ(Attributs!$CJ$2:$CJ$18)+SUMSQ(Attributs!$CK$2:$CK$18)))),0)</f>
        <v/>
      </c>
      <c r="AT7" s="2">
        <f>IFERROR((SUMPRODUCT(Attributs!$L$2:$L$18,Attributs!$CL$2:$CL$18)+SUMPRODUCT(Attributs!$M$2:$M$18,Attributs!$CM$2:$CM$18))/((SQRT(SUMSQ(Attributs!$L$2:$L$18)+SUMSQ(Attributs!$M$2:$M$18)))*(SQRT(SUMSQ(Attributs!$CL$2:$CL$18)+SUMSQ(Attributs!$CM$2:$CM$18)))),0)</f>
        <v/>
      </c>
      <c r="AU7" s="2">
        <f>IFERROR((SUMPRODUCT(Attributs!$L$2:$L$18,Attributs!$CN$2:$CN$18)+SUMPRODUCT(Attributs!$M$2:$M$18,Attributs!$CO$2:$CO$18))/((SQRT(SUMSQ(Attributs!$L$2:$L$18)+SUMSQ(Attributs!$M$2:$M$18)))*(SQRT(SUMSQ(Attributs!$CN$2:$CN$18)+SUMSQ(Attributs!$CO$2:$CO$18)))),0)</f>
        <v/>
      </c>
      <c r="AV7" s="2">
        <f>IFERROR((SUMPRODUCT(Attributs!$L$2:$L$18,Attributs!$CP$2:$CP$18)+SUMPRODUCT(Attributs!$M$2:$M$18,Attributs!$CQ$2:$CQ$18))/((SQRT(SUMSQ(Attributs!$L$2:$L$18)+SUMSQ(Attributs!$M$2:$M$18)))*(SQRT(SUMSQ(Attributs!$CP$2:$CP$18)+SUMSQ(Attributs!$CQ$2:$CQ$18)))),0)</f>
        <v/>
      </c>
      <c r="AW7" s="2">
        <f>IFERROR((SUMPRODUCT(Attributs!$L$2:$L$18,Attributs!$CR$2:$CR$18)+SUMPRODUCT(Attributs!$M$2:$M$18,Attributs!$CS$2:$CS$18))/((SQRT(SUMSQ(Attributs!$L$2:$L$18)+SUMSQ(Attributs!$M$2:$M$18)))*(SQRT(SUMSQ(Attributs!$CR$2:$CR$18)+SUMSQ(Attributs!$CS$2:$CS$18)))),0)</f>
        <v/>
      </c>
      <c r="AX7" s="2">
        <f>IFERROR((SUMPRODUCT(Attributs!$L$2:$L$18,Attributs!$CT$2:$CT$18)+SUMPRODUCT(Attributs!$M$2:$M$18,Attributs!$CU$2:$CU$18))/((SQRT(SUMSQ(Attributs!$L$2:$L$18)+SUMSQ(Attributs!$M$2:$M$18)))*(SQRT(SUMSQ(Attributs!$CT$2:$CT$18)+SUMSQ(Attributs!$CU$2:$CU$18)))),0)</f>
        <v/>
      </c>
      <c r="AY7" s="2">
        <f>IFERROR((SUMPRODUCT(Attributs!$L$2:$L$18,Attributs!$CV$2:$CV$18)+SUMPRODUCT(Attributs!$M$2:$M$18,Attributs!$CW$2:$CW$18))/((SQRT(SUMSQ(Attributs!$L$2:$L$18)+SUMSQ(Attributs!$M$2:$M$18)))*(SQRT(SUMSQ(Attributs!$CV$2:$CV$18)+SUMSQ(Attributs!$CW$2:$CW$18)))),0)</f>
        <v/>
      </c>
      <c r="AZ7" s="2">
        <f>IFERROR((SUMPRODUCT(Attributs!$L$2:$L$18,Attributs!$CX$2:$CX$18)+SUMPRODUCT(Attributs!$M$2:$M$18,Attributs!$CY$2:$CY$18))/((SQRT(SUMSQ(Attributs!$L$2:$L$18)+SUMSQ(Attributs!$M$2:$M$18)))*(SQRT(SUMSQ(Attributs!$CX$2:$CX$18)+SUMSQ(Attributs!$CY$2:$CY$18)))),0)</f>
        <v/>
      </c>
      <c r="BA7" s="2">
        <f>IFERROR((SUMPRODUCT(Attributs!$L$2:$L$18,Attributs!$CZ$2:$CZ$18)+SUMPRODUCT(Attributs!$M$2:$M$18,Attributs!$DA$2:$DA$18))/((SQRT(SUMSQ(Attributs!$L$2:$L$18)+SUMSQ(Attributs!$M$2:$M$18)))*(SQRT(SUMSQ(Attributs!$CZ$2:$CZ$18)+SUMSQ(Attributs!$DA$2:$DA$18)))),0)</f>
        <v/>
      </c>
      <c r="BB7" s="2">
        <f>IFERROR((SUMPRODUCT(Attributs!$L$2:$L$18,Attributs!$DB$2:$DB$18)+SUMPRODUCT(Attributs!$M$2:$M$18,Attributs!$DC$2:$DC$18))/((SQRT(SUMSQ(Attributs!$L$2:$L$18)+SUMSQ(Attributs!$M$2:$M$18)))*(SQRT(SUMSQ(Attributs!$DB$2:$DB$18)+SUMSQ(Attributs!$DC$2:$DC$18)))),0)</f>
        <v/>
      </c>
      <c r="BC7" s="2">
        <f>IFERROR((SUMPRODUCT(Attributs!$L$2:$L$18,Attributs!$DD$2:$DD$18)+SUMPRODUCT(Attributs!$M$2:$M$18,Attributs!$DE$2:$DE$18))/((SQRT(SUMSQ(Attributs!$L$2:$L$18)+SUMSQ(Attributs!$M$2:$M$18)))*(SQRT(SUMSQ(Attributs!$DD$2:$DD$18)+SUMSQ(Attributs!$DE$2:$DE$18)))),0)</f>
        <v/>
      </c>
      <c r="BD7" s="2">
        <f>IFERROR((SUMPRODUCT(Attributs!$L$2:$L$18,Attributs!$DF$2:$DF$18)+SUMPRODUCT(Attributs!$M$2:$M$18,Attributs!$DG$2:$DG$18))/((SQRT(SUMSQ(Attributs!$L$2:$L$18)+SUMSQ(Attributs!$M$2:$M$18)))*(SQRT(SUMSQ(Attributs!$DF$2:$DF$18)+SUMSQ(Attributs!$DG$2:$DG$18)))),0)</f>
        <v/>
      </c>
      <c r="BE7" s="2">
        <f>IFERROR((SUMPRODUCT(Attributs!$L$2:$L$18,Attributs!$DH$2:$DH$18)+SUMPRODUCT(Attributs!$M$2:$M$18,Attributs!$DI$2:$DI$18))/((SQRT(SUMSQ(Attributs!$L$2:$L$18)+SUMSQ(Attributs!$M$2:$M$18)))*(SQRT(SUMSQ(Attributs!$DH$2:$DH$18)+SUMSQ(Attributs!$DI$2:$DI$18)))),0)</f>
        <v/>
      </c>
      <c r="BF7" s="2">
        <f>IFERROR((SUMPRODUCT(Attributs!$L$2:$L$18,Attributs!$DJ$2:$DJ$18)+SUMPRODUCT(Attributs!$M$2:$M$18,Attributs!$DK$2:$DK$18))/((SQRT(SUMSQ(Attributs!$L$2:$L$18)+SUMSQ(Attributs!$M$2:$M$18)))*(SQRT(SUMSQ(Attributs!$DJ$2:$DJ$18)+SUMSQ(Attributs!$DK$2:$DK$18)))),0)</f>
        <v/>
      </c>
      <c r="BG7" s="2">
        <f>IFERROR((SUMPRODUCT(Attributs!$L$2:$L$18,Attributs!$DL$2:$DL$18)+SUMPRODUCT(Attributs!$M$2:$M$18,Attributs!$DM$2:$DM$18))/((SQRT(SUMSQ(Attributs!$L$2:$L$18)+SUMSQ(Attributs!$M$2:$M$18)))*(SQRT(SUMSQ(Attributs!$DL$2:$DL$18)+SUMSQ(Attributs!$DM$2:$DM$18)))),0)</f>
        <v/>
      </c>
      <c r="BH7" s="2">
        <f>IFERROR((SUMPRODUCT(Attributs!$L$2:$L$18,Attributs!$DN$2:$DN$18)+SUMPRODUCT(Attributs!$M$2:$M$18,Attributs!$DO$2:$DO$18))/((SQRT(SUMSQ(Attributs!$L$2:$L$18)+SUMSQ(Attributs!$M$2:$M$18)))*(SQRT(SUMSQ(Attributs!$DN$2:$DN$18)+SUMSQ(Attributs!$DO$2:$DO$18)))),0)</f>
        <v/>
      </c>
      <c r="BI7" s="2">
        <f>IFERROR((SUMPRODUCT(Attributs!$L$2:$L$18,Attributs!$DP$2:$DP$18)+SUMPRODUCT(Attributs!$M$2:$M$18,Attributs!$DQ$2:$DQ$18))/((SQRT(SUMSQ(Attributs!$L$2:$L$18)+SUMSQ(Attributs!$M$2:$M$18)))*(SQRT(SUMSQ(Attributs!$DP$2:$DP$18)+SUMSQ(Attributs!$DQ$2:$DQ$18)))),0)</f>
        <v/>
      </c>
      <c r="BJ7" s="2">
        <f>IFERROR((SUMPRODUCT(Attributs!$L$2:$L$18,Attributs!$DR$2:$DR$18)+SUMPRODUCT(Attributs!$M$2:$M$18,Attributs!$DS$2:$DS$18))/((SQRT(SUMSQ(Attributs!$L$2:$L$18)+SUMSQ(Attributs!$M$2:$M$18)))*(SQRT(SUMSQ(Attributs!$DR$2:$DR$18)+SUMSQ(Attributs!$DS$2:$DS$18)))),0)</f>
        <v/>
      </c>
      <c r="BK7" s="2">
        <f>IFERROR((SUMPRODUCT(Attributs!$L$2:$L$18,Attributs!$DT$2:$DT$18)+SUMPRODUCT(Attributs!$M$2:$M$18,Attributs!$DU$2:$DU$18))/((SQRT(SUMSQ(Attributs!$L$2:$L$18)+SUMSQ(Attributs!$M$2:$M$18)))*(SQRT(SUMSQ(Attributs!$DT$2:$DT$18)+SUMSQ(Attributs!$DU$2:$DU$18)))),0)</f>
        <v/>
      </c>
      <c r="BL7" s="2">
        <f>IFERROR((SUMPRODUCT(Attributs!$L$2:$L$18,Attributs!$DV$2:$DV$18)+SUMPRODUCT(Attributs!$M$2:$M$18,Attributs!$DW$2:$DW$18))/((SQRT(SUMSQ(Attributs!$L$2:$L$18)+SUMSQ(Attributs!$M$2:$M$18)))*(SQRT(SUMSQ(Attributs!$DV$2:$DV$18)+SUMSQ(Attributs!$DW$2:$DW$18)))),0)</f>
        <v/>
      </c>
    </row>
    <row r="8">
      <c r="A8" s="3" t="inlineStr">
        <is>
          <t>SE_mysql.postes.LastEditorUserId</t>
        </is>
      </c>
      <c r="B8" s="2">
        <f>IFERROR((SUMPRODUCT(Attributs!$N$2:$N$18,Attributs!$B$2:$B$18)+SUMPRODUCT(Attributs!$O$2:$O$18,Attributs!$C$2:$C$18))/((SQRT(SUMSQ(Attributs!$N$2:$N$18)+SUMSQ(Attributs!$O$2:$O$18)))*(SQRT(SUMSQ(Attributs!$B$2:$B$18)+SUMSQ(Attributs!$C$2:$C$18)))),0)</f>
        <v/>
      </c>
      <c r="C8" s="2">
        <f>IFERROR((SUMPRODUCT(Attributs!$N$2:$N$18,Attributs!$D$2:$D$18)+SUMPRODUCT(Attributs!$O$2:$O$18,Attributs!$E$2:$E$18))/((SQRT(SUMSQ(Attributs!$N$2:$N$18)+SUMSQ(Attributs!$O$2:$O$18)))*(SQRT(SUMSQ(Attributs!$D$2:$D$18)+SUMSQ(Attributs!$E$2:$E$18)))),0)</f>
        <v/>
      </c>
      <c r="D8" s="2">
        <f>IFERROR((SUMPRODUCT(Attributs!$N$2:$N$18,Attributs!$F$2:$F$18)+SUMPRODUCT(Attributs!$O$2:$O$18,Attributs!$G$2:$G$18))/((SQRT(SUMSQ(Attributs!$N$2:$N$18)+SUMSQ(Attributs!$O$2:$O$18)))*(SQRT(SUMSQ(Attributs!$F$2:$F$18)+SUMSQ(Attributs!$G$2:$G$18)))),0)</f>
        <v/>
      </c>
      <c r="E8" s="2">
        <f>IFERROR((SUMPRODUCT(Attributs!$N$2:$N$18,Attributs!$H$2:$H$18)+SUMPRODUCT(Attributs!$O$2:$O$18,Attributs!$I$2:$I$18))/((SQRT(SUMSQ(Attributs!$N$2:$N$18)+SUMSQ(Attributs!$O$2:$O$18)))*(SQRT(SUMSQ(Attributs!$H$2:$H$18)+SUMSQ(Attributs!$I$2:$I$18)))),0)</f>
        <v/>
      </c>
      <c r="F8" s="2">
        <f>IFERROR((SUMPRODUCT(Attributs!$N$2:$N$18,Attributs!$J$2:$J$18)+SUMPRODUCT(Attributs!$O$2:$O$18,Attributs!$K$2:$K$18))/((SQRT(SUMSQ(Attributs!$N$2:$N$18)+SUMSQ(Attributs!$O$2:$O$18)))*(SQRT(SUMSQ(Attributs!$J$2:$J$18)+SUMSQ(Attributs!$K$2:$K$18)))),0)</f>
        <v/>
      </c>
      <c r="G8" s="2">
        <f>IFERROR((SUMPRODUCT(Attributs!$N$2:$N$18,Attributs!$L$2:$L$18)+SUMPRODUCT(Attributs!$O$2:$O$18,Attributs!$M$2:$M$18))/((SQRT(SUMSQ(Attributs!$N$2:$N$18)+SUMSQ(Attributs!$O$2:$O$18)))*(SQRT(SUMSQ(Attributs!$L$2:$L$18)+SUMSQ(Attributs!$M$2:$M$18)))),0)</f>
        <v/>
      </c>
      <c r="H8" s="2">
        <f>IFERROR((SUMPRODUCT(Attributs!$N$2:$N$18,Attributs!$N$2:$N$18)+SUMPRODUCT(Attributs!$O$2:$O$18,Attributs!$O$2:$O$18))/((SQRT(SUMSQ(Attributs!$N$2:$N$18)+SUMSQ(Attributs!$O$2:$O$18)))*(SQRT(SUMSQ(Attributs!$N$2:$N$18)+SUMSQ(Attributs!$O$2:$O$18)))),0)</f>
        <v/>
      </c>
      <c r="I8" s="2">
        <f>IFERROR((SUMPRODUCT(Attributs!$N$2:$N$18,Attributs!$P$2:$P$18)+SUMPRODUCT(Attributs!$O$2:$O$18,Attributs!$Q$2:$Q$18))/((SQRT(SUMSQ(Attributs!$N$2:$N$18)+SUMSQ(Attributs!$O$2:$O$18)))*(SQRT(SUMSQ(Attributs!$P$2:$P$18)+SUMSQ(Attributs!$Q$2:$Q$18)))),0)</f>
        <v/>
      </c>
      <c r="J8" s="2">
        <f>IFERROR((SUMPRODUCT(Attributs!$N$2:$N$18,Attributs!$R$2:$R$18)+SUMPRODUCT(Attributs!$O$2:$O$18,Attributs!$S$2:$S$18))/((SQRT(SUMSQ(Attributs!$N$2:$N$18)+SUMSQ(Attributs!$O$2:$O$18)))*(SQRT(SUMSQ(Attributs!$R$2:$R$18)+SUMSQ(Attributs!$S$2:$S$18)))),0)</f>
        <v/>
      </c>
      <c r="K8" s="2">
        <f>IFERROR((SUMPRODUCT(Attributs!$N$2:$N$18,Attributs!$T$2:$T$18)+SUMPRODUCT(Attributs!$O$2:$O$18,Attributs!$U$2:$U$18))/((SQRT(SUMSQ(Attributs!$N$2:$N$18)+SUMSQ(Attributs!$O$2:$O$18)))*(SQRT(SUMSQ(Attributs!$T$2:$T$18)+SUMSQ(Attributs!$U$2:$U$18)))),0)</f>
        <v/>
      </c>
      <c r="L8" s="2">
        <f>IFERROR((SUMPRODUCT(Attributs!$N$2:$N$18,Attributs!$V$2:$V$18)+SUMPRODUCT(Attributs!$O$2:$O$18,Attributs!$W$2:$W$18))/((SQRT(SUMSQ(Attributs!$N$2:$N$18)+SUMSQ(Attributs!$O$2:$O$18)))*(SQRT(SUMSQ(Attributs!$V$2:$V$18)+SUMSQ(Attributs!$W$2:$W$18)))),0)</f>
        <v/>
      </c>
      <c r="M8" s="2">
        <f>IFERROR((SUMPRODUCT(Attributs!$N$2:$N$18,Attributs!$X$2:$X$18)+SUMPRODUCT(Attributs!$O$2:$O$18,Attributs!$Y$2:$Y$18))/((SQRT(SUMSQ(Attributs!$N$2:$N$18)+SUMSQ(Attributs!$O$2:$O$18)))*(SQRT(SUMSQ(Attributs!$X$2:$X$18)+SUMSQ(Attributs!$Y$2:$Y$18)))),0)</f>
        <v/>
      </c>
      <c r="N8" s="2">
        <f>IFERROR((SUMPRODUCT(Attributs!$N$2:$N$18,Attributs!$Z$2:$Z$18)+SUMPRODUCT(Attributs!$O$2:$O$18,Attributs!$AA$2:$AA$18))/((SQRT(SUMSQ(Attributs!$N$2:$N$18)+SUMSQ(Attributs!$O$2:$O$18)))*(SQRT(SUMSQ(Attributs!$Z$2:$Z$18)+SUMSQ(Attributs!$AA$2:$AA$18)))),0)</f>
        <v/>
      </c>
      <c r="O8" s="2">
        <f>IFERROR((SUMPRODUCT(Attributs!$N$2:$N$18,Attributs!$AB$2:$AB$18)+SUMPRODUCT(Attributs!$O$2:$O$18,Attributs!$AC$2:$AC$18))/((SQRT(SUMSQ(Attributs!$N$2:$N$18)+SUMSQ(Attributs!$O$2:$O$18)))*(SQRT(SUMSQ(Attributs!$AB$2:$AB$18)+SUMSQ(Attributs!$AC$2:$AC$18)))),0)</f>
        <v/>
      </c>
      <c r="P8" s="2">
        <f>IFERROR((SUMPRODUCT(Attributs!$N$2:$N$18,Attributs!$AD$2:$AD$18)+SUMPRODUCT(Attributs!$O$2:$O$18,Attributs!$AE$2:$AE$18))/((SQRT(SUMSQ(Attributs!$N$2:$N$18)+SUMSQ(Attributs!$O$2:$O$18)))*(SQRT(SUMSQ(Attributs!$AD$2:$AD$18)+SUMSQ(Attributs!$AE$2:$AE$18)))),0)</f>
        <v/>
      </c>
      <c r="Q8" s="2">
        <f>IFERROR((SUMPRODUCT(Attributs!$N$2:$N$18,Attributs!$AF$2:$AF$18)+SUMPRODUCT(Attributs!$O$2:$O$18,Attributs!$AG$2:$AG$18))/((SQRT(SUMSQ(Attributs!$N$2:$N$18)+SUMSQ(Attributs!$O$2:$O$18)))*(SQRT(SUMSQ(Attributs!$AF$2:$AF$18)+SUMSQ(Attributs!$AG$2:$AG$18)))),0)</f>
        <v/>
      </c>
      <c r="R8" s="2">
        <f>IFERROR((SUMPRODUCT(Attributs!$N$2:$N$18,Attributs!$AH$2:$AH$18)+SUMPRODUCT(Attributs!$O$2:$O$18,Attributs!$AI$2:$AI$18))/((SQRT(SUMSQ(Attributs!$N$2:$N$18)+SUMSQ(Attributs!$O$2:$O$18)))*(SQRT(SUMSQ(Attributs!$AH$2:$AH$18)+SUMSQ(Attributs!$AI$2:$AI$18)))),0)</f>
        <v/>
      </c>
      <c r="S8" s="2">
        <f>IFERROR((SUMPRODUCT(Attributs!$N$2:$N$18,Attributs!$AJ$2:$AJ$18)+SUMPRODUCT(Attributs!$O$2:$O$18,Attributs!$AK$2:$AK$18))/((SQRT(SUMSQ(Attributs!$N$2:$N$18)+SUMSQ(Attributs!$O$2:$O$18)))*(SQRT(SUMSQ(Attributs!$AJ$2:$AJ$18)+SUMSQ(Attributs!$AK$2:$AK$18)))),0)</f>
        <v/>
      </c>
      <c r="T8" s="2">
        <f>IFERROR((SUMPRODUCT(Attributs!$N$2:$N$18,Attributs!$AL$2:$AL$18)+SUMPRODUCT(Attributs!$O$2:$O$18,Attributs!$AM$2:$AM$18))/((SQRT(SUMSQ(Attributs!$N$2:$N$18)+SUMSQ(Attributs!$O$2:$O$18)))*(SQRT(SUMSQ(Attributs!$AL$2:$AL$18)+SUMSQ(Attributs!$AM$2:$AM$18)))),0)</f>
        <v/>
      </c>
      <c r="U8" s="2">
        <f>IFERROR((SUMPRODUCT(Attributs!$N$2:$N$18,Attributs!$AN$2:$AN$18)+SUMPRODUCT(Attributs!$O$2:$O$18,Attributs!$AO$2:$AO$18))/((SQRT(SUMSQ(Attributs!$N$2:$N$18)+SUMSQ(Attributs!$O$2:$O$18)))*(SQRT(SUMSQ(Attributs!$AN$2:$AN$18)+SUMSQ(Attributs!$AO$2:$AO$18)))),0)</f>
        <v/>
      </c>
      <c r="V8" s="2">
        <f>IFERROR((SUMPRODUCT(Attributs!$N$2:$N$18,Attributs!$AP$2:$AP$18)+SUMPRODUCT(Attributs!$O$2:$O$18,Attributs!$AQ$2:$AQ$18))/((SQRT(SUMSQ(Attributs!$N$2:$N$18)+SUMSQ(Attributs!$O$2:$O$18)))*(SQRT(SUMSQ(Attributs!$AP$2:$AP$18)+SUMSQ(Attributs!$AQ$2:$AQ$18)))),0)</f>
        <v/>
      </c>
      <c r="W8" s="2">
        <f>IFERROR((SUMPRODUCT(Attributs!$N$2:$N$18,Attributs!$AR$2:$AR$18)+SUMPRODUCT(Attributs!$O$2:$O$18,Attributs!$AS$2:$AS$18))/((SQRT(SUMSQ(Attributs!$N$2:$N$18)+SUMSQ(Attributs!$O$2:$O$18)))*(SQRT(SUMSQ(Attributs!$AR$2:$AR$18)+SUMSQ(Attributs!$AS$2:$AS$18)))),0)</f>
        <v/>
      </c>
      <c r="X8" s="2">
        <f>IFERROR((SUMPRODUCT(Attributs!$N$2:$N$18,Attributs!$AT$2:$AT$18)+SUMPRODUCT(Attributs!$O$2:$O$18,Attributs!$AU$2:$AU$18))/((SQRT(SUMSQ(Attributs!$N$2:$N$18)+SUMSQ(Attributs!$O$2:$O$18)))*(SQRT(SUMSQ(Attributs!$AT$2:$AT$18)+SUMSQ(Attributs!$AU$2:$AU$18)))),0)</f>
        <v/>
      </c>
      <c r="Y8" s="2">
        <f>IFERROR((SUMPRODUCT(Attributs!$N$2:$N$18,Attributs!$AV$2:$AV$18)+SUMPRODUCT(Attributs!$O$2:$O$18,Attributs!$AW$2:$AW$18))/((SQRT(SUMSQ(Attributs!$N$2:$N$18)+SUMSQ(Attributs!$O$2:$O$18)))*(SQRT(SUMSQ(Attributs!$AV$2:$AV$18)+SUMSQ(Attributs!$AW$2:$AW$18)))),0)</f>
        <v/>
      </c>
      <c r="Z8" s="2">
        <f>IFERROR((SUMPRODUCT(Attributs!$N$2:$N$18,Attributs!$AX$2:$AX$18)+SUMPRODUCT(Attributs!$O$2:$O$18,Attributs!$AY$2:$AY$18))/((SQRT(SUMSQ(Attributs!$N$2:$N$18)+SUMSQ(Attributs!$O$2:$O$18)))*(SQRT(SUMSQ(Attributs!$AX$2:$AX$18)+SUMSQ(Attributs!$AY$2:$AY$18)))),0)</f>
        <v/>
      </c>
      <c r="AA8" s="2">
        <f>IFERROR((SUMPRODUCT(Attributs!$N$2:$N$18,Attributs!$AZ$2:$AZ$18)+SUMPRODUCT(Attributs!$O$2:$O$18,Attributs!$BA$2:$BA$18))/((SQRT(SUMSQ(Attributs!$N$2:$N$18)+SUMSQ(Attributs!$O$2:$O$18)))*(SQRT(SUMSQ(Attributs!$AZ$2:$AZ$18)+SUMSQ(Attributs!$BA$2:$BA$18)))),0)</f>
        <v/>
      </c>
      <c r="AB8" s="2">
        <f>IFERROR((SUMPRODUCT(Attributs!$N$2:$N$18,Attributs!$BB$2:$BB$18)+SUMPRODUCT(Attributs!$O$2:$O$18,Attributs!$BC$2:$BC$18))/((SQRT(SUMSQ(Attributs!$N$2:$N$18)+SUMSQ(Attributs!$O$2:$O$18)))*(SQRT(SUMSQ(Attributs!$BB$2:$BB$18)+SUMSQ(Attributs!$BC$2:$BC$18)))),0)</f>
        <v/>
      </c>
      <c r="AC8" s="2">
        <f>IFERROR((SUMPRODUCT(Attributs!$N$2:$N$18,Attributs!$BD$2:$BD$18)+SUMPRODUCT(Attributs!$O$2:$O$18,Attributs!$BE$2:$BE$18))/((SQRT(SUMSQ(Attributs!$N$2:$N$18)+SUMSQ(Attributs!$O$2:$O$18)))*(SQRT(SUMSQ(Attributs!$BD$2:$BD$18)+SUMSQ(Attributs!$BE$2:$BE$18)))),0)</f>
        <v/>
      </c>
      <c r="AD8" s="2">
        <f>IFERROR((SUMPRODUCT(Attributs!$N$2:$N$18,Attributs!$BF$2:$BF$18)+SUMPRODUCT(Attributs!$O$2:$O$18,Attributs!$BG$2:$BG$18))/((SQRT(SUMSQ(Attributs!$N$2:$N$18)+SUMSQ(Attributs!$O$2:$O$18)))*(SQRT(SUMSQ(Attributs!$BF$2:$BF$18)+SUMSQ(Attributs!$BG$2:$BG$18)))),0)</f>
        <v/>
      </c>
      <c r="AE8" s="2">
        <f>IFERROR((SUMPRODUCT(Attributs!$N$2:$N$18,Attributs!$BH$2:$BH$18)+SUMPRODUCT(Attributs!$O$2:$O$18,Attributs!$BI$2:$BI$18))/((SQRT(SUMSQ(Attributs!$N$2:$N$18)+SUMSQ(Attributs!$O$2:$O$18)))*(SQRT(SUMSQ(Attributs!$BH$2:$BH$18)+SUMSQ(Attributs!$BI$2:$BI$18)))),0)</f>
        <v/>
      </c>
      <c r="AF8" s="2">
        <f>IFERROR((SUMPRODUCT(Attributs!$N$2:$N$18,Attributs!$BJ$2:$BJ$18)+SUMPRODUCT(Attributs!$O$2:$O$18,Attributs!$BK$2:$BK$18))/((SQRT(SUMSQ(Attributs!$N$2:$N$18)+SUMSQ(Attributs!$O$2:$O$18)))*(SQRT(SUMSQ(Attributs!$BJ$2:$BJ$18)+SUMSQ(Attributs!$BK$2:$BK$18)))),0)</f>
        <v/>
      </c>
      <c r="AG8" s="2">
        <f>IFERROR((SUMPRODUCT(Attributs!$N$2:$N$18,Attributs!$BL$2:$BL$18)+SUMPRODUCT(Attributs!$O$2:$O$18,Attributs!$BM$2:$BM$18))/((SQRT(SUMSQ(Attributs!$N$2:$N$18)+SUMSQ(Attributs!$O$2:$O$18)))*(SQRT(SUMSQ(Attributs!$BL$2:$BL$18)+SUMSQ(Attributs!$BM$2:$BM$18)))),0)</f>
        <v/>
      </c>
      <c r="AH8" s="2">
        <f>IFERROR((SUMPRODUCT(Attributs!$N$2:$N$18,Attributs!$BN$2:$BN$18)+SUMPRODUCT(Attributs!$O$2:$O$18,Attributs!$BO$2:$BO$18))/((SQRT(SUMSQ(Attributs!$N$2:$N$18)+SUMSQ(Attributs!$O$2:$O$18)))*(SQRT(SUMSQ(Attributs!$BN$2:$BN$18)+SUMSQ(Attributs!$BO$2:$BO$18)))),0)</f>
        <v/>
      </c>
      <c r="AI8" s="2">
        <f>IFERROR((SUMPRODUCT(Attributs!$N$2:$N$18,Attributs!$BP$2:$BP$18)+SUMPRODUCT(Attributs!$O$2:$O$18,Attributs!$BQ$2:$BQ$18))/((SQRT(SUMSQ(Attributs!$N$2:$N$18)+SUMSQ(Attributs!$O$2:$O$18)))*(SQRT(SUMSQ(Attributs!$BP$2:$BP$18)+SUMSQ(Attributs!$BQ$2:$BQ$18)))),0)</f>
        <v/>
      </c>
      <c r="AJ8" s="2">
        <f>IFERROR((SUMPRODUCT(Attributs!$N$2:$N$18,Attributs!$BR$2:$BR$18)+SUMPRODUCT(Attributs!$O$2:$O$18,Attributs!$BS$2:$BS$18))/((SQRT(SUMSQ(Attributs!$N$2:$N$18)+SUMSQ(Attributs!$O$2:$O$18)))*(SQRT(SUMSQ(Attributs!$BR$2:$BR$18)+SUMSQ(Attributs!$BS$2:$BS$18)))),0)</f>
        <v/>
      </c>
      <c r="AK8" s="2">
        <f>IFERROR((SUMPRODUCT(Attributs!$N$2:$N$18,Attributs!$BT$2:$BT$18)+SUMPRODUCT(Attributs!$O$2:$O$18,Attributs!$BU$2:$BU$18))/((SQRT(SUMSQ(Attributs!$N$2:$N$18)+SUMSQ(Attributs!$O$2:$O$18)))*(SQRT(SUMSQ(Attributs!$BT$2:$BT$18)+SUMSQ(Attributs!$BU$2:$BU$18)))),0)</f>
        <v/>
      </c>
      <c r="AL8" s="2">
        <f>IFERROR((SUMPRODUCT(Attributs!$N$2:$N$18,Attributs!$BV$2:$BV$18)+SUMPRODUCT(Attributs!$O$2:$O$18,Attributs!$BW$2:$BW$18))/((SQRT(SUMSQ(Attributs!$N$2:$N$18)+SUMSQ(Attributs!$O$2:$O$18)))*(SQRT(SUMSQ(Attributs!$BV$2:$BV$18)+SUMSQ(Attributs!$BW$2:$BW$18)))),0)</f>
        <v/>
      </c>
      <c r="AM8" s="2">
        <f>IFERROR((SUMPRODUCT(Attributs!$N$2:$N$18,Attributs!$BX$2:$BX$18)+SUMPRODUCT(Attributs!$O$2:$O$18,Attributs!$BY$2:$BY$18))/((SQRT(SUMSQ(Attributs!$N$2:$N$18)+SUMSQ(Attributs!$O$2:$O$18)))*(SQRT(SUMSQ(Attributs!$BX$2:$BX$18)+SUMSQ(Attributs!$BY$2:$BY$18)))),0)</f>
        <v/>
      </c>
      <c r="AN8" s="2">
        <f>IFERROR((SUMPRODUCT(Attributs!$N$2:$N$18,Attributs!$BZ$2:$BZ$18)+SUMPRODUCT(Attributs!$O$2:$O$18,Attributs!$CA$2:$CA$18))/((SQRT(SUMSQ(Attributs!$N$2:$N$18)+SUMSQ(Attributs!$O$2:$O$18)))*(SQRT(SUMSQ(Attributs!$BZ$2:$BZ$18)+SUMSQ(Attributs!$CA$2:$CA$18)))),0)</f>
        <v/>
      </c>
      <c r="AO8" s="2">
        <f>IFERROR((SUMPRODUCT(Attributs!$N$2:$N$18,Attributs!$CB$2:$CB$18)+SUMPRODUCT(Attributs!$O$2:$O$18,Attributs!$CC$2:$CC$18))/((SQRT(SUMSQ(Attributs!$N$2:$N$18)+SUMSQ(Attributs!$O$2:$O$18)))*(SQRT(SUMSQ(Attributs!$CB$2:$CB$18)+SUMSQ(Attributs!$CC$2:$CC$18)))),0)</f>
        <v/>
      </c>
      <c r="AP8" s="2">
        <f>IFERROR((SUMPRODUCT(Attributs!$N$2:$N$18,Attributs!$CD$2:$CD$18)+SUMPRODUCT(Attributs!$O$2:$O$18,Attributs!$CE$2:$CE$18))/((SQRT(SUMSQ(Attributs!$N$2:$N$18)+SUMSQ(Attributs!$O$2:$O$18)))*(SQRT(SUMSQ(Attributs!$CD$2:$CD$18)+SUMSQ(Attributs!$CE$2:$CE$18)))),0)</f>
        <v/>
      </c>
      <c r="AQ8" s="2">
        <f>IFERROR((SUMPRODUCT(Attributs!$N$2:$N$18,Attributs!$CF$2:$CF$18)+SUMPRODUCT(Attributs!$O$2:$O$18,Attributs!$CG$2:$CG$18))/((SQRT(SUMSQ(Attributs!$N$2:$N$18)+SUMSQ(Attributs!$O$2:$O$18)))*(SQRT(SUMSQ(Attributs!$CF$2:$CF$18)+SUMSQ(Attributs!$CG$2:$CG$18)))),0)</f>
        <v/>
      </c>
      <c r="AR8" s="2">
        <f>IFERROR((SUMPRODUCT(Attributs!$N$2:$N$18,Attributs!$CH$2:$CH$18)+SUMPRODUCT(Attributs!$O$2:$O$18,Attributs!$CI$2:$CI$18))/((SQRT(SUMSQ(Attributs!$N$2:$N$18)+SUMSQ(Attributs!$O$2:$O$18)))*(SQRT(SUMSQ(Attributs!$CH$2:$CH$18)+SUMSQ(Attributs!$CI$2:$CI$18)))),0)</f>
        <v/>
      </c>
      <c r="AS8" s="2">
        <f>IFERROR((SUMPRODUCT(Attributs!$N$2:$N$18,Attributs!$CJ$2:$CJ$18)+SUMPRODUCT(Attributs!$O$2:$O$18,Attributs!$CK$2:$CK$18))/((SQRT(SUMSQ(Attributs!$N$2:$N$18)+SUMSQ(Attributs!$O$2:$O$18)))*(SQRT(SUMSQ(Attributs!$CJ$2:$CJ$18)+SUMSQ(Attributs!$CK$2:$CK$18)))),0)</f>
        <v/>
      </c>
      <c r="AT8" s="2">
        <f>IFERROR((SUMPRODUCT(Attributs!$N$2:$N$18,Attributs!$CL$2:$CL$18)+SUMPRODUCT(Attributs!$O$2:$O$18,Attributs!$CM$2:$CM$18))/((SQRT(SUMSQ(Attributs!$N$2:$N$18)+SUMSQ(Attributs!$O$2:$O$18)))*(SQRT(SUMSQ(Attributs!$CL$2:$CL$18)+SUMSQ(Attributs!$CM$2:$CM$18)))),0)</f>
        <v/>
      </c>
      <c r="AU8" s="2">
        <f>IFERROR((SUMPRODUCT(Attributs!$N$2:$N$18,Attributs!$CN$2:$CN$18)+SUMPRODUCT(Attributs!$O$2:$O$18,Attributs!$CO$2:$CO$18))/((SQRT(SUMSQ(Attributs!$N$2:$N$18)+SUMSQ(Attributs!$O$2:$O$18)))*(SQRT(SUMSQ(Attributs!$CN$2:$CN$18)+SUMSQ(Attributs!$CO$2:$CO$18)))),0)</f>
        <v/>
      </c>
      <c r="AV8" s="2">
        <f>IFERROR((SUMPRODUCT(Attributs!$N$2:$N$18,Attributs!$CP$2:$CP$18)+SUMPRODUCT(Attributs!$O$2:$O$18,Attributs!$CQ$2:$CQ$18))/((SQRT(SUMSQ(Attributs!$N$2:$N$18)+SUMSQ(Attributs!$O$2:$O$18)))*(SQRT(SUMSQ(Attributs!$CP$2:$CP$18)+SUMSQ(Attributs!$CQ$2:$CQ$18)))),0)</f>
        <v/>
      </c>
      <c r="AW8" s="2">
        <f>IFERROR((SUMPRODUCT(Attributs!$N$2:$N$18,Attributs!$CR$2:$CR$18)+SUMPRODUCT(Attributs!$O$2:$O$18,Attributs!$CS$2:$CS$18))/((SQRT(SUMSQ(Attributs!$N$2:$N$18)+SUMSQ(Attributs!$O$2:$O$18)))*(SQRT(SUMSQ(Attributs!$CR$2:$CR$18)+SUMSQ(Attributs!$CS$2:$CS$18)))),0)</f>
        <v/>
      </c>
      <c r="AX8" s="2">
        <f>IFERROR((SUMPRODUCT(Attributs!$N$2:$N$18,Attributs!$CT$2:$CT$18)+SUMPRODUCT(Attributs!$O$2:$O$18,Attributs!$CU$2:$CU$18))/((SQRT(SUMSQ(Attributs!$N$2:$N$18)+SUMSQ(Attributs!$O$2:$O$18)))*(SQRT(SUMSQ(Attributs!$CT$2:$CT$18)+SUMSQ(Attributs!$CU$2:$CU$18)))),0)</f>
        <v/>
      </c>
      <c r="AY8" s="2">
        <f>IFERROR((SUMPRODUCT(Attributs!$N$2:$N$18,Attributs!$CV$2:$CV$18)+SUMPRODUCT(Attributs!$O$2:$O$18,Attributs!$CW$2:$CW$18))/((SQRT(SUMSQ(Attributs!$N$2:$N$18)+SUMSQ(Attributs!$O$2:$O$18)))*(SQRT(SUMSQ(Attributs!$CV$2:$CV$18)+SUMSQ(Attributs!$CW$2:$CW$18)))),0)</f>
        <v/>
      </c>
      <c r="AZ8" s="2">
        <f>IFERROR((SUMPRODUCT(Attributs!$N$2:$N$18,Attributs!$CX$2:$CX$18)+SUMPRODUCT(Attributs!$O$2:$O$18,Attributs!$CY$2:$CY$18))/((SQRT(SUMSQ(Attributs!$N$2:$N$18)+SUMSQ(Attributs!$O$2:$O$18)))*(SQRT(SUMSQ(Attributs!$CX$2:$CX$18)+SUMSQ(Attributs!$CY$2:$CY$18)))),0)</f>
        <v/>
      </c>
      <c r="BA8" s="2">
        <f>IFERROR((SUMPRODUCT(Attributs!$N$2:$N$18,Attributs!$CZ$2:$CZ$18)+SUMPRODUCT(Attributs!$O$2:$O$18,Attributs!$DA$2:$DA$18))/((SQRT(SUMSQ(Attributs!$N$2:$N$18)+SUMSQ(Attributs!$O$2:$O$18)))*(SQRT(SUMSQ(Attributs!$CZ$2:$CZ$18)+SUMSQ(Attributs!$DA$2:$DA$18)))),0)</f>
        <v/>
      </c>
      <c r="BB8" s="2">
        <f>IFERROR((SUMPRODUCT(Attributs!$N$2:$N$18,Attributs!$DB$2:$DB$18)+SUMPRODUCT(Attributs!$O$2:$O$18,Attributs!$DC$2:$DC$18))/((SQRT(SUMSQ(Attributs!$N$2:$N$18)+SUMSQ(Attributs!$O$2:$O$18)))*(SQRT(SUMSQ(Attributs!$DB$2:$DB$18)+SUMSQ(Attributs!$DC$2:$DC$18)))),0)</f>
        <v/>
      </c>
      <c r="BC8" s="2">
        <f>IFERROR((SUMPRODUCT(Attributs!$N$2:$N$18,Attributs!$DD$2:$DD$18)+SUMPRODUCT(Attributs!$O$2:$O$18,Attributs!$DE$2:$DE$18))/((SQRT(SUMSQ(Attributs!$N$2:$N$18)+SUMSQ(Attributs!$O$2:$O$18)))*(SQRT(SUMSQ(Attributs!$DD$2:$DD$18)+SUMSQ(Attributs!$DE$2:$DE$18)))),0)</f>
        <v/>
      </c>
      <c r="BD8" s="2">
        <f>IFERROR((SUMPRODUCT(Attributs!$N$2:$N$18,Attributs!$DF$2:$DF$18)+SUMPRODUCT(Attributs!$O$2:$O$18,Attributs!$DG$2:$DG$18))/((SQRT(SUMSQ(Attributs!$N$2:$N$18)+SUMSQ(Attributs!$O$2:$O$18)))*(SQRT(SUMSQ(Attributs!$DF$2:$DF$18)+SUMSQ(Attributs!$DG$2:$DG$18)))),0)</f>
        <v/>
      </c>
      <c r="BE8" s="2">
        <f>IFERROR((SUMPRODUCT(Attributs!$N$2:$N$18,Attributs!$DH$2:$DH$18)+SUMPRODUCT(Attributs!$O$2:$O$18,Attributs!$DI$2:$DI$18))/((SQRT(SUMSQ(Attributs!$N$2:$N$18)+SUMSQ(Attributs!$O$2:$O$18)))*(SQRT(SUMSQ(Attributs!$DH$2:$DH$18)+SUMSQ(Attributs!$DI$2:$DI$18)))),0)</f>
        <v/>
      </c>
      <c r="BF8" s="2">
        <f>IFERROR((SUMPRODUCT(Attributs!$N$2:$N$18,Attributs!$DJ$2:$DJ$18)+SUMPRODUCT(Attributs!$O$2:$O$18,Attributs!$DK$2:$DK$18))/((SQRT(SUMSQ(Attributs!$N$2:$N$18)+SUMSQ(Attributs!$O$2:$O$18)))*(SQRT(SUMSQ(Attributs!$DJ$2:$DJ$18)+SUMSQ(Attributs!$DK$2:$DK$18)))),0)</f>
        <v/>
      </c>
      <c r="BG8" s="2">
        <f>IFERROR((SUMPRODUCT(Attributs!$N$2:$N$18,Attributs!$DL$2:$DL$18)+SUMPRODUCT(Attributs!$O$2:$O$18,Attributs!$DM$2:$DM$18))/((SQRT(SUMSQ(Attributs!$N$2:$N$18)+SUMSQ(Attributs!$O$2:$O$18)))*(SQRT(SUMSQ(Attributs!$DL$2:$DL$18)+SUMSQ(Attributs!$DM$2:$DM$18)))),0)</f>
        <v/>
      </c>
      <c r="BH8" s="2">
        <f>IFERROR((SUMPRODUCT(Attributs!$N$2:$N$18,Attributs!$DN$2:$DN$18)+SUMPRODUCT(Attributs!$O$2:$O$18,Attributs!$DO$2:$DO$18))/((SQRT(SUMSQ(Attributs!$N$2:$N$18)+SUMSQ(Attributs!$O$2:$O$18)))*(SQRT(SUMSQ(Attributs!$DN$2:$DN$18)+SUMSQ(Attributs!$DO$2:$DO$18)))),0)</f>
        <v/>
      </c>
      <c r="BI8" s="2">
        <f>IFERROR((SUMPRODUCT(Attributs!$N$2:$N$18,Attributs!$DP$2:$DP$18)+SUMPRODUCT(Attributs!$O$2:$O$18,Attributs!$DQ$2:$DQ$18))/((SQRT(SUMSQ(Attributs!$N$2:$N$18)+SUMSQ(Attributs!$O$2:$O$18)))*(SQRT(SUMSQ(Attributs!$DP$2:$DP$18)+SUMSQ(Attributs!$DQ$2:$DQ$18)))),0)</f>
        <v/>
      </c>
      <c r="BJ8" s="2">
        <f>IFERROR((SUMPRODUCT(Attributs!$N$2:$N$18,Attributs!$DR$2:$DR$18)+SUMPRODUCT(Attributs!$O$2:$O$18,Attributs!$DS$2:$DS$18))/((SQRT(SUMSQ(Attributs!$N$2:$N$18)+SUMSQ(Attributs!$O$2:$O$18)))*(SQRT(SUMSQ(Attributs!$DR$2:$DR$18)+SUMSQ(Attributs!$DS$2:$DS$18)))),0)</f>
        <v/>
      </c>
      <c r="BK8" s="2">
        <f>IFERROR((SUMPRODUCT(Attributs!$N$2:$N$18,Attributs!$DT$2:$DT$18)+SUMPRODUCT(Attributs!$O$2:$O$18,Attributs!$DU$2:$DU$18))/((SQRT(SUMSQ(Attributs!$N$2:$N$18)+SUMSQ(Attributs!$O$2:$O$18)))*(SQRT(SUMSQ(Attributs!$DT$2:$DT$18)+SUMSQ(Attributs!$DU$2:$DU$18)))),0)</f>
        <v/>
      </c>
      <c r="BL8" s="2">
        <f>IFERROR((SUMPRODUCT(Attributs!$N$2:$N$18,Attributs!$DV$2:$DV$18)+SUMPRODUCT(Attributs!$O$2:$O$18,Attributs!$DW$2:$DW$18))/((SQRT(SUMSQ(Attributs!$N$2:$N$18)+SUMSQ(Attributs!$O$2:$O$18)))*(SQRT(SUMSQ(Attributs!$DV$2:$DV$18)+SUMSQ(Attributs!$DW$2:$DW$18)))),0)</f>
        <v/>
      </c>
    </row>
    <row r="9">
      <c r="A9" s="3" t="inlineStr">
        <is>
          <t>SE_mysql.postes.CreationDate</t>
        </is>
      </c>
      <c r="B9" s="2">
        <f>IFERROR((SUMPRODUCT(Attributs!$P$2:$P$18,Attributs!$B$2:$B$18)+SUMPRODUCT(Attributs!$Q$2:$Q$18,Attributs!$C$2:$C$18))/((SQRT(SUMSQ(Attributs!$P$2:$P$18)+SUMSQ(Attributs!$Q$2:$Q$18)))*(SQRT(SUMSQ(Attributs!$B$2:$B$18)+SUMSQ(Attributs!$C$2:$C$18)))),0)</f>
        <v/>
      </c>
      <c r="C9" s="2">
        <f>IFERROR((SUMPRODUCT(Attributs!$P$2:$P$18,Attributs!$D$2:$D$18)+SUMPRODUCT(Attributs!$Q$2:$Q$18,Attributs!$E$2:$E$18))/((SQRT(SUMSQ(Attributs!$P$2:$P$18)+SUMSQ(Attributs!$Q$2:$Q$18)))*(SQRT(SUMSQ(Attributs!$D$2:$D$18)+SUMSQ(Attributs!$E$2:$E$18)))),0)</f>
        <v/>
      </c>
      <c r="D9" s="2">
        <f>IFERROR((SUMPRODUCT(Attributs!$P$2:$P$18,Attributs!$F$2:$F$18)+SUMPRODUCT(Attributs!$Q$2:$Q$18,Attributs!$G$2:$G$18))/((SQRT(SUMSQ(Attributs!$P$2:$P$18)+SUMSQ(Attributs!$Q$2:$Q$18)))*(SQRT(SUMSQ(Attributs!$F$2:$F$18)+SUMSQ(Attributs!$G$2:$G$18)))),0)</f>
        <v/>
      </c>
      <c r="E9" s="2">
        <f>IFERROR((SUMPRODUCT(Attributs!$P$2:$P$18,Attributs!$H$2:$H$18)+SUMPRODUCT(Attributs!$Q$2:$Q$18,Attributs!$I$2:$I$18))/((SQRT(SUMSQ(Attributs!$P$2:$P$18)+SUMSQ(Attributs!$Q$2:$Q$18)))*(SQRT(SUMSQ(Attributs!$H$2:$H$18)+SUMSQ(Attributs!$I$2:$I$18)))),0)</f>
        <v/>
      </c>
      <c r="F9" s="2">
        <f>IFERROR((SUMPRODUCT(Attributs!$P$2:$P$18,Attributs!$J$2:$J$18)+SUMPRODUCT(Attributs!$Q$2:$Q$18,Attributs!$K$2:$K$18))/((SQRT(SUMSQ(Attributs!$P$2:$P$18)+SUMSQ(Attributs!$Q$2:$Q$18)))*(SQRT(SUMSQ(Attributs!$J$2:$J$18)+SUMSQ(Attributs!$K$2:$K$18)))),0)</f>
        <v/>
      </c>
      <c r="G9" s="2">
        <f>IFERROR((SUMPRODUCT(Attributs!$P$2:$P$18,Attributs!$L$2:$L$18)+SUMPRODUCT(Attributs!$Q$2:$Q$18,Attributs!$M$2:$M$18))/((SQRT(SUMSQ(Attributs!$P$2:$P$18)+SUMSQ(Attributs!$Q$2:$Q$18)))*(SQRT(SUMSQ(Attributs!$L$2:$L$18)+SUMSQ(Attributs!$M$2:$M$18)))),0)</f>
        <v/>
      </c>
      <c r="H9" s="2">
        <f>IFERROR((SUMPRODUCT(Attributs!$P$2:$P$18,Attributs!$N$2:$N$18)+SUMPRODUCT(Attributs!$Q$2:$Q$18,Attributs!$O$2:$O$18))/((SQRT(SUMSQ(Attributs!$P$2:$P$18)+SUMSQ(Attributs!$Q$2:$Q$18)))*(SQRT(SUMSQ(Attributs!$N$2:$N$18)+SUMSQ(Attributs!$O$2:$O$18)))),0)</f>
        <v/>
      </c>
      <c r="I9" s="2">
        <f>IFERROR((SUMPRODUCT(Attributs!$P$2:$P$18,Attributs!$P$2:$P$18)+SUMPRODUCT(Attributs!$Q$2:$Q$18,Attributs!$Q$2:$Q$18))/((SQRT(SUMSQ(Attributs!$P$2:$P$18)+SUMSQ(Attributs!$Q$2:$Q$18)))*(SQRT(SUMSQ(Attributs!$P$2:$P$18)+SUMSQ(Attributs!$Q$2:$Q$18)))),0)</f>
        <v/>
      </c>
      <c r="J9" s="2">
        <f>IFERROR((SUMPRODUCT(Attributs!$P$2:$P$18,Attributs!$R$2:$R$18)+SUMPRODUCT(Attributs!$Q$2:$Q$18,Attributs!$S$2:$S$18))/((SQRT(SUMSQ(Attributs!$P$2:$P$18)+SUMSQ(Attributs!$Q$2:$Q$18)))*(SQRT(SUMSQ(Attributs!$R$2:$R$18)+SUMSQ(Attributs!$S$2:$S$18)))),0)</f>
        <v/>
      </c>
      <c r="K9" s="2">
        <f>IFERROR((SUMPRODUCT(Attributs!$P$2:$P$18,Attributs!$T$2:$T$18)+SUMPRODUCT(Attributs!$Q$2:$Q$18,Attributs!$U$2:$U$18))/((SQRT(SUMSQ(Attributs!$P$2:$P$18)+SUMSQ(Attributs!$Q$2:$Q$18)))*(SQRT(SUMSQ(Attributs!$T$2:$T$18)+SUMSQ(Attributs!$U$2:$U$18)))),0)</f>
        <v/>
      </c>
      <c r="L9" s="2">
        <f>IFERROR((SUMPRODUCT(Attributs!$P$2:$P$18,Attributs!$V$2:$V$18)+SUMPRODUCT(Attributs!$Q$2:$Q$18,Attributs!$W$2:$W$18))/((SQRT(SUMSQ(Attributs!$P$2:$P$18)+SUMSQ(Attributs!$Q$2:$Q$18)))*(SQRT(SUMSQ(Attributs!$V$2:$V$18)+SUMSQ(Attributs!$W$2:$W$18)))),0)</f>
        <v/>
      </c>
      <c r="M9" s="2">
        <f>IFERROR((SUMPRODUCT(Attributs!$P$2:$P$18,Attributs!$X$2:$X$18)+SUMPRODUCT(Attributs!$Q$2:$Q$18,Attributs!$Y$2:$Y$18))/((SQRT(SUMSQ(Attributs!$P$2:$P$18)+SUMSQ(Attributs!$Q$2:$Q$18)))*(SQRT(SUMSQ(Attributs!$X$2:$X$18)+SUMSQ(Attributs!$Y$2:$Y$18)))),0)</f>
        <v/>
      </c>
      <c r="N9" s="2">
        <f>IFERROR((SUMPRODUCT(Attributs!$P$2:$P$18,Attributs!$Z$2:$Z$18)+SUMPRODUCT(Attributs!$Q$2:$Q$18,Attributs!$AA$2:$AA$18))/((SQRT(SUMSQ(Attributs!$P$2:$P$18)+SUMSQ(Attributs!$Q$2:$Q$18)))*(SQRT(SUMSQ(Attributs!$Z$2:$Z$18)+SUMSQ(Attributs!$AA$2:$AA$18)))),0)</f>
        <v/>
      </c>
      <c r="O9" s="2">
        <f>IFERROR((SUMPRODUCT(Attributs!$P$2:$P$18,Attributs!$AB$2:$AB$18)+SUMPRODUCT(Attributs!$Q$2:$Q$18,Attributs!$AC$2:$AC$18))/((SQRT(SUMSQ(Attributs!$P$2:$P$18)+SUMSQ(Attributs!$Q$2:$Q$18)))*(SQRT(SUMSQ(Attributs!$AB$2:$AB$18)+SUMSQ(Attributs!$AC$2:$AC$18)))),0)</f>
        <v/>
      </c>
      <c r="P9" s="2">
        <f>IFERROR((SUMPRODUCT(Attributs!$P$2:$P$18,Attributs!$AD$2:$AD$18)+SUMPRODUCT(Attributs!$Q$2:$Q$18,Attributs!$AE$2:$AE$18))/((SQRT(SUMSQ(Attributs!$P$2:$P$18)+SUMSQ(Attributs!$Q$2:$Q$18)))*(SQRT(SUMSQ(Attributs!$AD$2:$AD$18)+SUMSQ(Attributs!$AE$2:$AE$18)))),0)</f>
        <v/>
      </c>
      <c r="Q9" s="2">
        <f>IFERROR((SUMPRODUCT(Attributs!$P$2:$P$18,Attributs!$AF$2:$AF$18)+SUMPRODUCT(Attributs!$Q$2:$Q$18,Attributs!$AG$2:$AG$18))/((SQRT(SUMSQ(Attributs!$P$2:$P$18)+SUMSQ(Attributs!$Q$2:$Q$18)))*(SQRT(SUMSQ(Attributs!$AF$2:$AF$18)+SUMSQ(Attributs!$AG$2:$AG$18)))),0)</f>
        <v/>
      </c>
      <c r="R9" s="2">
        <f>IFERROR((SUMPRODUCT(Attributs!$P$2:$P$18,Attributs!$AH$2:$AH$18)+SUMPRODUCT(Attributs!$Q$2:$Q$18,Attributs!$AI$2:$AI$18))/((SQRT(SUMSQ(Attributs!$P$2:$P$18)+SUMSQ(Attributs!$Q$2:$Q$18)))*(SQRT(SUMSQ(Attributs!$AH$2:$AH$18)+SUMSQ(Attributs!$AI$2:$AI$18)))),0)</f>
        <v/>
      </c>
      <c r="S9" s="2">
        <f>IFERROR((SUMPRODUCT(Attributs!$P$2:$P$18,Attributs!$AJ$2:$AJ$18)+SUMPRODUCT(Attributs!$Q$2:$Q$18,Attributs!$AK$2:$AK$18))/((SQRT(SUMSQ(Attributs!$P$2:$P$18)+SUMSQ(Attributs!$Q$2:$Q$18)))*(SQRT(SUMSQ(Attributs!$AJ$2:$AJ$18)+SUMSQ(Attributs!$AK$2:$AK$18)))),0)</f>
        <v/>
      </c>
      <c r="T9" s="2">
        <f>IFERROR((SUMPRODUCT(Attributs!$P$2:$P$18,Attributs!$AL$2:$AL$18)+SUMPRODUCT(Attributs!$Q$2:$Q$18,Attributs!$AM$2:$AM$18))/((SQRT(SUMSQ(Attributs!$P$2:$P$18)+SUMSQ(Attributs!$Q$2:$Q$18)))*(SQRT(SUMSQ(Attributs!$AL$2:$AL$18)+SUMSQ(Attributs!$AM$2:$AM$18)))),0)</f>
        <v/>
      </c>
      <c r="U9" s="2">
        <f>IFERROR((SUMPRODUCT(Attributs!$P$2:$P$18,Attributs!$AN$2:$AN$18)+SUMPRODUCT(Attributs!$Q$2:$Q$18,Attributs!$AO$2:$AO$18))/((SQRT(SUMSQ(Attributs!$P$2:$P$18)+SUMSQ(Attributs!$Q$2:$Q$18)))*(SQRT(SUMSQ(Attributs!$AN$2:$AN$18)+SUMSQ(Attributs!$AO$2:$AO$18)))),0)</f>
        <v/>
      </c>
      <c r="V9" s="2">
        <f>IFERROR((SUMPRODUCT(Attributs!$P$2:$P$18,Attributs!$AP$2:$AP$18)+SUMPRODUCT(Attributs!$Q$2:$Q$18,Attributs!$AQ$2:$AQ$18))/((SQRT(SUMSQ(Attributs!$P$2:$P$18)+SUMSQ(Attributs!$Q$2:$Q$18)))*(SQRT(SUMSQ(Attributs!$AP$2:$AP$18)+SUMSQ(Attributs!$AQ$2:$AQ$18)))),0)</f>
        <v/>
      </c>
      <c r="W9" s="2">
        <f>IFERROR((SUMPRODUCT(Attributs!$P$2:$P$18,Attributs!$AR$2:$AR$18)+SUMPRODUCT(Attributs!$Q$2:$Q$18,Attributs!$AS$2:$AS$18))/((SQRT(SUMSQ(Attributs!$P$2:$P$18)+SUMSQ(Attributs!$Q$2:$Q$18)))*(SQRT(SUMSQ(Attributs!$AR$2:$AR$18)+SUMSQ(Attributs!$AS$2:$AS$18)))),0)</f>
        <v/>
      </c>
      <c r="X9" s="2">
        <f>IFERROR((SUMPRODUCT(Attributs!$P$2:$P$18,Attributs!$AT$2:$AT$18)+SUMPRODUCT(Attributs!$Q$2:$Q$18,Attributs!$AU$2:$AU$18))/((SQRT(SUMSQ(Attributs!$P$2:$P$18)+SUMSQ(Attributs!$Q$2:$Q$18)))*(SQRT(SUMSQ(Attributs!$AT$2:$AT$18)+SUMSQ(Attributs!$AU$2:$AU$18)))),0)</f>
        <v/>
      </c>
      <c r="Y9" s="2">
        <f>IFERROR((SUMPRODUCT(Attributs!$P$2:$P$18,Attributs!$AV$2:$AV$18)+SUMPRODUCT(Attributs!$Q$2:$Q$18,Attributs!$AW$2:$AW$18))/((SQRT(SUMSQ(Attributs!$P$2:$P$18)+SUMSQ(Attributs!$Q$2:$Q$18)))*(SQRT(SUMSQ(Attributs!$AV$2:$AV$18)+SUMSQ(Attributs!$AW$2:$AW$18)))),0)</f>
        <v/>
      </c>
      <c r="Z9" s="2">
        <f>IFERROR((SUMPRODUCT(Attributs!$P$2:$P$18,Attributs!$AX$2:$AX$18)+SUMPRODUCT(Attributs!$Q$2:$Q$18,Attributs!$AY$2:$AY$18))/((SQRT(SUMSQ(Attributs!$P$2:$P$18)+SUMSQ(Attributs!$Q$2:$Q$18)))*(SQRT(SUMSQ(Attributs!$AX$2:$AX$18)+SUMSQ(Attributs!$AY$2:$AY$18)))),0)</f>
        <v/>
      </c>
      <c r="AA9" s="2">
        <f>IFERROR((SUMPRODUCT(Attributs!$P$2:$P$18,Attributs!$AZ$2:$AZ$18)+SUMPRODUCT(Attributs!$Q$2:$Q$18,Attributs!$BA$2:$BA$18))/((SQRT(SUMSQ(Attributs!$P$2:$P$18)+SUMSQ(Attributs!$Q$2:$Q$18)))*(SQRT(SUMSQ(Attributs!$AZ$2:$AZ$18)+SUMSQ(Attributs!$BA$2:$BA$18)))),0)</f>
        <v/>
      </c>
      <c r="AB9" s="2">
        <f>IFERROR((SUMPRODUCT(Attributs!$P$2:$P$18,Attributs!$BB$2:$BB$18)+SUMPRODUCT(Attributs!$Q$2:$Q$18,Attributs!$BC$2:$BC$18))/((SQRT(SUMSQ(Attributs!$P$2:$P$18)+SUMSQ(Attributs!$Q$2:$Q$18)))*(SQRT(SUMSQ(Attributs!$BB$2:$BB$18)+SUMSQ(Attributs!$BC$2:$BC$18)))),0)</f>
        <v/>
      </c>
      <c r="AC9" s="2">
        <f>IFERROR((SUMPRODUCT(Attributs!$P$2:$P$18,Attributs!$BD$2:$BD$18)+SUMPRODUCT(Attributs!$Q$2:$Q$18,Attributs!$BE$2:$BE$18))/((SQRT(SUMSQ(Attributs!$P$2:$P$18)+SUMSQ(Attributs!$Q$2:$Q$18)))*(SQRT(SUMSQ(Attributs!$BD$2:$BD$18)+SUMSQ(Attributs!$BE$2:$BE$18)))),0)</f>
        <v/>
      </c>
      <c r="AD9" s="2">
        <f>IFERROR((SUMPRODUCT(Attributs!$P$2:$P$18,Attributs!$BF$2:$BF$18)+SUMPRODUCT(Attributs!$Q$2:$Q$18,Attributs!$BG$2:$BG$18))/((SQRT(SUMSQ(Attributs!$P$2:$P$18)+SUMSQ(Attributs!$Q$2:$Q$18)))*(SQRT(SUMSQ(Attributs!$BF$2:$BF$18)+SUMSQ(Attributs!$BG$2:$BG$18)))),0)</f>
        <v/>
      </c>
      <c r="AE9" s="2">
        <f>IFERROR((SUMPRODUCT(Attributs!$P$2:$P$18,Attributs!$BH$2:$BH$18)+SUMPRODUCT(Attributs!$Q$2:$Q$18,Attributs!$BI$2:$BI$18))/((SQRT(SUMSQ(Attributs!$P$2:$P$18)+SUMSQ(Attributs!$Q$2:$Q$18)))*(SQRT(SUMSQ(Attributs!$BH$2:$BH$18)+SUMSQ(Attributs!$BI$2:$BI$18)))),0)</f>
        <v/>
      </c>
      <c r="AF9" s="2">
        <f>IFERROR((SUMPRODUCT(Attributs!$P$2:$P$18,Attributs!$BJ$2:$BJ$18)+SUMPRODUCT(Attributs!$Q$2:$Q$18,Attributs!$BK$2:$BK$18))/((SQRT(SUMSQ(Attributs!$P$2:$P$18)+SUMSQ(Attributs!$Q$2:$Q$18)))*(SQRT(SUMSQ(Attributs!$BJ$2:$BJ$18)+SUMSQ(Attributs!$BK$2:$BK$18)))),0)</f>
        <v/>
      </c>
      <c r="AG9" s="2">
        <f>IFERROR((SUMPRODUCT(Attributs!$P$2:$P$18,Attributs!$BL$2:$BL$18)+SUMPRODUCT(Attributs!$Q$2:$Q$18,Attributs!$BM$2:$BM$18))/((SQRT(SUMSQ(Attributs!$P$2:$P$18)+SUMSQ(Attributs!$Q$2:$Q$18)))*(SQRT(SUMSQ(Attributs!$BL$2:$BL$18)+SUMSQ(Attributs!$BM$2:$BM$18)))),0)</f>
        <v/>
      </c>
      <c r="AH9" s="2">
        <f>IFERROR((SUMPRODUCT(Attributs!$P$2:$P$18,Attributs!$BN$2:$BN$18)+SUMPRODUCT(Attributs!$Q$2:$Q$18,Attributs!$BO$2:$BO$18))/((SQRT(SUMSQ(Attributs!$P$2:$P$18)+SUMSQ(Attributs!$Q$2:$Q$18)))*(SQRT(SUMSQ(Attributs!$BN$2:$BN$18)+SUMSQ(Attributs!$BO$2:$BO$18)))),0)</f>
        <v/>
      </c>
      <c r="AI9" s="2">
        <f>IFERROR((SUMPRODUCT(Attributs!$P$2:$P$18,Attributs!$BP$2:$BP$18)+SUMPRODUCT(Attributs!$Q$2:$Q$18,Attributs!$BQ$2:$BQ$18))/((SQRT(SUMSQ(Attributs!$P$2:$P$18)+SUMSQ(Attributs!$Q$2:$Q$18)))*(SQRT(SUMSQ(Attributs!$BP$2:$BP$18)+SUMSQ(Attributs!$BQ$2:$BQ$18)))),0)</f>
        <v/>
      </c>
      <c r="AJ9" s="2">
        <f>IFERROR((SUMPRODUCT(Attributs!$P$2:$P$18,Attributs!$BR$2:$BR$18)+SUMPRODUCT(Attributs!$Q$2:$Q$18,Attributs!$BS$2:$BS$18))/((SQRT(SUMSQ(Attributs!$P$2:$P$18)+SUMSQ(Attributs!$Q$2:$Q$18)))*(SQRT(SUMSQ(Attributs!$BR$2:$BR$18)+SUMSQ(Attributs!$BS$2:$BS$18)))),0)</f>
        <v/>
      </c>
      <c r="AK9" s="2">
        <f>IFERROR((SUMPRODUCT(Attributs!$P$2:$P$18,Attributs!$BT$2:$BT$18)+SUMPRODUCT(Attributs!$Q$2:$Q$18,Attributs!$BU$2:$BU$18))/((SQRT(SUMSQ(Attributs!$P$2:$P$18)+SUMSQ(Attributs!$Q$2:$Q$18)))*(SQRT(SUMSQ(Attributs!$BT$2:$BT$18)+SUMSQ(Attributs!$BU$2:$BU$18)))),0)</f>
        <v/>
      </c>
      <c r="AL9" s="2">
        <f>IFERROR((SUMPRODUCT(Attributs!$P$2:$P$18,Attributs!$BV$2:$BV$18)+SUMPRODUCT(Attributs!$Q$2:$Q$18,Attributs!$BW$2:$BW$18))/((SQRT(SUMSQ(Attributs!$P$2:$P$18)+SUMSQ(Attributs!$Q$2:$Q$18)))*(SQRT(SUMSQ(Attributs!$BV$2:$BV$18)+SUMSQ(Attributs!$BW$2:$BW$18)))),0)</f>
        <v/>
      </c>
      <c r="AM9" s="2">
        <f>IFERROR((SUMPRODUCT(Attributs!$P$2:$P$18,Attributs!$BX$2:$BX$18)+SUMPRODUCT(Attributs!$Q$2:$Q$18,Attributs!$BY$2:$BY$18))/((SQRT(SUMSQ(Attributs!$P$2:$P$18)+SUMSQ(Attributs!$Q$2:$Q$18)))*(SQRT(SUMSQ(Attributs!$BX$2:$BX$18)+SUMSQ(Attributs!$BY$2:$BY$18)))),0)</f>
        <v/>
      </c>
      <c r="AN9" s="2">
        <f>IFERROR((SUMPRODUCT(Attributs!$P$2:$P$18,Attributs!$BZ$2:$BZ$18)+SUMPRODUCT(Attributs!$Q$2:$Q$18,Attributs!$CA$2:$CA$18))/((SQRT(SUMSQ(Attributs!$P$2:$P$18)+SUMSQ(Attributs!$Q$2:$Q$18)))*(SQRT(SUMSQ(Attributs!$BZ$2:$BZ$18)+SUMSQ(Attributs!$CA$2:$CA$18)))),0)</f>
        <v/>
      </c>
      <c r="AO9" s="2">
        <f>IFERROR((SUMPRODUCT(Attributs!$P$2:$P$18,Attributs!$CB$2:$CB$18)+SUMPRODUCT(Attributs!$Q$2:$Q$18,Attributs!$CC$2:$CC$18))/((SQRT(SUMSQ(Attributs!$P$2:$P$18)+SUMSQ(Attributs!$Q$2:$Q$18)))*(SQRT(SUMSQ(Attributs!$CB$2:$CB$18)+SUMSQ(Attributs!$CC$2:$CC$18)))),0)</f>
        <v/>
      </c>
      <c r="AP9" s="2">
        <f>IFERROR((SUMPRODUCT(Attributs!$P$2:$P$18,Attributs!$CD$2:$CD$18)+SUMPRODUCT(Attributs!$Q$2:$Q$18,Attributs!$CE$2:$CE$18))/((SQRT(SUMSQ(Attributs!$P$2:$P$18)+SUMSQ(Attributs!$Q$2:$Q$18)))*(SQRT(SUMSQ(Attributs!$CD$2:$CD$18)+SUMSQ(Attributs!$CE$2:$CE$18)))),0)</f>
        <v/>
      </c>
      <c r="AQ9" s="2">
        <f>IFERROR((SUMPRODUCT(Attributs!$P$2:$P$18,Attributs!$CF$2:$CF$18)+SUMPRODUCT(Attributs!$Q$2:$Q$18,Attributs!$CG$2:$CG$18))/((SQRT(SUMSQ(Attributs!$P$2:$P$18)+SUMSQ(Attributs!$Q$2:$Q$18)))*(SQRT(SUMSQ(Attributs!$CF$2:$CF$18)+SUMSQ(Attributs!$CG$2:$CG$18)))),0)</f>
        <v/>
      </c>
      <c r="AR9" s="2">
        <f>IFERROR((SUMPRODUCT(Attributs!$P$2:$P$18,Attributs!$CH$2:$CH$18)+SUMPRODUCT(Attributs!$Q$2:$Q$18,Attributs!$CI$2:$CI$18))/((SQRT(SUMSQ(Attributs!$P$2:$P$18)+SUMSQ(Attributs!$Q$2:$Q$18)))*(SQRT(SUMSQ(Attributs!$CH$2:$CH$18)+SUMSQ(Attributs!$CI$2:$CI$18)))),0)</f>
        <v/>
      </c>
      <c r="AS9" s="2">
        <f>IFERROR((SUMPRODUCT(Attributs!$P$2:$P$18,Attributs!$CJ$2:$CJ$18)+SUMPRODUCT(Attributs!$Q$2:$Q$18,Attributs!$CK$2:$CK$18))/((SQRT(SUMSQ(Attributs!$P$2:$P$18)+SUMSQ(Attributs!$Q$2:$Q$18)))*(SQRT(SUMSQ(Attributs!$CJ$2:$CJ$18)+SUMSQ(Attributs!$CK$2:$CK$18)))),0)</f>
        <v/>
      </c>
      <c r="AT9" s="2">
        <f>IFERROR((SUMPRODUCT(Attributs!$P$2:$P$18,Attributs!$CL$2:$CL$18)+SUMPRODUCT(Attributs!$Q$2:$Q$18,Attributs!$CM$2:$CM$18))/((SQRT(SUMSQ(Attributs!$P$2:$P$18)+SUMSQ(Attributs!$Q$2:$Q$18)))*(SQRT(SUMSQ(Attributs!$CL$2:$CL$18)+SUMSQ(Attributs!$CM$2:$CM$18)))),0)</f>
        <v/>
      </c>
      <c r="AU9" s="2">
        <f>IFERROR((SUMPRODUCT(Attributs!$P$2:$P$18,Attributs!$CN$2:$CN$18)+SUMPRODUCT(Attributs!$Q$2:$Q$18,Attributs!$CO$2:$CO$18))/((SQRT(SUMSQ(Attributs!$P$2:$P$18)+SUMSQ(Attributs!$Q$2:$Q$18)))*(SQRT(SUMSQ(Attributs!$CN$2:$CN$18)+SUMSQ(Attributs!$CO$2:$CO$18)))),0)</f>
        <v/>
      </c>
      <c r="AV9" s="2">
        <f>IFERROR((SUMPRODUCT(Attributs!$P$2:$P$18,Attributs!$CP$2:$CP$18)+SUMPRODUCT(Attributs!$Q$2:$Q$18,Attributs!$CQ$2:$CQ$18))/((SQRT(SUMSQ(Attributs!$P$2:$P$18)+SUMSQ(Attributs!$Q$2:$Q$18)))*(SQRT(SUMSQ(Attributs!$CP$2:$CP$18)+SUMSQ(Attributs!$CQ$2:$CQ$18)))),0)</f>
        <v/>
      </c>
      <c r="AW9" s="2">
        <f>IFERROR((SUMPRODUCT(Attributs!$P$2:$P$18,Attributs!$CR$2:$CR$18)+SUMPRODUCT(Attributs!$Q$2:$Q$18,Attributs!$CS$2:$CS$18))/((SQRT(SUMSQ(Attributs!$P$2:$P$18)+SUMSQ(Attributs!$Q$2:$Q$18)))*(SQRT(SUMSQ(Attributs!$CR$2:$CR$18)+SUMSQ(Attributs!$CS$2:$CS$18)))),0)</f>
        <v/>
      </c>
      <c r="AX9" s="2">
        <f>IFERROR((SUMPRODUCT(Attributs!$P$2:$P$18,Attributs!$CT$2:$CT$18)+SUMPRODUCT(Attributs!$Q$2:$Q$18,Attributs!$CU$2:$CU$18))/((SQRT(SUMSQ(Attributs!$P$2:$P$18)+SUMSQ(Attributs!$Q$2:$Q$18)))*(SQRT(SUMSQ(Attributs!$CT$2:$CT$18)+SUMSQ(Attributs!$CU$2:$CU$18)))),0)</f>
        <v/>
      </c>
      <c r="AY9" s="2">
        <f>IFERROR((SUMPRODUCT(Attributs!$P$2:$P$18,Attributs!$CV$2:$CV$18)+SUMPRODUCT(Attributs!$Q$2:$Q$18,Attributs!$CW$2:$CW$18))/((SQRT(SUMSQ(Attributs!$P$2:$P$18)+SUMSQ(Attributs!$Q$2:$Q$18)))*(SQRT(SUMSQ(Attributs!$CV$2:$CV$18)+SUMSQ(Attributs!$CW$2:$CW$18)))),0)</f>
        <v/>
      </c>
      <c r="AZ9" s="2">
        <f>IFERROR((SUMPRODUCT(Attributs!$P$2:$P$18,Attributs!$CX$2:$CX$18)+SUMPRODUCT(Attributs!$Q$2:$Q$18,Attributs!$CY$2:$CY$18))/((SQRT(SUMSQ(Attributs!$P$2:$P$18)+SUMSQ(Attributs!$Q$2:$Q$18)))*(SQRT(SUMSQ(Attributs!$CX$2:$CX$18)+SUMSQ(Attributs!$CY$2:$CY$18)))),0)</f>
        <v/>
      </c>
      <c r="BA9" s="2">
        <f>IFERROR((SUMPRODUCT(Attributs!$P$2:$P$18,Attributs!$CZ$2:$CZ$18)+SUMPRODUCT(Attributs!$Q$2:$Q$18,Attributs!$DA$2:$DA$18))/((SQRT(SUMSQ(Attributs!$P$2:$P$18)+SUMSQ(Attributs!$Q$2:$Q$18)))*(SQRT(SUMSQ(Attributs!$CZ$2:$CZ$18)+SUMSQ(Attributs!$DA$2:$DA$18)))),0)</f>
        <v/>
      </c>
      <c r="BB9" s="2">
        <f>IFERROR((SUMPRODUCT(Attributs!$P$2:$P$18,Attributs!$DB$2:$DB$18)+SUMPRODUCT(Attributs!$Q$2:$Q$18,Attributs!$DC$2:$DC$18))/((SQRT(SUMSQ(Attributs!$P$2:$P$18)+SUMSQ(Attributs!$Q$2:$Q$18)))*(SQRT(SUMSQ(Attributs!$DB$2:$DB$18)+SUMSQ(Attributs!$DC$2:$DC$18)))),0)</f>
        <v/>
      </c>
      <c r="BC9" s="2">
        <f>IFERROR((SUMPRODUCT(Attributs!$P$2:$P$18,Attributs!$DD$2:$DD$18)+SUMPRODUCT(Attributs!$Q$2:$Q$18,Attributs!$DE$2:$DE$18))/((SQRT(SUMSQ(Attributs!$P$2:$P$18)+SUMSQ(Attributs!$Q$2:$Q$18)))*(SQRT(SUMSQ(Attributs!$DD$2:$DD$18)+SUMSQ(Attributs!$DE$2:$DE$18)))),0)</f>
        <v/>
      </c>
      <c r="BD9" s="2">
        <f>IFERROR((SUMPRODUCT(Attributs!$P$2:$P$18,Attributs!$DF$2:$DF$18)+SUMPRODUCT(Attributs!$Q$2:$Q$18,Attributs!$DG$2:$DG$18))/((SQRT(SUMSQ(Attributs!$P$2:$P$18)+SUMSQ(Attributs!$Q$2:$Q$18)))*(SQRT(SUMSQ(Attributs!$DF$2:$DF$18)+SUMSQ(Attributs!$DG$2:$DG$18)))),0)</f>
        <v/>
      </c>
      <c r="BE9" s="2">
        <f>IFERROR((SUMPRODUCT(Attributs!$P$2:$P$18,Attributs!$DH$2:$DH$18)+SUMPRODUCT(Attributs!$Q$2:$Q$18,Attributs!$DI$2:$DI$18))/((SQRT(SUMSQ(Attributs!$P$2:$P$18)+SUMSQ(Attributs!$Q$2:$Q$18)))*(SQRT(SUMSQ(Attributs!$DH$2:$DH$18)+SUMSQ(Attributs!$DI$2:$DI$18)))),0)</f>
        <v/>
      </c>
      <c r="BF9" s="2">
        <f>IFERROR((SUMPRODUCT(Attributs!$P$2:$P$18,Attributs!$DJ$2:$DJ$18)+SUMPRODUCT(Attributs!$Q$2:$Q$18,Attributs!$DK$2:$DK$18))/((SQRT(SUMSQ(Attributs!$P$2:$P$18)+SUMSQ(Attributs!$Q$2:$Q$18)))*(SQRT(SUMSQ(Attributs!$DJ$2:$DJ$18)+SUMSQ(Attributs!$DK$2:$DK$18)))),0)</f>
        <v/>
      </c>
      <c r="BG9" s="2">
        <f>IFERROR((SUMPRODUCT(Attributs!$P$2:$P$18,Attributs!$DL$2:$DL$18)+SUMPRODUCT(Attributs!$Q$2:$Q$18,Attributs!$DM$2:$DM$18))/((SQRT(SUMSQ(Attributs!$P$2:$P$18)+SUMSQ(Attributs!$Q$2:$Q$18)))*(SQRT(SUMSQ(Attributs!$DL$2:$DL$18)+SUMSQ(Attributs!$DM$2:$DM$18)))),0)</f>
        <v/>
      </c>
      <c r="BH9" s="2">
        <f>IFERROR((SUMPRODUCT(Attributs!$P$2:$P$18,Attributs!$DN$2:$DN$18)+SUMPRODUCT(Attributs!$Q$2:$Q$18,Attributs!$DO$2:$DO$18))/((SQRT(SUMSQ(Attributs!$P$2:$P$18)+SUMSQ(Attributs!$Q$2:$Q$18)))*(SQRT(SUMSQ(Attributs!$DN$2:$DN$18)+SUMSQ(Attributs!$DO$2:$DO$18)))),0)</f>
        <v/>
      </c>
      <c r="BI9" s="2">
        <f>IFERROR((SUMPRODUCT(Attributs!$P$2:$P$18,Attributs!$DP$2:$DP$18)+SUMPRODUCT(Attributs!$Q$2:$Q$18,Attributs!$DQ$2:$DQ$18))/((SQRT(SUMSQ(Attributs!$P$2:$P$18)+SUMSQ(Attributs!$Q$2:$Q$18)))*(SQRT(SUMSQ(Attributs!$DP$2:$DP$18)+SUMSQ(Attributs!$DQ$2:$DQ$18)))),0)</f>
        <v/>
      </c>
      <c r="BJ9" s="2">
        <f>IFERROR((SUMPRODUCT(Attributs!$P$2:$P$18,Attributs!$DR$2:$DR$18)+SUMPRODUCT(Attributs!$Q$2:$Q$18,Attributs!$DS$2:$DS$18))/((SQRT(SUMSQ(Attributs!$P$2:$P$18)+SUMSQ(Attributs!$Q$2:$Q$18)))*(SQRT(SUMSQ(Attributs!$DR$2:$DR$18)+SUMSQ(Attributs!$DS$2:$DS$18)))),0)</f>
        <v/>
      </c>
      <c r="BK9" s="2">
        <f>IFERROR((SUMPRODUCT(Attributs!$P$2:$P$18,Attributs!$DT$2:$DT$18)+SUMPRODUCT(Attributs!$Q$2:$Q$18,Attributs!$DU$2:$DU$18))/((SQRT(SUMSQ(Attributs!$P$2:$P$18)+SUMSQ(Attributs!$Q$2:$Q$18)))*(SQRT(SUMSQ(Attributs!$DT$2:$DT$18)+SUMSQ(Attributs!$DU$2:$DU$18)))),0)</f>
        <v/>
      </c>
      <c r="BL9" s="2">
        <f>IFERROR((SUMPRODUCT(Attributs!$P$2:$P$18,Attributs!$DV$2:$DV$18)+SUMPRODUCT(Attributs!$Q$2:$Q$18,Attributs!$DW$2:$DW$18))/((SQRT(SUMSQ(Attributs!$P$2:$P$18)+SUMSQ(Attributs!$Q$2:$Q$18)))*(SQRT(SUMSQ(Attributs!$DV$2:$DV$18)+SUMSQ(Attributs!$DW$2:$DW$18)))),0)</f>
        <v/>
      </c>
    </row>
    <row r="10">
      <c r="A10" s="3" t="inlineStr">
        <is>
          <t>SE_mysql.Posttypes.Id</t>
        </is>
      </c>
      <c r="B10" s="2">
        <f>IFERROR((SUMPRODUCT(Attributs!$R$2:$R$18,Attributs!$B$2:$B$18)+SUMPRODUCT(Attributs!$S$2:$S$18,Attributs!$C$2:$C$18))/((SQRT(SUMSQ(Attributs!$R$2:$R$18)+SUMSQ(Attributs!$S$2:$S$18)))*(SQRT(SUMSQ(Attributs!$B$2:$B$18)+SUMSQ(Attributs!$C$2:$C$18)))),0)</f>
        <v/>
      </c>
      <c r="C10" s="2">
        <f>IFERROR((SUMPRODUCT(Attributs!$R$2:$R$18,Attributs!$D$2:$D$18)+SUMPRODUCT(Attributs!$S$2:$S$18,Attributs!$E$2:$E$18))/((SQRT(SUMSQ(Attributs!$R$2:$R$18)+SUMSQ(Attributs!$S$2:$S$18)))*(SQRT(SUMSQ(Attributs!$D$2:$D$18)+SUMSQ(Attributs!$E$2:$E$18)))),0)</f>
        <v/>
      </c>
      <c r="D10" s="2">
        <f>IFERROR((SUMPRODUCT(Attributs!$R$2:$R$18,Attributs!$F$2:$F$18)+SUMPRODUCT(Attributs!$S$2:$S$18,Attributs!$G$2:$G$18))/((SQRT(SUMSQ(Attributs!$R$2:$R$18)+SUMSQ(Attributs!$S$2:$S$18)))*(SQRT(SUMSQ(Attributs!$F$2:$F$18)+SUMSQ(Attributs!$G$2:$G$18)))),0)</f>
        <v/>
      </c>
      <c r="E10" s="2">
        <f>IFERROR((SUMPRODUCT(Attributs!$R$2:$R$18,Attributs!$H$2:$H$18)+SUMPRODUCT(Attributs!$S$2:$S$18,Attributs!$I$2:$I$18))/((SQRT(SUMSQ(Attributs!$R$2:$R$18)+SUMSQ(Attributs!$S$2:$S$18)))*(SQRT(SUMSQ(Attributs!$H$2:$H$18)+SUMSQ(Attributs!$I$2:$I$18)))),0)</f>
        <v/>
      </c>
      <c r="F10" s="2">
        <f>IFERROR((SUMPRODUCT(Attributs!$R$2:$R$18,Attributs!$J$2:$J$18)+SUMPRODUCT(Attributs!$S$2:$S$18,Attributs!$K$2:$K$18))/((SQRT(SUMSQ(Attributs!$R$2:$R$18)+SUMSQ(Attributs!$S$2:$S$18)))*(SQRT(SUMSQ(Attributs!$J$2:$J$18)+SUMSQ(Attributs!$K$2:$K$18)))),0)</f>
        <v/>
      </c>
      <c r="G10" s="2">
        <f>IFERROR((SUMPRODUCT(Attributs!$R$2:$R$18,Attributs!$L$2:$L$18)+SUMPRODUCT(Attributs!$S$2:$S$18,Attributs!$M$2:$M$18))/((SQRT(SUMSQ(Attributs!$R$2:$R$18)+SUMSQ(Attributs!$S$2:$S$18)))*(SQRT(SUMSQ(Attributs!$L$2:$L$18)+SUMSQ(Attributs!$M$2:$M$18)))),0)</f>
        <v/>
      </c>
      <c r="H10" s="2">
        <f>IFERROR((SUMPRODUCT(Attributs!$R$2:$R$18,Attributs!$N$2:$N$18)+SUMPRODUCT(Attributs!$S$2:$S$18,Attributs!$O$2:$O$18))/((SQRT(SUMSQ(Attributs!$R$2:$R$18)+SUMSQ(Attributs!$S$2:$S$18)))*(SQRT(SUMSQ(Attributs!$N$2:$N$18)+SUMSQ(Attributs!$O$2:$O$18)))),0)</f>
        <v/>
      </c>
      <c r="I10" s="2">
        <f>IFERROR((SUMPRODUCT(Attributs!$R$2:$R$18,Attributs!$P$2:$P$18)+SUMPRODUCT(Attributs!$S$2:$S$18,Attributs!$Q$2:$Q$18))/((SQRT(SUMSQ(Attributs!$R$2:$R$18)+SUMSQ(Attributs!$S$2:$S$18)))*(SQRT(SUMSQ(Attributs!$P$2:$P$18)+SUMSQ(Attributs!$Q$2:$Q$18)))),0)</f>
        <v/>
      </c>
      <c r="J10" s="2">
        <f>IFERROR((SUMPRODUCT(Attributs!$R$2:$R$18,Attributs!$R$2:$R$18)+SUMPRODUCT(Attributs!$S$2:$S$18,Attributs!$S$2:$S$18))/((SQRT(SUMSQ(Attributs!$R$2:$R$18)+SUMSQ(Attributs!$S$2:$S$18)))*(SQRT(SUMSQ(Attributs!$R$2:$R$18)+SUMSQ(Attributs!$S$2:$S$18)))),0)</f>
        <v/>
      </c>
      <c r="K10" s="2">
        <f>IFERROR((SUMPRODUCT(Attributs!$R$2:$R$18,Attributs!$T$2:$T$18)+SUMPRODUCT(Attributs!$S$2:$S$18,Attributs!$U$2:$U$18))/((SQRT(SUMSQ(Attributs!$R$2:$R$18)+SUMSQ(Attributs!$S$2:$S$18)))*(SQRT(SUMSQ(Attributs!$T$2:$T$18)+SUMSQ(Attributs!$U$2:$U$18)))),0)</f>
        <v/>
      </c>
      <c r="L10" s="2">
        <f>IFERROR((SUMPRODUCT(Attributs!$R$2:$R$18,Attributs!$V$2:$V$18)+SUMPRODUCT(Attributs!$S$2:$S$18,Attributs!$W$2:$W$18))/((SQRT(SUMSQ(Attributs!$R$2:$R$18)+SUMSQ(Attributs!$S$2:$S$18)))*(SQRT(SUMSQ(Attributs!$V$2:$V$18)+SUMSQ(Attributs!$W$2:$W$18)))),0)</f>
        <v/>
      </c>
      <c r="M10" s="2">
        <f>IFERROR((SUMPRODUCT(Attributs!$R$2:$R$18,Attributs!$X$2:$X$18)+SUMPRODUCT(Attributs!$S$2:$S$18,Attributs!$Y$2:$Y$18))/((SQRT(SUMSQ(Attributs!$R$2:$R$18)+SUMSQ(Attributs!$S$2:$S$18)))*(SQRT(SUMSQ(Attributs!$X$2:$X$18)+SUMSQ(Attributs!$Y$2:$Y$18)))),0)</f>
        <v/>
      </c>
      <c r="N10" s="2">
        <f>IFERROR((SUMPRODUCT(Attributs!$R$2:$R$18,Attributs!$Z$2:$Z$18)+SUMPRODUCT(Attributs!$S$2:$S$18,Attributs!$AA$2:$AA$18))/((SQRT(SUMSQ(Attributs!$R$2:$R$18)+SUMSQ(Attributs!$S$2:$S$18)))*(SQRT(SUMSQ(Attributs!$Z$2:$Z$18)+SUMSQ(Attributs!$AA$2:$AA$18)))),0)</f>
        <v/>
      </c>
      <c r="O10" s="2">
        <f>IFERROR((SUMPRODUCT(Attributs!$R$2:$R$18,Attributs!$AB$2:$AB$18)+SUMPRODUCT(Attributs!$S$2:$S$18,Attributs!$AC$2:$AC$18))/((SQRT(SUMSQ(Attributs!$R$2:$R$18)+SUMSQ(Attributs!$S$2:$S$18)))*(SQRT(SUMSQ(Attributs!$AB$2:$AB$18)+SUMSQ(Attributs!$AC$2:$AC$18)))),0)</f>
        <v/>
      </c>
      <c r="P10" s="2">
        <f>IFERROR((SUMPRODUCT(Attributs!$R$2:$R$18,Attributs!$AD$2:$AD$18)+SUMPRODUCT(Attributs!$S$2:$S$18,Attributs!$AE$2:$AE$18))/((SQRT(SUMSQ(Attributs!$R$2:$R$18)+SUMSQ(Attributs!$S$2:$S$18)))*(SQRT(SUMSQ(Attributs!$AD$2:$AD$18)+SUMSQ(Attributs!$AE$2:$AE$18)))),0)</f>
        <v/>
      </c>
      <c r="Q10" s="2">
        <f>IFERROR((SUMPRODUCT(Attributs!$R$2:$R$18,Attributs!$AF$2:$AF$18)+SUMPRODUCT(Attributs!$S$2:$S$18,Attributs!$AG$2:$AG$18))/((SQRT(SUMSQ(Attributs!$R$2:$R$18)+SUMSQ(Attributs!$S$2:$S$18)))*(SQRT(SUMSQ(Attributs!$AF$2:$AF$18)+SUMSQ(Attributs!$AG$2:$AG$18)))),0)</f>
        <v/>
      </c>
      <c r="R10" s="2">
        <f>IFERROR((SUMPRODUCT(Attributs!$R$2:$R$18,Attributs!$AH$2:$AH$18)+SUMPRODUCT(Attributs!$S$2:$S$18,Attributs!$AI$2:$AI$18))/((SQRT(SUMSQ(Attributs!$R$2:$R$18)+SUMSQ(Attributs!$S$2:$S$18)))*(SQRT(SUMSQ(Attributs!$AH$2:$AH$18)+SUMSQ(Attributs!$AI$2:$AI$18)))),0)</f>
        <v/>
      </c>
      <c r="S10" s="2">
        <f>IFERROR((SUMPRODUCT(Attributs!$R$2:$R$18,Attributs!$AJ$2:$AJ$18)+SUMPRODUCT(Attributs!$S$2:$S$18,Attributs!$AK$2:$AK$18))/((SQRT(SUMSQ(Attributs!$R$2:$R$18)+SUMSQ(Attributs!$S$2:$S$18)))*(SQRT(SUMSQ(Attributs!$AJ$2:$AJ$18)+SUMSQ(Attributs!$AK$2:$AK$18)))),0)</f>
        <v/>
      </c>
      <c r="T10" s="2">
        <f>IFERROR((SUMPRODUCT(Attributs!$R$2:$R$18,Attributs!$AL$2:$AL$18)+SUMPRODUCT(Attributs!$S$2:$S$18,Attributs!$AM$2:$AM$18))/((SQRT(SUMSQ(Attributs!$R$2:$R$18)+SUMSQ(Attributs!$S$2:$S$18)))*(SQRT(SUMSQ(Attributs!$AL$2:$AL$18)+SUMSQ(Attributs!$AM$2:$AM$18)))),0)</f>
        <v/>
      </c>
      <c r="U10" s="2">
        <f>IFERROR((SUMPRODUCT(Attributs!$R$2:$R$18,Attributs!$AN$2:$AN$18)+SUMPRODUCT(Attributs!$S$2:$S$18,Attributs!$AO$2:$AO$18))/((SQRT(SUMSQ(Attributs!$R$2:$R$18)+SUMSQ(Attributs!$S$2:$S$18)))*(SQRT(SUMSQ(Attributs!$AN$2:$AN$18)+SUMSQ(Attributs!$AO$2:$AO$18)))),0)</f>
        <v/>
      </c>
      <c r="V10" s="2">
        <f>IFERROR((SUMPRODUCT(Attributs!$R$2:$R$18,Attributs!$AP$2:$AP$18)+SUMPRODUCT(Attributs!$S$2:$S$18,Attributs!$AQ$2:$AQ$18))/((SQRT(SUMSQ(Attributs!$R$2:$R$18)+SUMSQ(Attributs!$S$2:$S$18)))*(SQRT(SUMSQ(Attributs!$AP$2:$AP$18)+SUMSQ(Attributs!$AQ$2:$AQ$18)))),0)</f>
        <v/>
      </c>
      <c r="W10" s="2">
        <f>IFERROR((SUMPRODUCT(Attributs!$R$2:$R$18,Attributs!$AR$2:$AR$18)+SUMPRODUCT(Attributs!$S$2:$S$18,Attributs!$AS$2:$AS$18))/((SQRT(SUMSQ(Attributs!$R$2:$R$18)+SUMSQ(Attributs!$S$2:$S$18)))*(SQRT(SUMSQ(Attributs!$AR$2:$AR$18)+SUMSQ(Attributs!$AS$2:$AS$18)))),0)</f>
        <v/>
      </c>
      <c r="X10" s="2">
        <f>IFERROR((SUMPRODUCT(Attributs!$R$2:$R$18,Attributs!$AT$2:$AT$18)+SUMPRODUCT(Attributs!$S$2:$S$18,Attributs!$AU$2:$AU$18))/((SQRT(SUMSQ(Attributs!$R$2:$R$18)+SUMSQ(Attributs!$S$2:$S$18)))*(SQRT(SUMSQ(Attributs!$AT$2:$AT$18)+SUMSQ(Attributs!$AU$2:$AU$18)))),0)</f>
        <v/>
      </c>
      <c r="Y10" s="2">
        <f>IFERROR((SUMPRODUCT(Attributs!$R$2:$R$18,Attributs!$AV$2:$AV$18)+SUMPRODUCT(Attributs!$S$2:$S$18,Attributs!$AW$2:$AW$18))/((SQRT(SUMSQ(Attributs!$R$2:$R$18)+SUMSQ(Attributs!$S$2:$S$18)))*(SQRT(SUMSQ(Attributs!$AV$2:$AV$18)+SUMSQ(Attributs!$AW$2:$AW$18)))),0)</f>
        <v/>
      </c>
      <c r="Z10" s="2">
        <f>IFERROR((SUMPRODUCT(Attributs!$R$2:$R$18,Attributs!$AX$2:$AX$18)+SUMPRODUCT(Attributs!$S$2:$S$18,Attributs!$AY$2:$AY$18))/((SQRT(SUMSQ(Attributs!$R$2:$R$18)+SUMSQ(Attributs!$S$2:$S$18)))*(SQRT(SUMSQ(Attributs!$AX$2:$AX$18)+SUMSQ(Attributs!$AY$2:$AY$18)))),0)</f>
        <v/>
      </c>
      <c r="AA10" s="2">
        <f>IFERROR((SUMPRODUCT(Attributs!$R$2:$R$18,Attributs!$AZ$2:$AZ$18)+SUMPRODUCT(Attributs!$S$2:$S$18,Attributs!$BA$2:$BA$18))/((SQRT(SUMSQ(Attributs!$R$2:$R$18)+SUMSQ(Attributs!$S$2:$S$18)))*(SQRT(SUMSQ(Attributs!$AZ$2:$AZ$18)+SUMSQ(Attributs!$BA$2:$BA$18)))),0)</f>
        <v/>
      </c>
      <c r="AB10" s="2">
        <f>IFERROR((SUMPRODUCT(Attributs!$R$2:$R$18,Attributs!$BB$2:$BB$18)+SUMPRODUCT(Attributs!$S$2:$S$18,Attributs!$BC$2:$BC$18))/((SQRT(SUMSQ(Attributs!$R$2:$R$18)+SUMSQ(Attributs!$S$2:$S$18)))*(SQRT(SUMSQ(Attributs!$BB$2:$BB$18)+SUMSQ(Attributs!$BC$2:$BC$18)))),0)</f>
        <v/>
      </c>
      <c r="AC10" s="2">
        <f>IFERROR((SUMPRODUCT(Attributs!$R$2:$R$18,Attributs!$BD$2:$BD$18)+SUMPRODUCT(Attributs!$S$2:$S$18,Attributs!$BE$2:$BE$18))/((SQRT(SUMSQ(Attributs!$R$2:$R$18)+SUMSQ(Attributs!$S$2:$S$18)))*(SQRT(SUMSQ(Attributs!$BD$2:$BD$18)+SUMSQ(Attributs!$BE$2:$BE$18)))),0)</f>
        <v/>
      </c>
      <c r="AD10" s="2">
        <f>IFERROR((SUMPRODUCT(Attributs!$R$2:$R$18,Attributs!$BF$2:$BF$18)+SUMPRODUCT(Attributs!$S$2:$S$18,Attributs!$BG$2:$BG$18))/((SQRT(SUMSQ(Attributs!$R$2:$R$18)+SUMSQ(Attributs!$S$2:$S$18)))*(SQRT(SUMSQ(Attributs!$BF$2:$BF$18)+SUMSQ(Attributs!$BG$2:$BG$18)))),0)</f>
        <v/>
      </c>
      <c r="AE10" s="2">
        <f>IFERROR((SUMPRODUCT(Attributs!$R$2:$R$18,Attributs!$BH$2:$BH$18)+SUMPRODUCT(Attributs!$S$2:$S$18,Attributs!$BI$2:$BI$18))/((SQRT(SUMSQ(Attributs!$R$2:$R$18)+SUMSQ(Attributs!$S$2:$S$18)))*(SQRT(SUMSQ(Attributs!$BH$2:$BH$18)+SUMSQ(Attributs!$BI$2:$BI$18)))),0)</f>
        <v/>
      </c>
      <c r="AF10" s="2">
        <f>IFERROR((SUMPRODUCT(Attributs!$R$2:$R$18,Attributs!$BJ$2:$BJ$18)+SUMPRODUCT(Attributs!$S$2:$S$18,Attributs!$BK$2:$BK$18))/((SQRT(SUMSQ(Attributs!$R$2:$R$18)+SUMSQ(Attributs!$S$2:$S$18)))*(SQRT(SUMSQ(Attributs!$BJ$2:$BJ$18)+SUMSQ(Attributs!$BK$2:$BK$18)))),0)</f>
        <v/>
      </c>
      <c r="AG10" s="2">
        <f>IFERROR((SUMPRODUCT(Attributs!$R$2:$R$18,Attributs!$BL$2:$BL$18)+SUMPRODUCT(Attributs!$S$2:$S$18,Attributs!$BM$2:$BM$18))/((SQRT(SUMSQ(Attributs!$R$2:$R$18)+SUMSQ(Attributs!$S$2:$S$18)))*(SQRT(SUMSQ(Attributs!$BL$2:$BL$18)+SUMSQ(Attributs!$BM$2:$BM$18)))),0)</f>
        <v/>
      </c>
      <c r="AH10" s="2">
        <f>IFERROR((SUMPRODUCT(Attributs!$R$2:$R$18,Attributs!$BN$2:$BN$18)+SUMPRODUCT(Attributs!$S$2:$S$18,Attributs!$BO$2:$BO$18))/((SQRT(SUMSQ(Attributs!$R$2:$R$18)+SUMSQ(Attributs!$S$2:$S$18)))*(SQRT(SUMSQ(Attributs!$BN$2:$BN$18)+SUMSQ(Attributs!$BO$2:$BO$18)))),0)</f>
        <v/>
      </c>
      <c r="AI10" s="2">
        <f>IFERROR((SUMPRODUCT(Attributs!$R$2:$R$18,Attributs!$BP$2:$BP$18)+SUMPRODUCT(Attributs!$S$2:$S$18,Attributs!$BQ$2:$BQ$18))/((SQRT(SUMSQ(Attributs!$R$2:$R$18)+SUMSQ(Attributs!$S$2:$S$18)))*(SQRT(SUMSQ(Attributs!$BP$2:$BP$18)+SUMSQ(Attributs!$BQ$2:$BQ$18)))),0)</f>
        <v/>
      </c>
      <c r="AJ10" s="2">
        <f>IFERROR((SUMPRODUCT(Attributs!$R$2:$R$18,Attributs!$BR$2:$BR$18)+SUMPRODUCT(Attributs!$S$2:$S$18,Attributs!$BS$2:$BS$18))/((SQRT(SUMSQ(Attributs!$R$2:$R$18)+SUMSQ(Attributs!$S$2:$S$18)))*(SQRT(SUMSQ(Attributs!$BR$2:$BR$18)+SUMSQ(Attributs!$BS$2:$BS$18)))),0)</f>
        <v/>
      </c>
      <c r="AK10" s="2">
        <f>IFERROR((SUMPRODUCT(Attributs!$R$2:$R$18,Attributs!$BT$2:$BT$18)+SUMPRODUCT(Attributs!$S$2:$S$18,Attributs!$BU$2:$BU$18))/((SQRT(SUMSQ(Attributs!$R$2:$R$18)+SUMSQ(Attributs!$S$2:$S$18)))*(SQRT(SUMSQ(Attributs!$BT$2:$BT$18)+SUMSQ(Attributs!$BU$2:$BU$18)))),0)</f>
        <v/>
      </c>
      <c r="AL10" s="2">
        <f>IFERROR((SUMPRODUCT(Attributs!$R$2:$R$18,Attributs!$BV$2:$BV$18)+SUMPRODUCT(Attributs!$S$2:$S$18,Attributs!$BW$2:$BW$18))/((SQRT(SUMSQ(Attributs!$R$2:$R$18)+SUMSQ(Attributs!$S$2:$S$18)))*(SQRT(SUMSQ(Attributs!$BV$2:$BV$18)+SUMSQ(Attributs!$BW$2:$BW$18)))),0)</f>
        <v/>
      </c>
      <c r="AM10" s="2">
        <f>IFERROR((SUMPRODUCT(Attributs!$R$2:$R$18,Attributs!$BX$2:$BX$18)+SUMPRODUCT(Attributs!$S$2:$S$18,Attributs!$BY$2:$BY$18))/((SQRT(SUMSQ(Attributs!$R$2:$R$18)+SUMSQ(Attributs!$S$2:$S$18)))*(SQRT(SUMSQ(Attributs!$BX$2:$BX$18)+SUMSQ(Attributs!$BY$2:$BY$18)))),0)</f>
        <v/>
      </c>
      <c r="AN10" s="2">
        <f>IFERROR((SUMPRODUCT(Attributs!$R$2:$R$18,Attributs!$BZ$2:$BZ$18)+SUMPRODUCT(Attributs!$S$2:$S$18,Attributs!$CA$2:$CA$18))/((SQRT(SUMSQ(Attributs!$R$2:$R$18)+SUMSQ(Attributs!$S$2:$S$18)))*(SQRT(SUMSQ(Attributs!$BZ$2:$BZ$18)+SUMSQ(Attributs!$CA$2:$CA$18)))),0)</f>
        <v/>
      </c>
      <c r="AO10" s="2">
        <f>IFERROR((SUMPRODUCT(Attributs!$R$2:$R$18,Attributs!$CB$2:$CB$18)+SUMPRODUCT(Attributs!$S$2:$S$18,Attributs!$CC$2:$CC$18))/((SQRT(SUMSQ(Attributs!$R$2:$R$18)+SUMSQ(Attributs!$S$2:$S$18)))*(SQRT(SUMSQ(Attributs!$CB$2:$CB$18)+SUMSQ(Attributs!$CC$2:$CC$18)))),0)</f>
        <v/>
      </c>
      <c r="AP10" s="2">
        <f>IFERROR((SUMPRODUCT(Attributs!$R$2:$R$18,Attributs!$CD$2:$CD$18)+SUMPRODUCT(Attributs!$S$2:$S$18,Attributs!$CE$2:$CE$18))/((SQRT(SUMSQ(Attributs!$R$2:$R$18)+SUMSQ(Attributs!$S$2:$S$18)))*(SQRT(SUMSQ(Attributs!$CD$2:$CD$18)+SUMSQ(Attributs!$CE$2:$CE$18)))),0)</f>
        <v/>
      </c>
      <c r="AQ10" s="2">
        <f>IFERROR((SUMPRODUCT(Attributs!$R$2:$R$18,Attributs!$CF$2:$CF$18)+SUMPRODUCT(Attributs!$S$2:$S$18,Attributs!$CG$2:$CG$18))/((SQRT(SUMSQ(Attributs!$R$2:$R$18)+SUMSQ(Attributs!$S$2:$S$18)))*(SQRT(SUMSQ(Attributs!$CF$2:$CF$18)+SUMSQ(Attributs!$CG$2:$CG$18)))),0)</f>
        <v/>
      </c>
      <c r="AR10" s="2">
        <f>IFERROR((SUMPRODUCT(Attributs!$R$2:$R$18,Attributs!$CH$2:$CH$18)+SUMPRODUCT(Attributs!$S$2:$S$18,Attributs!$CI$2:$CI$18))/((SQRT(SUMSQ(Attributs!$R$2:$R$18)+SUMSQ(Attributs!$S$2:$S$18)))*(SQRT(SUMSQ(Attributs!$CH$2:$CH$18)+SUMSQ(Attributs!$CI$2:$CI$18)))),0)</f>
        <v/>
      </c>
      <c r="AS10" s="2">
        <f>IFERROR((SUMPRODUCT(Attributs!$R$2:$R$18,Attributs!$CJ$2:$CJ$18)+SUMPRODUCT(Attributs!$S$2:$S$18,Attributs!$CK$2:$CK$18))/((SQRT(SUMSQ(Attributs!$R$2:$R$18)+SUMSQ(Attributs!$S$2:$S$18)))*(SQRT(SUMSQ(Attributs!$CJ$2:$CJ$18)+SUMSQ(Attributs!$CK$2:$CK$18)))),0)</f>
        <v/>
      </c>
      <c r="AT10" s="2">
        <f>IFERROR((SUMPRODUCT(Attributs!$R$2:$R$18,Attributs!$CL$2:$CL$18)+SUMPRODUCT(Attributs!$S$2:$S$18,Attributs!$CM$2:$CM$18))/((SQRT(SUMSQ(Attributs!$R$2:$R$18)+SUMSQ(Attributs!$S$2:$S$18)))*(SQRT(SUMSQ(Attributs!$CL$2:$CL$18)+SUMSQ(Attributs!$CM$2:$CM$18)))),0)</f>
        <v/>
      </c>
      <c r="AU10" s="2">
        <f>IFERROR((SUMPRODUCT(Attributs!$R$2:$R$18,Attributs!$CN$2:$CN$18)+SUMPRODUCT(Attributs!$S$2:$S$18,Attributs!$CO$2:$CO$18))/((SQRT(SUMSQ(Attributs!$R$2:$R$18)+SUMSQ(Attributs!$S$2:$S$18)))*(SQRT(SUMSQ(Attributs!$CN$2:$CN$18)+SUMSQ(Attributs!$CO$2:$CO$18)))),0)</f>
        <v/>
      </c>
      <c r="AV10" s="2">
        <f>IFERROR((SUMPRODUCT(Attributs!$R$2:$R$18,Attributs!$CP$2:$CP$18)+SUMPRODUCT(Attributs!$S$2:$S$18,Attributs!$CQ$2:$CQ$18))/((SQRT(SUMSQ(Attributs!$R$2:$R$18)+SUMSQ(Attributs!$S$2:$S$18)))*(SQRT(SUMSQ(Attributs!$CP$2:$CP$18)+SUMSQ(Attributs!$CQ$2:$CQ$18)))),0)</f>
        <v/>
      </c>
      <c r="AW10" s="2">
        <f>IFERROR((SUMPRODUCT(Attributs!$R$2:$R$18,Attributs!$CR$2:$CR$18)+SUMPRODUCT(Attributs!$S$2:$S$18,Attributs!$CS$2:$CS$18))/((SQRT(SUMSQ(Attributs!$R$2:$R$18)+SUMSQ(Attributs!$S$2:$S$18)))*(SQRT(SUMSQ(Attributs!$CR$2:$CR$18)+SUMSQ(Attributs!$CS$2:$CS$18)))),0)</f>
        <v/>
      </c>
      <c r="AX10" s="2">
        <f>IFERROR((SUMPRODUCT(Attributs!$R$2:$R$18,Attributs!$CT$2:$CT$18)+SUMPRODUCT(Attributs!$S$2:$S$18,Attributs!$CU$2:$CU$18))/((SQRT(SUMSQ(Attributs!$R$2:$R$18)+SUMSQ(Attributs!$S$2:$S$18)))*(SQRT(SUMSQ(Attributs!$CT$2:$CT$18)+SUMSQ(Attributs!$CU$2:$CU$18)))),0)</f>
        <v/>
      </c>
      <c r="AY10" s="2">
        <f>IFERROR((SUMPRODUCT(Attributs!$R$2:$R$18,Attributs!$CV$2:$CV$18)+SUMPRODUCT(Attributs!$S$2:$S$18,Attributs!$CW$2:$CW$18))/((SQRT(SUMSQ(Attributs!$R$2:$R$18)+SUMSQ(Attributs!$S$2:$S$18)))*(SQRT(SUMSQ(Attributs!$CV$2:$CV$18)+SUMSQ(Attributs!$CW$2:$CW$18)))),0)</f>
        <v/>
      </c>
      <c r="AZ10" s="2">
        <f>IFERROR((SUMPRODUCT(Attributs!$R$2:$R$18,Attributs!$CX$2:$CX$18)+SUMPRODUCT(Attributs!$S$2:$S$18,Attributs!$CY$2:$CY$18))/((SQRT(SUMSQ(Attributs!$R$2:$R$18)+SUMSQ(Attributs!$S$2:$S$18)))*(SQRT(SUMSQ(Attributs!$CX$2:$CX$18)+SUMSQ(Attributs!$CY$2:$CY$18)))),0)</f>
        <v/>
      </c>
      <c r="BA10" s="2">
        <f>IFERROR((SUMPRODUCT(Attributs!$R$2:$R$18,Attributs!$CZ$2:$CZ$18)+SUMPRODUCT(Attributs!$S$2:$S$18,Attributs!$DA$2:$DA$18))/((SQRT(SUMSQ(Attributs!$R$2:$R$18)+SUMSQ(Attributs!$S$2:$S$18)))*(SQRT(SUMSQ(Attributs!$CZ$2:$CZ$18)+SUMSQ(Attributs!$DA$2:$DA$18)))),0)</f>
        <v/>
      </c>
      <c r="BB10" s="2">
        <f>IFERROR((SUMPRODUCT(Attributs!$R$2:$R$18,Attributs!$DB$2:$DB$18)+SUMPRODUCT(Attributs!$S$2:$S$18,Attributs!$DC$2:$DC$18))/((SQRT(SUMSQ(Attributs!$R$2:$R$18)+SUMSQ(Attributs!$S$2:$S$18)))*(SQRT(SUMSQ(Attributs!$DB$2:$DB$18)+SUMSQ(Attributs!$DC$2:$DC$18)))),0)</f>
        <v/>
      </c>
      <c r="BC10" s="2">
        <f>IFERROR((SUMPRODUCT(Attributs!$R$2:$R$18,Attributs!$DD$2:$DD$18)+SUMPRODUCT(Attributs!$S$2:$S$18,Attributs!$DE$2:$DE$18))/((SQRT(SUMSQ(Attributs!$R$2:$R$18)+SUMSQ(Attributs!$S$2:$S$18)))*(SQRT(SUMSQ(Attributs!$DD$2:$DD$18)+SUMSQ(Attributs!$DE$2:$DE$18)))),0)</f>
        <v/>
      </c>
      <c r="BD10" s="2">
        <f>IFERROR((SUMPRODUCT(Attributs!$R$2:$R$18,Attributs!$DF$2:$DF$18)+SUMPRODUCT(Attributs!$S$2:$S$18,Attributs!$DG$2:$DG$18))/((SQRT(SUMSQ(Attributs!$R$2:$R$18)+SUMSQ(Attributs!$S$2:$S$18)))*(SQRT(SUMSQ(Attributs!$DF$2:$DF$18)+SUMSQ(Attributs!$DG$2:$DG$18)))),0)</f>
        <v/>
      </c>
      <c r="BE10" s="2">
        <f>IFERROR((SUMPRODUCT(Attributs!$R$2:$R$18,Attributs!$DH$2:$DH$18)+SUMPRODUCT(Attributs!$S$2:$S$18,Attributs!$DI$2:$DI$18))/((SQRT(SUMSQ(Attributs!$R$2:$R$18)+SUMSQ(Attributs!$S$2:$S$18)))*(SQRT(SUMSQ(Attributs!$DH$2:$DH$18)+SUMSQ(Attributs!$DI$2:$DI$18)))),0)</f>
        <v/>
      </c>
      <c r="BF10" s="2">
        <f>IFERROR((SUMPRODUCT(Attributs!$R$2:$R$18,Attributs!$DJ$2:$DJ$18)+SUMPRODUCT(Attributs!$S$2:$S$18,Attributs!$DK$2:$DK$18))/((SQRT(SUMSQ(Attributs!$R$2:$R$18)+SUMSQ(Attributs!$S$2:$S$18)))*(SQRT(SUMSQ(Attributs!$DJ$2:$DJ$18)+SUMSQ(Attributs!$DK$2:$DK$18)))),0)</f>
        <v/>
      </c>
      <c r="BG10" s="2">
        <f>IFERROR((SUMPRODUCT(Attributs!$R$2:$R$18,Attributs!$DL$2:$DL$18)+SUMPRODUCT(Attributs!$S$2:$S$18,Attributs!$DM$2:$DM$18))/((SQRT(SUMSQ(Attributs!$R$2:$R$18)+SUMSQ(Attributs!$S$2:$S$18)))*(SQRT(SUMSQ(Attributs!$DL$2:$DL$18)+SUMSQ(Attributs!$DM$2:$DM$18)))),0)</f>
        <v/>
      </c>
      <c r="BH10" s="2">
        <f>IFERROR((SUMPRODUCT(Attributs!$R$2:$R$18,Attributs!$DN$2:$DN$18)+SUMPRODUCT(Attributs!$S$2:$S$18,Attributs!$DO$2:$DO$18))/((SQRT(SUMSQ(Attributs!$R$2:$R$18)+SUMSQ(Attributs!$S$2:$S$18)))*(SQRT(SUMSQ(Attributs!$DN$2:$DN$18)+SUMSQ(Attributs!$DO$2:$DO$18)))),0)</f>
        <v/>
      </c>
      <c r="BI10" s="2">
        <f>IFERROR((SUMPRODUCT(Attributs!$R$2:$R$18,Attributs!$DP$2:$DP$18)+SUMPRODUCT(Attributs!$S$2:$S$18,Attributs!$DQ$2:$DQ$18))/((SQRT(SUMSQ(Attributs!$R$2:$R$18)+SUMSQ(Attributs!$S$2:$S$18)))*(SQRT(SUMSQ(Attributs!$DP$2:$DP$18)+SUMSQ(Attributs!$DQ$2:$DQ$18)))),0)</f>
        <v/>
      </c>
      <c r="BJ10" s="2">
        <f>IFERROR((SUMPRODUCT(Attributs!$R$2:$R$18,Attributs!$DR$2:$DR$18)+SUMPRODUCT(Attributs!$S$2:$S$18,Attributs!$DS$2:$DS$18))/((SQRT(SUMSQ(Attributs!$R$2:$R$18)+SUMSQ(Attributs!$S$2:$S$18)))*(SQRT(SUMSQ(Attributs!$DR$2:$DR$18)+SUMSQ(Attributs!$DS$2:$DS$18)))),0)</f>
        <v/>
      </c>
      <c r="BK10" s="2">
        <f>IFERROR((SUMPRODUCT(Attributs!$R$2:$R$18,Attributs!$DT$2:$DT$18)+SUMPRODUCT(Attributs!$S$2:$S$18,Attributs!$DU$2:$DU$18))/((SQRT(SUMSQ(Attributs!$R$2:$R$18)+SUMSQ(Attributs!$S$2:$S$18)))*(SQRT(SUMSQ(Attributs!$DT$2:$DT$18)+SUMSQ(Attributs!$DU$2:$DU$18)))),0)</f>
        <v/>
      </c>
      <c r="BL10" s="2">
        <f>IFERROR((SUMPRODUCT(Attributs!$R$2:$R$18,Attributs!$DV$2:$DV$18)+SUMPRODUCT(Attributs!$S$2:$S$18,Attributs!$DW$2:$DW$18))/((SQRT(SUMSQ(Attributs!$R$2:$R$18)+SUMSQ(Attributs!$S$2:$S$18)))*(SQRT(SUMSQ(Attributs!$DV$2:$DV$18)+SUMSQ(Attributs!$DW$2:$DW$18)))),0)</f>
        <v/>
      </c>
    </row>
    <row r="11">
      <c r="A11" s="3" t="inlineStr">
        <is>
          <t>SE_mysql.Posttypes.Name</t>
        </is>
      </c>
      <c r="B11" s="2">
        <f>IFERROR((SUMPRODUCT(Attributs!$T$2:$T$18,Attributs!$B$2:$B$18)+SUMPRODUCT(Attributs!$U$2:$U$18,Attributs!$C$2:$C$18))/((SQRT(SUMSQ(Attributs!$T$2:$T$18)+SUMSQ(Attributs!$U$2:$U$18)))*(SQRT(SUMSQ(Attributs!$B$2:$B$18)+SUMSQ(Attributs!$C$2:$C$18)))),0)</f>
        <v/>
      </c>
      <c r="C11" s="2">
        <f>IFERROR((SUMPRODUCT(Attributs!$T$2:$T$18,Attributs!$D$2:$D$18)+SUMPRODUCT(Attributs!$U$2:$U$18,Attributs!$E$2:$E$18))/((SQRT(SUMSQ(Attributs!$T$2:$T$18)+SUMSQ(Attributs!$U$2:$U$18)))*(SQRT(SUMSQ(Attributs!$D$2:$D$18)+SUMSQ(Attributs!$E$2:$E$18)))),0)</f>
        <v/>
      </c>
      <c r="D11" s="2">
        <f>IFERROR((SUMPRODUCT(Attributs!$T$2:$T$18,Attributs!$F$2:$F$18)+SUMPRODUCT(Attributs!$U$2:$U$18,Attributs!$G$2:$G$18))/((SQRT(SUMSQ(Attributs!$T$2:$T$18)+SUMSQ(Attributs!$U$2:$U$18)))*(SQRT(SUMSQ(Attributs!$F$2:$F$18)+SUMSQ(Attributs!$G$2:$G$18)))),0)</f>
        <v/>
      </c>
      <c r="E11" s="2">
        <f>IFERROR((SUMPRODUCT(Attributs!$T$2:$T$18,Attributs!$H$2:$H$18)+SUMPRODUCT(Attributs!$U$2:$U$18,Attributs!$I$2:$I$18))/((SQRT(SUMSQ(Attributs!$T$2:$T$18)+SUMSQ(Attributs!$U$2:$U$18)))*(SQRT(SUMSQ(Attributs!$H$2:$H$18)+SUMSQ(Attributs!$I$2:$I$18)))),0)</f>
        <v/>
      </c>
      <c r="F11" s="2">
        <f>IFERROR((SUMPRODUCT(Attributs!$T$2:$T$18,Attributs!$J$2:$J$18)+SUMPRODUCT(Attributs!$U$2:$U$18,Attributs!$K$2:$K$18))/((SQRT(SUMSQ(Attributs!$T$2:$T$18)+SUMSQ(Attributs!$U$2:$U$18)))*(SQRT(SUMSQ(Attributs!$J$2:$J$18)+SUMSQ(Attributs!$K$2:$K$18)))),0)</f>
        <v/>
      </c>
      <c r="G11" s="2">
        <f>IFERROR((SUMPRODUCT(Attributs!$T$2:$T$18,Attributs!$L$2:$L$18)+SUMPRODUCT(Attributs!$U$2:$U$18,Attributs!$M$2:$M$18))/((SQRT(SUMSQ(Attributs!$T$2:$T$18)+SUMSQ(Attributs!$U$2:$U$18)))*(SQRT(SUMSQ(Attributs!$L$2:$L$18)+SUMSQ(Attributs!$M$2:$M$18)))),0)</f>
        <v/>
      </c>
      <c r="H11" s="2">
        <f>IFERROR((SUMPRODUCT(Attributs!$T$2:$T$18,Attributs!$N$2:$N$18)+SUMPRODUCT(Attributs!$U$2:$U$18,Attributs!$O$2:$O$18))/((SQRT(SUMSQ(Attributs!$T$2:$T$18)+SUMSQ(Attributs!$U$2:$U$18)))*(SQRT(SUMSQ(Attributs!$N$2:$N$18)+SUMSQ(Attributs!$O$2:$O$18)))),0)</f>
        <v/>
      </c>
      <c r="I11" s="2">
        <f>IFERROR((SUMPRODUCT(Attributs!$T$2:$T$18,Attributs!$P$2:$P$18)+SUMPRODUCT(Attributs!$U$2:$U$18,Attributs!$Q$2:$Q$18))/((SQRT(SUMSQ(Attributs!$T$2:$T$18)+SUMSQ(Attributs!$U$2:$U$18)))*(SQRT(SUMSQ(Attributs!$P$2:$P$18)+SUMSQ(Attributs!$Q$2:$Q$18)))),0)</f>
        <v/>
      </c>
      <c r="J11" s="2">
        <f>IFERROR((SUMPRODUCT(Attributs!$T$2:$T$18,Attributs!$R$2:$R$18)+SUMPRODUCT(Attributs!$U$2:$U$18,Attributs!$S$2:$S$18))/((SQRT(SUMSQ(Attributs!$T$2:$T$18)+SUMSQ(Attributs!$U$2:$U$18)))*(SQRT(SUMSQ(Attributs!$R$2:$R$18)+SUMSQ(Attributs!$S$2:$S$18)))),0)</f>
        <v/>
      </c>
      <c r="K11" s="2">
        <f>IFERROR((SUMPRODUCT(Attributs!$T$2:$T$18,Attributs!$T$2:$T$18)+SUMPRODUCT(Attributs!$U$2:$U$18,Attributs!$U$2:$U$18))/((SQRT(SUMSQ(Attributs!$T$2:$T$18)+SUMSQ(Attributs!$U$2:$U$18)))*(SQRT(SUMSQ(Attributs!$T$2:$T$18)+SUMSQ(Attributs!$U$2:$U$18)))),0)</f>
        <v/>
      </c>
      <c r="L11" s="2">
        <f>IFERROR((SUMPRODUCT(Attributs!$T$2:$T$18,Attributs!$V$2:$V$18)+SUMPRODUCT(Attributs!$U$2:$U$18,Attributs!$W$2:$W$18))/((SQRT(SUMSQ(Attributs!$T$2:$T$18)+SUMSQ(Attributs!$U$2:$U$18)))*(SQRT(SUMSQ(Attributs!$V$2:$V$18)+SUMSQ(Attributs!$W$2:$W$18)))),0)</f>
        <v/>
      </c>
      <c r="M11" s="2">
        <f>IFERROR((SUMPRODUCT(Attributs!$T$2:$T$18,Attributs!$X$2:$X$18)+SUMPRODUCT(Attributs!$U$2:$U$18,Attributs!$Y$2:$Y$18))/((SQRT(SUMSQ(Attributs!$T$2:$T$18)+SUMSQ(Attributs!$U$2:$U$18)))*(SQRT(SUMSQ(Attributs!$X$2:$X$18)+SUMSQ(Attributs!$Y$2:$Y$18)))),0)</f>
        <v/>
      </c>
      <c r="N11" s="2">
        <f>IFERROR((SUMPRODUCT(Attributs!$T$2:$T$18,Attributs!$Z$2:$Z$18)+SUMPRODUCT(Attributs!$U$2:$U$18,Attributs!$AA$2:$AA$18))/((SQRT(SUMSQ(Attributs!$T$2:$T$18)+SUMSQ(Attributs!$U$2:$U$18)))*(SQRT(SUMSQ(Attributs!$Z$2:$Z$18)+SUMSQ(Attributs!$AA$2:$AA$18)))),0)</f>
        <v/>
      </c>
      <c r="O11" s="2">
        <f>IFERROR((SUMPRODUCT(Attributs!$T$2:$T$18,Attributs!$AB$2:$AB$18)+SUMPRODUCT(Attributs!$U$2:$U$18,Attributs!$AC$2:$AC$18))/((SQRT(SUMSQ(Attributs!$T$2:$T$18)+SUMSQ(Attributs!$U$2:$U$18)))*(SQRT(SUMSQ(Attributs!$AB$2:$AB$18)+SUMSQ(Attributs!$AC$2:$AC$18)))),0)</f>
        <v/>
      </c>
      <c r="P11" s="2">
        <f>IFERROR((SUMPRODUCT(Attributs!$T$2:$T$18,Attributs!$AD$2:$AD$18)+SUMPRODUCT(Attributs!$U$2:$U$18,Attributs!$AE$2:$AE$18))/((SQRT(SUMSQ(Attributs!$T$2:$T$18)+SUMSQ(Attributs!$U$2:$U$18)))*(SQRT(SUMSQ(Attributs!$AD$2:$AD$18)+SUMSQ(Attributs!$AE$2:$AE$18)))),0)</f>
        <v/>
      </c>
      <c r="Q11" s="2">
        <f>IFERROR((SUMPRODUCT(Attributs!$T$2:$T$18,Attributs!$AF$2:$AF$18)+SUMPRODUCT(Attributs!$U$2:$U$18,Attributs!$AG$2:$AG$18))/((SQRT(SUMSQ(Attributs!$T$2:$T$18)+SUMSQ(Attributs!$U$2:$U$18)))*(SQRT(SUMSQ(Attributs!$AF$2:$AF$18)+SUMSQ(Attributs!$AG$2:$AG$18)))),0)</f>
        <v/>
      </c>
      <c r="R11" s="2">
        <f>IFERROR((SUMPRODUCT(Attributs!$T$2:$T$18,Attributs!$AH$2:$AH$18)+SUMPRODUCT(Attributs!$U$2:$U$18,Attributs!$AI$2:$AI$18))/((SQRT(SUMSQ(Attributs!$T$2:$T$18)+SUMSQ(Attributs!$U$2:$U$18)))*(SQRT(SUMSQ(Attributs!$AH$2:$AH$18)+SUMSQ(Attributs!$AI$2:$AI$18)))),0)</f>
        <v/>
      </c>
      <c r="S11" s="2">
        <f>IFERROR((SUMPRODUCT(Attributs!$T$2:$T$18,Attributs!$AJ$2:$AJ$18)+SUMPRODUCT(Attributs!$U$2:$U$18,Attributs!$AK$2:$AK$18))/((SQRT(SUMSQ(Attributs!$T$2:$T$18)+SUMSQ(Attributs!$U$2:$U$18)))*(SQRT(SUMSQ(Attributs!$AJ$2:$AJ$18)+SUMSQ(Attributs!$AK$2:$AK$18)))),0)</f>
        <v/>
      </c>
      <c r="T11" s="2">
        <f>IFERROR((SUMPRODUCT(Attributs!$T$2:$T$18,Attributs!$AL$2:$AL$18)+SUMPRODUCT(Attributs!$U$2:$U$18,Attributs!$AM$2:$AM$18))/((SQRT(SUMSQ(Attributs!$T$2:$T$18)+SUMSQ(Attributs!$U$2:$U$18)))*(SQRT(SUMSQ(Attributs!$AL$2:$AL$18)+SUMSQ(Attributs!$AM$2:$AM$18)))),0)</f>
        <v/>
      </c>
      <c r="U11" s="2">
        <f>IFERROR((SUMPRODUCT(Attributs!$T$2:$T$18,Attributs!$AN$2:$AN$18)+SUMPRODUCT(Attributs!$U$2:$U$18,Attributs!$AO$2:$AO$18))/((SQRT(SUMSQ(Attributs!$T$2:$T$18)+SUMSQ(Attributs!$U$2:$U$18)))*(SQRT(SUMSQ(Attributs!$AN$2:$AN$18)+SUMSQ(Attributs!$AO$2:$AO$18)))),0)</f>
        <v/>
      </c>
      <c r="V11" s="2">
        <f>IFERROR((SUMPRODUCT(Attributs!$T$2:$T$18,Attributs!$AP$2:$AP$18)+SUMPRODUCT(Attributs!$U$2:$U$18,Attributs!$AQ$2:$AQ$18))/((SQRT(SUMSQ(Attributs!$T$2:$T$18)+SUMSQ(Attributs!$U$2:$U$18)))*(SQRT(SUMSQ(Attributs!$AP$2:$AP$18)+SUMSQ(Attributs!$AQ$2:$AQ$18)))),0)</f>
        <v/>
      </c>
      <c r="W11" s="2">
        <f>IFERROR((SUMPRODUCT(Attributs!$T$2:$T$18,Attributs!$AR$2:$AR$18)+SUMPRODUCT(Attributs!$U$2:$U$18,Attributs!$AS$2:$AS$18))/((SQRT(SUMSQ(Attributs!$T$2:$T$18)+SUMSQ(Attributs!$U$2:$U$18)))*(SQRT(SUMSQ(Attributs!$AR$2:$AR$18)+SUMSQ(Attributs!$AS$2:$AS$18)))),0)</f>
        <v/>
      </c>
      <c r="X11" s="2">
        <f>IFERROR((SUMPRODUCT(Attributs!$T$2:$T$18,Attributs!$AT$2:$AT$18)+SUMPRODUCT(Attributs!$U$2:$U$18,Attributs!$AU$2:$AU$18))/((SQRT(SUMSQ(Attributs!$T$2:$T$18)+SUMSQ(Attributs!$U$2:$U$18)))*(SQRT(SUMSQ(Attributs!$AT$2:$AT$18)+SUMSQ(Attributs!$AU$2:$AU$18)))),0)</f>
        <v/>
      </c>
      <c r="Y11" s="2">
        <f>IFERROR((SUMPRODUCT(Attributs!$T$2:$T$18,Attributs!$AV$2:$AV$18)+SUMPRODUCT(Attributs!$U$2:$U$18,Attributs!$AW$2:$AW$18))/((SQRT(SUMSQ(Attributs!$T$2:$T$18)+SUMSQ(Attributs!$U$2:$U$18)))*(SQRT(SUMSQ(Attributs!$AV$2:$AV$18)+SUMSQ(Attributs!$AW$2:$AW$18)))),0)</f>
        <v/>
      </c>
      <c r="Z11" s="2">
        <f>IFERROR((SUMPRODUCT(Attributs!$T$2:$T$18,Attributs!$AX$2:$AX$18)+SUMPRODUCT(Attributs!$U$2:$U$18,Attributs!$AY$2:$AY$18))/((SQRT(SUMSQ(Attributs!$T$2:$T$18)+SUMSQ(Attributs!$U$2:$U$18)))*(SQRT(SUMSQ(Attributs!$AX$2:$AX$18)+SUMSQ(Attributs!$AY$2:$AY$18)))),0)</f>
        <v/>
      </c>
      <c r="AA11" s="2">
        <f>IFERROR((SUMPRODUCT(Attributs!$T$2:$T$18,Attributs!$AZ$2:$AZ$18)+SUMPRODUCT(Attributs!$U$2:$U$18,Attributs!$BA$2:$BA$18))/((SQRT(SUMSQ(Attributs!$T$2:$T$18)+SUMSQ(Attributs!$U$2:$U$18)))*(SQRT(SUMSQ(Attributs!$AZ$2:$AZ$18)+SUMSQ(Attributs!$BA$2:$BA$18)))),0)</f>
        <v/>
      </c>
      <c r="AB11" s="2">
        <f>IFERROR((SUMPRODUCT(Attributs!$T$2:$T$18,Attributs!$BB$2:$BB$18)+SUMPRODUCT(Attributs!$U$2:$U$18,Attributs!$BC$2:$BC$18))/((SQRT(SUMSQ(Attributs!$T$2:$T$18)+SUMSQ(Attributs!$U$2:$U$18)))*(SQRT(SUMSQ(Attributs!$BB$2:$BB$18)+SUMSQ(Attributs!$BC$2:$BC$18)))),0)</f>
        <v/>
      </c>
      <c r="AC11" s="2">
        <f>IFERROR((SUMPRODUCT(Attributs!$T$2:$T$18,Attributs!$BD$2:$BD$18)+SUMPRODUCT(Attributs!$U$2:$U$18,Attributs!$BE$2:$BE$18))/((SQRT(SUMSQ(Attributs!$T$2:$T$18)+SUMSQ(Attributs!$U$2:$U$18)))*(SQRT(SUMSQ(Attributs!$BD$2:$BD$18)+SUMSQ(Attributs!$BE$2:$BE$18)))),0)</f>
        <v/>
      </c>
      <c r="AD11" s="2">
        <f>IFERROR((SUMPRODUCT(Attributs!$T$2:$T$18,Attributs!$BF$2:$BF$18)+SUMPRODUCT(Attributs!$U$2:$U$18,Attributs!$BG$2:$BG$18))/((SQRT(SUMSQ(Attributs!$T$2:$T$18)+SUMSQ(Attributs!$U$2:$U$18)))*(SQRT(SUMSQ(Attributs!$BF$2:$BF$18)+SUMSQ(Attributs!$BG$2:$BG$18)))),0)</f>
        <v/>
      </c>
      <c r="AE11" s="2">
        <f>IFERROR((SUMPRODUCT(Attributs!$T$2:$T$18,Attributs!$BH$2:$BH$18)+SUMPRODUCT(Attributs!$U$2:$U$18,Attributs!$BI$2:$BI$18))/((SQRT(SUMSQ(Attributs!$T$2:$T$18)+SUMSQ(Attributs!$U$2:$U$18)))*(SQRT(SUMSQ(Attributs!$BH$2:$BH$18)+SUMSQ(Attributs!$BI$2:$BI$18)))),0)</f>
        <v/>
      </c>
      <c r="AF11" s="2">
        <f>IFERROR((SUMPRODUCT(Attributs!$T$2:$T$18,Attributs!$BJ$2:$BJ$18)+SUMPRODUCT(Attributs!$U$2:$U$18,Attributs!$BK$2:$BK$18))/((SQRT(SUMSQ(Attributs!$T$2:$T$18)+SUMSQ(Attributs!$U$2:$U$18)))*(SQRT(SUMSQ(Attributs!$BJ$2:$BJ$18)+SUMSQ(Attributs!$BK$2:$BK$18)))),0)</f>
        <v/>
      </c>
      <c r="AG11" s="2">
        <f>IFERROR((SUMPRODUCT(Attributs!$T$2:$T$18,Attributs!$BL$2:$BL$18)+SUMPRODUCT(Attributs!$U$2:$U$18,Attributs!$BM$2:$BM$18))/((SQRT(SUMSQ(Attributs!$T$2:$T$18)+SUMSQ(Attributs!$U$2:$U$18)))*(SQRT(SUMSQ(Attributs!$BL$2:$BL$18)+SUMSQ(Attributs!$BM$2:$BM$18)))),0)</f>
        <v/>
      </c>
      <c r="AH11" s="2">
        <f>IFERROR((SUMPRODUCT(Attributs!$T$2:$T$18,Attributs!$BN$2:$BN$18)+SUMPRODUCT(Attributs!$U$2:$U$18,Attributs!$BO$2:$BO$18))/((SQRT(SUMSQ(Attributs!$T$2:$T$18)+SUMSQ(Attributs!$U$2:$U$18)))*(SQRT(SUMSQ(Attributs!$BN$2:$BN$18)+SUMSQ(Attributs!$BO$2:$BO$18)))),0)</f>
        <v/>
      </c>
      <c r="AI11" s="2">
        <f>IFERROR((SUMPRODUCT(Attributs!$T$2:$T$18,Attributs!$BP$2:$BP$18)+SUMPRODUCT(Attributs!$U$2:$U$18,Attributs!$BQ$2:$BQ$18))/((SQRT(SUMSQ(Attributs!$T$2:$T$18)+SUMSQ(Attributs!$U$2:$U$18)))*(SQRT(SUMSQ(Attributs!$BP$2:$BP$18)+SUMSQ(Attributs!$BQ$2:$BQ$18)))),0)</f>
        <v/>
      </c>
      <c r="AJ11" s="2">
        <f>IFERROR((SUMPRODUCT(Attributs!$T$2:$T$18,Attributs!$BR$2:$BR$18)+SUMPRODUCT(Attributs!$U$2:$U$18,Attributs!$BS$2:$BS$18))/((SQRT(SUMSQ(Attributs!$T$2:$T$18)+SUMSQ(Attributs!$U$2:$U$18)))*(SQRT(SUMSQ(Attributs!$BR$2:$BR$18)+SUMSQ(Attributs!$BS$2:$BS$18)))),0)</f>
        <v/>
      </c>
      <c r="AK11" s="2">
        <f>IFERROR((SUMPRODUCT(Attributs!$T$2:$T$18,Attributs!$BT$2:$BT$18)+SUMPRODUCT(Attributs!$U$2:$U$18,Attributs!$BU$2:$BU$18))/((SQRT(SUMSQ(Attributs!$T$2:$T$18)+SUMSQ(Attributs!$U$2:$U$18)))*(SQRT(SUMSQ(Attributs!$BT$2:$BT$18)+SUMSQ(Attributs!$BU$2:$BU$18)))),0)</f>
        <v/>
      </c>
      <c r="AL11" s="2">
        <f>IFERROR((SUMPRODUCT(Attributs!$T$2:$T$18,Attributs!$BV$2:$BV$18)+SUMPRODUCT(Attributs!$U$2:$U$18,Attributs!$BW$2:$BW$18))/((SQRT(SUMSQ(Attributs!$T$2:$T$18)+SUMSQ(Attributs!$U$2:$U$18)))*(SQRT(SUMSQ(Attributs!$BV$2:$BV$18)+SUMSQ(Attributs!$BW$2:$BW$18)))),0)</f>
        <v/>
      </c>
      <c r="AM11" s="2">
        <f>IFERROR((SUMPRODUCT(Attributs!$T$2:$T$18,Attributs!$BX$2:$BX$18)+SUMPRODUCT(Attributs!$U$2:$U$18,Attributs!$BY$2:$BY$18))/((SQRT(SUMSQ(Attributs!$T$2:$T$18)+SUMSQ(Attributs!$U$2:$U$18)))*(SQRT(SUMSQ(Attributs!$BX$2:$BX$18)+SUMSQ(Attributs!$BY$2:$BY$18)))),0)</f>
        <v/>
      </c>
      <c r="AN11" s="2">
        <f>IFERROR((SUMPRODUCT(Attributs!$T$2:$T$18,Attributs!$BZ$2:$BZ$18)+SUMPRODUCT(Attributs!$U$2:$U$18,Attributs!$CA$2:$CA$18))/((SQRT(SUMSQ(Attributs!$T$2:$T$18)+SUMSQ(Attributs!$U$2:$U$18)))*(SQRT(SUMSQ(Attributs!$BZ$2:$BZ$18)+SUMSQ(Attributs!$CA$2:$CA$18)))),0)</f>
        <v/>
      </c>
      <c r="AO11" s="2">
        <f>IFERROR((SUMPRODUCT(Attributs!$T$2:$T$18,Attributs!$CB$2:$CB$18)+SUMPRODUCT(Attributs!$U$2:$U$18,Attributs!$CC$2:$CC$18))/((SQRT(SUMSQ(Attributs!$T$2:$T$18)+SUMSQ(Attributs!$U$2:$U$18)))*(SQRT(SUMSQ(Attributs!$CB$2:$CB$18)+SUMSQ(Attributs!$CC$2:$CC$18)))),0)</f>
        <v/>
      </c>
      <c r="AP11" s="2">
        <f>IFERROR((SUMPRODUCT(Attributs!$T$2:$T$18,Attributs!$CD$2:$CD$18)+SUMPRODUCT(Attributs!$U$2:$U$18,Attributs!$CE$2:$CE$18))/((SQRT(SUMSQ(Attributs!$T$2:$T$18)+SUMSQ(Attributs!$U$2:$U$18)))*(SQRT(SUMSQ(Attributs!$CD$2:$CD$18)+SUMSQ(Attributs!$CE$2:$CE$18)))),0)</f>
        <v/>
      </c>
      <c r="AQ11" s="2">
        <f>IFERROR((SUMPRODUCT(Attributs!$T$2:$T$18,Attributs!$CF$2:$CF$18)+SUMPRODUCT(Attributs!$U$2:$U$18,Attributs!$CG$2:$CG$18))/((SQRT(SUMSQ(Attributs!$T$2:$T$18)+SUMSQ(Attributs!$U$2:$U$18)))*(SQRT(SUMSQ(Attributs!$CF$2:$CF$18)+SUMSQ(Attributs!$CG$2:$CG$18)))),0)</f>
        <v/>
      </c>
      <c r="AR11" s="2">
        <f>IFERROR((SUMPRODUCT(Attributs!$T$2:$T$18,Attributs!$CH$2:$CH$18)+SUMPRODUCT(Attributs!$U$2:$U$18,Attributs!$CI$2:$CI$18))/((SQRT(SUMSQ(Attributs!$T$2:$T$18)+SUMSQ(Attributs!$U$2:$U$18)))*(SQRT(SUMSQ(Attributs!$CH$2:$CH$18)+SUMSQ(Attributs!$CI$2:$CI$18)))),0)</f>
        <v/>
      </c>
      <c r="AS11" s="2">
        <f>IFERROR((SUMPRODUCT(Attributs!$T$2:$T$18,Attributs!$CJ$2:$CJ$18)+SUMPRODUCT(Attributs!$U$2:$U$18,Attributs!$CK$2:$CK$18))/((SQRT(SUMSQ(Attributs!$T$2:$T$18)+SUMSQ(Attributs!$U$2:$U$18)))*(SQRT(SUMSQ(Attributs!$CJ$2:$CJ$18)+SUMSQ(Attributs!$CK$2:$CK$18)))),0)</f>
        <v/>
      </c>
      <c r="AT11" s="2">
        <f>IFERROR((SUMPRODUCT(Attributs!$T$2:$T$18,Attributs!$CL$2:$CL$18)+SUMPRODUCT(Attributs!$U$2:$U$18,Attributs!$CM$2:$CM$18))/((SQRT(SUMSQ(Attributs!$T$2:$T$18)+SUMSQ(Attributs!$U$2:$U$18)))*(SQRT(SUMSQ(Attributs!$CL$2:$CL$18)+SUMSQ(Attributs!$CM$2:$CM$18)))),0)</f>
        <v/>
      </c>
      <c r="AU11" s="2">
        <f>IFERROR((SUMPRODUCT(Attributs!$T$2:$T$18,Attributs!$CN$2:$CN$18)+SUMPRODUCT(Attributs!$U$2:$U$18,Attributs!$CO$2:$CO$18))/((SQRT(SUMSQ(Attributs!$T$2:$T$18)+SUMSQ(Attributs!$U$2:$U$18)))*(SQRT(SUMSQ(Attributs!$CN$2:$CN$18)+SUMSQ(Attributs!$CO$2:$CO$18)))),0)</f>
        <v/>
      </c>
      <c r="AV11" s="2">
        <f>IFERROR((SUMPRODUCT(Attributs!$T$2:$T$18,Attributs!$CP$2:$CP$18)+SUMPRODUCT(Attributs!$U$2:$U$18,Attributs!$CQ$2:$CQ$18))/((SQRT(SUMSQ(Attributs!$T$2:$T$18)+SUMSQ(Attributs!$U$2:$U$18)))*(SQRT(SUMSQ(Attributs!$CP$2:$CP$18)+SUMSQ(Attributs!$CQ$2:$CQ$18)))),0)</f>
        <v/>
      </c>
      <c r="AW11" s="2">
        <f>IFERROR((SUMPRODUCT(Attributs!$T$2:$T$18,Attributs!$CR$2:$CR$18)+SUMPRODUCT(Attributs!$U$2:$U$18,Attributs!$CS$2:$CS$18))/((SQRT(SUMSQ(Attributs!$T$2:$T$18)+SUMSQ(Attributs!$U$2:$U$18)))*(SQRT(SUMSQ(Attributs!$CR$2:$CR$18)+SUMSQ(Attributs!$CS$2:$CS$18)))),0)</f>
        <v/>
      </c>
      <c r="AX11" s="2">
        <f>IFERROR((SUMPRODUCT(Attributs!$T$2:$T$18,Attributs!$CT$2:$CT$18)+SUMPRODUCT(Attributs!$U$2:$U$18,Attributs!$CU$2:$CU$18))/((SQRT(SUMSQ(Attributs!$T$2:$T$18)+SUMSQ(Attributs!$U$2:$U$18)))*(SQRT(SUMSQ(Attributs!$CT$2:$CT$18)+SUMSQ(Attributs!$CU$2:$CU$18)))),0)</f>
        <v/>
      </c>
      <c r="AY11" s="2">
        <f>IFERROR((SUMPRODUCT(Attributs!$T$2:$T$18,Attributs!$CV$2:$CV$18)+SUMPRODUCT(Attributs!$U$2:$U$18,Attributs!$CW$2:$CW$18))/((SQRT(SUMSQ(Attributs!$T$2:$T$18)+SUMSQ(Attributs!$U$2:$U$18)))*(SQRT(SUMSQ(Attributs!$CV$2:$CV$18)+SUMSQ(Attributs!$CW$2:$CW$18)))),0)</f>
        <v/>
      </c>
      <c r="AZ11" s="2">
        <f>IFERROR((SUMPRODUCT(Attributs!$T$2:$T$18,Attributs!$CX$2:$CX$18)+SUMPRODUCT(Attributs!$U$2:$U$18,Attributs!$CY$2:$CY$18))/((SQRT(SUMSQ(Attributs!$T$2:$T$18)+SUMSQ(Attributs!$U$2:$U$18)))*(SQRT(SUMSQ(Attributs!$CX$2:$CX$18)+SUMSQ(Attributs!$CY$2:$CY$18)))),0)</f>
        <v/>
      </c>
      <c r="BA11" s="2">
        <f>IFERROR((SUMPRODUCT(Attributs!$T$2:$T$18,Attributs!$CZ$2:$CZ$18)+SUMPRODUCT(Attributs!$U$2:$U$18,Attributs!$DA$2:$DA$18))/((SQRT(SUMSQ(Attributs!$T$2:$T$18)+SUMSQ(Attributs!$U$2:$U$18)))*(SQRT(SUMSQ(Attributs!$CZ$2:$CZ$18)+SUMSQ(Attributs!$DA$2:$DA$18)))),0)</f>
        <v/>
      </c>
      <c r="BB11" s="2">
        <f>IFERROR((SUMPRODUCT(Attributs!$T$2:$T$18,Attributs!$DB$2:$DB$18)+SUMPRODUCT(Attributs!$U$2:$U$18,Attributs!$DC$2:$DC$18))/((SQRT(SUMSQ(Attributs!$T$2:$T$18)+SUMSQ(Attributs!$U$2:$U$18)))*(SQRT(SUMSQ(Attributs!$DB$2:$DB$18)+SUMSQ(Attributs!$DC$2:$DC$18)))),0)</f>
        <v/>
      </c>
      <c r="BC11" s="2">
        <f>IFERROR((SUMPRODUCT(Attributs!$T$2:$T$18,Attributs!$DD$2:$DD$18)+SUMPRODUCT(Attributs!$U$2:$U$18,Attributs!$DE$2:$DE$18))/((SQRT(SUMSQ(Attributs!$T$2:$T$18)+SUMSQ(Attributs!$U$2:$U$18)))*(SQRT(SUMSQ(Attributs!$DD$2:$DD$18)+SUMSQ(Attributs!$DE$2:$DE$18)))),0)</f>
        <v/>
      </c>
      <c r="BD11" s="2">
        <f>IFERROR((SUMPRODUCT(Attributs!$T$2:$T$18,Attributs!$DF$2:$DF$18)+SUMPRODUCT(Attributs!$U$2:$U$18,Attributs!$DG$2:$DG$18))/((SQRT(SUMSQ(Attributs!$T$2:$T$18)+SUMSQ(Attributs!$U$2:$U$18)))*(SQRT(SUMSQ(Attributs!$DF$2:$DF$18)+SUMSQ(Attributs!$DG$2:$DG$18)))),0)</f>
        <v/>
      </c>
      <c r="BE11" s="2">
        <f>IFERROR((SUMPRODUCT(Attributs!$T$2:$T$18,Attributs!$DH$2:$DH$18)+SUMPRODUCT(Attributs!$U$2:$U$18,Attributs!$DI$2:$DI$18))/((SQRT(SUMSQ(Attributs!$T$2:$T$18)+SUMSQ(Attributs!$U$2:$U$18)))*(SQRT(SUMSQ(Attributs!$DH$2:$DH$18)+SUMSQ(Attributs!$DI$2:$DI$18)))),0)</f>
        <v/>
      </c>
      <c r="BF11" s="2">
        <f>IFERROR((SUMPRODUCT(Attributs!$T$2:$T$18,Attributs!$DJ$2:$DJ$18)+SUMPRODUCT(Attributs!$U$2:$U$18,Attributs!$DK$2:$DK$18))/((SQRT(SUMSQ(Attributs!$T$2:$T$18)+SUMSQ(Attributs!$U$2:$U$18)))*(SQRT(SUMSQ(Attributs!$DJ$2:$DJ$18)+SUMSQ(Attributs!$DK$2:$DK$18)))),0)</f>
        <v/>
      </c>
      <c r="BG11" s="2">
        <f>IFERROR((SUMPRODUCT(Attributs!$T$2:$T$18,Attributs!$DL$2:$DL$18)+SUMPRODUCT(Attributs!$U$2:$U$18,Attributs!$DM$2:$DM$18))/((SQRT(SUMSQ(Attributs!$T$2:$T$18)+SUMSQ(Attributs!$U$2:$U$18)))*(SQRT(SUMSQ(Attributs!$DL$2:$DL$18)+SUMSQ(Attributs!$DM$2:$DM$18)))),0)</f>
        <v/>
      </c>
      <c r="BH11" s="2">
        <f>IFERROR((SUMPRODUCT(Attributs!$T$2:$T$18,Attributs!$DN$2:$DN$18)+SUMPRODUCT(Attributs!$U$2:$U$18,Attributs!$DO$2:$DO$18))/((SQRT(SUMSQ(Attributs!$T$2:$T$18)+SUMSQ(Attributs!$U$2:$U$18)))*(SQRT(SUMSQ(Attributs!$DN$2:$DN$18)+SUMSQ(Attributs!$DO$2:$DO$18)))),0)</f>
        <v/>
      </c>
      <c r="BI11" s="2">
        <f>IFERROR((SUMPRODUCT(Attributs!$T$2:$T$18,Attributs!$DP$2:$DP$18)+SUMPRODUCT(Attributs!$U$2:$U$18,Attributs!$DQ$2:$DQ$18))/((SQRT(SUMSQ(Attributs!$T$2:$T$18)+SUMSQ(Attributs!$U$2:$U$18)))*(SQRT(SUMSQ(Attributs!$DP$2:$DP$18)+SUMSQ(Attributs!$DQ$2:$DQ$18)))),0)</f>
        <v/>
      </c>
      <c r="BJ11" s="2">
        <f>IFERROR((SUMPRODUCT(Attributs!$T$2:$T$18,Attributs!$DR$2:$DR$18)+SUMPRODUCT(Attributs!$U$2:$U$18,Attributs!$DS$2:$DS$18))/((SQRT(SUMSQ(Attributs!$T$2:$T$18)+SUMSQ(Attributs!$U$2:$U$18)))*(SQRT(SUMSQ(Attributs!$DR$2:$DR$18)+SUMSQ(Attributs!$DS$2:$DS$18)))),0)</f>
        <v/>
      </c>
      <c r="BK11" s="2">
        <f>IFERROR((SUMPRODUCT(Attributs!$T$2:$T$18,Attributs!$DT$2:$DT$18)+SUMPRODUCT(Attributs!$U$2:$U$18,Attributs!$DU$2:$DU$18))/((SQRT(SUMSQ(Attributs!$T$2:$T$18)+SUMSQ(Attributs!$U$2:$U$18)))*(SQRT(SUMSQ(Attributs!$DT$2:$DT$18)+SUMSQ(Attributs!$DU$2:$DU$18)))),0)</f>
        <v/>
      </c>
      <c r="BL11" s="2">
        <f>IFERROR((SUMPRODUCT(Attributs!$T$2:$T$18,Attributs!$DV$2:$DV$18)+SUMPRODUCT(Attributs!$U$2:$U$18,Attributs!$DW$2:$DW$18))/((SQRT(SUMSQ(Attributs!$T$2:$T$18)+SUMSQ(Attributs!$U$2:$U$18)))*(SQRT(SUMSQ(Attributs!$DV$2:$DV$18)+SUMSQ(Attributs!$DW$2:$DW$18)))),0)</f>
        <v/>
      </c>
    </row>
    <row r="12">
      <c r="A12" s="3" t="inlineStr">
        <is>
          <t>SE_mysql.Users.Id</t>
        </is>
      </c>
      <c r="B12" s="2">
        <f>IFERROR((SUMPRODUCT(Attributs!$V$2:$V$18,Attributs!$B$2:$B$18)+SUMPRODUCT(Attributs!$W$2:$W$18,Attributs!$C$2:$C$18))/((SQRT(SUMSQ(Attributs!$V$2:$V$18)+SUMSQ(Attributs!$W$2:$W$18)))*(SQRT(SUMSQ(Attributs!$B$2:$B$18)+SUMSQ(Attributs!$C$2:$C$18)))),0)</f>
        <v/>
      </c>
      <c r="C12" s="2">
        <f>IFERROR((SUMPRODUCT(Attributs!$V$2:$V$18,Attributs!$D$2:$D$18)+SUMPRODUCT(Attributs!$W$2:$W$18,Attributs!$E$2:$E$18))/((SQRT(SUMSQ(Attributs!$V$2:$V$18)+SUMSQ(Attributs!$W$2:$W$18)))*(SQRT(SUMSQ(Attributs!$D$2:$D$18)+SUMSQ(Attributs!$E$2:$E$18)))),0)</f>
        <v/>
      </c>
      <c r="D12" s="2">
        <f>IFERROR((SUMPRODUCT(Attributs!$V$2:$V$18,Attributs!$F$2:$F$18)+SUMPRODUCT(Attributs!$W$2:$W$18,Attributs!$G$2:$G$18))/((SQRT(SUMSQ(Attributs!$V$2:$V$18)+SUMSQ(Attributs!$W$2:$W$18)))*(SQRT(SUMSQ(Attributs!$F$2:$F$18)+SUMSQ(Attributs!$G$2:$G$18)))),0)</f>
        <v/>
      </c>
      <c r="E12" s="2">
        <f>IFERROR((SUMPRODUCT(Attributs!$V$2:$V$18,Attributs!$H$2:$H$18)+SUMPRODUCT(Attributs!$W$2:$W$18,Attributs!$I$2:$I$18))/((SQRT(SUMSQ(Attributs!$V$2:$V$18)+SUMSQ(Attributs!$W$2:$W$18)))*(SQRT(SUMSQ(Attributs!$H$2:$H$18)+SUMSQ(Attributs!$I$2:$I$18)))),0)</f>
        <v/>
      </c>
      <c r="F12" s="2">
        <f>IFERROR((SUMPRODUCT(Attributs!$V$2:$V$18,Attributs!$J$2:$J$18)+SUMPRODUCT(Attributs!$W$2:$W$18,Attributs!$K$2:$K$18))/((SQRT(SUMSQ(Attributs!$V$2:$V$18)+SUMSQ(Attributs!$W$2:$W$18)))*(SQRT(SUMSQ(Attributs!$J$2:$J$18)+SUMSQ(Attributs!$K$2:$K$18)))),0)</f>
        <v/>
      </c>
      <c r="G12" s="2">
        <f>IFERROR((SUMPRODUCT(Attributs!$V$2:$V$18,Attributs!$L$2:$L$18)+SUMPRODUCT(Attributs!$W$2:$W$18,Attributs!$M$2:$M$18))/((SQRT(SUMSQ(Attributs!$V$2:$V$18)+SUMSQ(Attributs!$W$2:$W$18)))*(SQRT(SUMSQ(Attributs!$L$2:$L$18)+SUMSQ(Attributs!$M$2:$M$18)))),0)</f>
        <v/>
      </c>
      <c r="H12" s="2">
        <f>IFERROR((SUMPRODUCT(Attributs!$V$2:$V$18,Attributs!$N$2:$N$18)+SUMPRODUCT(Attributs!$W$2:$W$18,Attributs!$O$2:$O$18))/((SQRT(SUMSQ(Attributs!$V$2:$V$18)+SUMSQ(Attributs!$W$2:$W$18)))*(SQRT(SUMSQ(Attributs!$N$2:$N$18)+SUMSQ(Attributs!$O$2:$O$18)))),0)</f>
        <v/>
      </c>
      <c r="I12" s="2">
        <f>IFERROR((SUMPRODUCT(Attributs!$V$2:$V$18,Attributs!$P$2:$P$18)+SUMPRODUCT(Attributs!$W$2:$W$18,Attributs!$Q$2:$Q$18))/((SQRT(SUMSQ(Attributs!$V$2:$V$18)+SUMSQ(Attributs!$W$2:$W$18)))*(SQRT(SUMSQ(Attributs!$P$2:$P$18)+SUMSQ(Attributs!$Q$2:$Q$18)))),0)</f>
        <v/>
      </c>
      <c r="J12" s="2">
        <f>IFERROR((SUMPRODUCT(Attributs!$V$2:$V$18,Attributs!$R$2:$R$18)+SUMPRODUCT(Attributs!$W$2:$W$18,Attributs!$S$2:$S$18))/((SQRT(SUMSQ(Attributs!$V$2:$V$18)+SUMSQ(Attributs!$W$2:$W$18)))*(SQRT(SUMSQ(Attributs!$R$2:$R$18)+SUMSQ(Attributs!$S$2:$S$18)))),0)</f>
        <v/>
      </c>
      <c r="K12" s="2">
        <f>IFERROR((SUMPRODUCT(Attributs!$V$2:$V$18,Attributs!$T$2:$T$18)+SUMPRODUCT(Attributs!$W$2:$W$18,Attributs!$U$2:$U$18))/((SQRT(SUMSQ(Attributs!$V$2:$V$18)+SUMSQ(Attributs!$W$2:$W$18)))*(SQRT(SUMSQ(Attributs!$T$2:$T$18)+SUMSQ(Attributs!$U$2:$U$18)))),0)</f>
        <v/>
      </c>
      <c r="L12" s="2">
        <f>IFERROR((SUMPRODUCT(Attributs!$V$2:$V$18,Attributs!$V$2:$V$18)+SUMPRODUCT(Attributs!$W$2:$W$18,Attributs!$W$2:$W$18))/((SQRT(SUMSQ(Attributs!$V$2:$V$18)+SUMSQ(Attributs!$W$2:$W$18)))*(SQRT(SUMSQ(Attributs!$V$2:$V$18)+SUMSQ(Attributs!$W$2:$W$18)))),0)</f>
        <v/>
      </c>
      <c r="M12" s="2">
        <f>IFERROR((SUMPRODUCT(Attributs!$V$2:$V$18,Attributs!$X$2:$X$18)+SUMPRODUCT(Attributs!$W$2:$W$18,Attributs!$Y$2:$Y$18))/((SQRT(SUMSQ(Attributs!$V$2:$V$18)+SUMSQ(Attributs!$W$2:$W$18)))*(SQRT(SUMSQ(Attributs!$X$2:$X$18)+SUMSQ(Attributs!$Y$2:$Y$18)))),0)</f>
        <v/>
      </c>
      <c r="N12" s="2">
        <f>IFERROR((SUMPRODUCT(Attributs!$V$2:$V$18,Attributs!$Z$2:$Z$18)+SUMPRODUCT(Attributs!$W$2:$W$18,Attributs!$AA$2:$AA$18))/((SQRT(SUMSQ(Attributs!$V$2:$V$18)+SUMSQ(Attributs!$W$2:$W$18)))*(SQRT(SUMSQ(Attributs!$Z$2:$Z$18)+SUMSQ(Attributs!$AA$2:$AA$18)))),0)</f>
        <v/>
      </c>
      <c r="O12" s="2">
        <f>IFERROR((SUMPRODUCT(Attributs!$V$2:$V$18,Attributs!$AB$2:$AB$18)+SUMPRODUCT(Attributs!$W$2:$W$18,Attributs!$AC$2:$AC$18))/((SQRT(SUMSQ(Attributs!$V$2:$V$18)+SUMSQ(Attributs!$W$2:$W$18)))*(SQRT(SUMSQ(Attributs!$AB$2:$AB$18)+SUMSQ(Attributs!$AC$2:$AC$18)))),0)</f>
        <v/>
      </c>
      <c r="P12" s="2">
        <f>IFERROR((SUMPRODUCT(Attributs!$V$2:$V$18,Attributs!$AD$2:$AD$18)+SUMPRODUCT(Attributs!$W$2:$W$18,Attributs!$AE$2:$AE$18))/((SQRT(SUMSQ(Attributs!$V$2:$V$18)+SUMSQ(Attributs!$W$2:$W$18)))*(SQRT(SUMSQ(Attributs!$AD$2:$AD$18)+SUMSQ(Attributs!$AE$2:$AE$18)))),0)</f>
        <v/>
      </c>
      <c r="Q12" s="2">
        <f>IFERROR((SUMPRODUCT(Attributs!$V$2:$V$18,Attributs!$AF$2:$AF$18)+SUMPRODUCT(Attributs!$W$2:$W$18,Attributs!$AG$2:$AG$18))/((SQRT(SUMSQ(Attributs!$V$2:$V$18)+SUMSQ(Attributs!$W$2:$W$18)))*(SQRT(SUMSQ(Attributs!$AF$2:$AF$18)+SUMSQ(Attributs!$AG$2:$AG$18)))),0)</f>
        <v/>
      </c>
      <c r="R12" s="2">
        <f>IFERROR((SUMPRODUCT(Attributs!$V$2:$V$18,Attributs!$AH$2:$AH$18)+SUMPRODUCT(Attributs!$W$2:$W$18,Attributs!$AI$2:$AI$18))/((SQRT(SUMSQ(Attributs!$V$2:$V$18)+SUMSQ(Attributs!$W$2:$W$18)))*(SQRT(SUMSQ(Attributs!$AH$2:$AH$18)+SUMSQ(Attributs!$AI$2:$AI$18)))),0)</f>
        <v/>
      </c>
      <c r="S12" s="2">
        <f>IFERROR((SUMPRODUCT(Attributs!$V$2:$V$18,Attributs!$AJ$2:$AJ$18)+SUMPRODUCT(Attributs!$W$2:$W$18,Attributs!$AK$2:$AK$18))/((SQRT(SUMSQ(Attributs!$V$2:$V$18)+SUMSQ(Attributs!$W$2:$W$18)))*(SQRT(SUMSQ(Attributs!$AJ$2:$AJ$18)+SUMSQ(Attributs!$AK$2:$AK$18)))),0)</f>
        <v/>
      </c>
      <c r="T12" s="2">
        <f>IFERROR((SUMPRODUCT(Attributs!$V$2:$V$18,Attributs!$AL$2:$AL$18)+SUMPRODUCT(Attributs!$W$2:$W$18,Attributs!$AM$2:$AM$18))/((SQRT(SUMSQ(Attributs!$V$2:$V$18)+SUMSQ(Attributs!$W$2:$W$18)))*(SQRT(SUMSQ(Attributs!$AL$2:$AL$18)+SUMSQ(Attributs!$AM$2:$AM$18)))),0)</f>
        <v/>
      </c>
      <c r="U12" s="2">
        <f>IFERROR((SUMPRODUCT(Attributs!$V$2:$V$18,Attributs!$AN$2:$AN$18)+SUMPRODUCT(Attributs!$W$2:$W$18,Attributs!$AO$2:$AO$18))/((SQRT(SUMSQ(Attributs!$V$2:$V$18)+SUMSQ(Attributs!$W$2:$W$18)))*(SQRT(SUMSQ(Attributs!$AN$2:$AN$18)+SUMSQ(Attributs!$AO$2:$AO$18)))),0)</f>
        <v/>
      </c>
      <c r="V12" s="2">
        <f>IFERROR((SUMPRODUCT(Attributs!$V$2:$V$18,Attributs!$AP$2:$AP$18)+SUMPRODUCT(Attributs!$W$2:$W$18,Attributs!$AQ$2:$AQ$18))/((SQRT(SUMSQ(Attributs!$V$2:$V$18)+SUMSQ(Attributs!$W$2:$W$18)))*(SQRT(SUMSQ(Attributs!$AP$2:$AP$18)+SUMSQ(Attributs!$AQ$2:$AQ$18)))),0)</f>
        <v/>
      </c>
      <c r="W12" s="2">
        <f>IFERROR((SUMPRODUCT(Attributs!$V$2:$V$18,Attributs!$AR$2:$AR$18)+SUMPRODUCT(Attributs!$W$2:$W$18,Attributs!$AS$2:$AS$18))/((SQRT(SUMSQ(Attributs!$V$2:$V$18)+SUMSQ(Attributs!$W$2:$W$18)))*(SQRT(SUMSQ(Attributs!$AR$2:$AR$18)+SUMSQ(Attributs!$AS$2:$AS$18)))),0)</f>
        <v/>
      </c>
      <c r="X12" s="2">
        <f>IFERROR((SUMPRODUCT(Attributs!$V$2:$V$18,Attributs!$AT$2:$AT$18)+SUMPRODUCT(Attributs!$W$2:$W$18,Attributs!$AU$2:$AU$18))/((SQRT(SUMSQ(Attributs!$V$2:$V$18)+SUMSQ(Attributs!$W$2:$W$18)))*(SQRT(SUMSQ(Attributs!$AT$2:$AT$18)+SUMSQ(Attributs!$AU$2:$AU$18)))),0)</f>
        <v/>
      </c>
      <c r="Y12" s="2">
        <f>IFERROR((SUMPRODUCT(Attributs!$V$2:$V$18,Attributs!$AV$2:$AV$18)+SUMPRODUCT(Attributs!$W$2:$W$18,Attributs!$AW$2:$AW$18))/((SQRT(SUMSQ(Attributs!$V$2:$V$18)+SUMSQ(Attributs!$W$2:$W$18)))*(SQRT(SUMSQ(Attributs!$AV$2:$AV$18)+SUMSQ(Attributs!$AW$2:$AW$18)))),0)</f>
        <v/>
      </c>
      <c r="Z12" s="2">
        <f>IFERROR((SUMPRODUCT(Attributs!$V$2:$V$18,Attributs!$AX$2:$AX$18)+SUMPRODUCT(Attributs!$W$2:$W$18,Attributs!$AY$2:$AY$18))/((SQRT(SUMSQ(Attributs!$V$2:$V$18)+SUMSQ(Attributs!$W$2:$W$18)))*(SQRT(SUMSQ(Attributs!$AX$2:$AX$18)+SUMSQ(Attributs!$AY$2:$AY$18)))),0)</f>
        <v/>
      </c>
      <c r="AA12" s="2">
        <f>IFERROR((SUMPRODUCT(Attributs!$V$2:$V$18,Attributs!$AZ$2:$AZ$18)+SUMPRODUCT(Attributs!$W$2:$W$18,Attributs!$BA$2:$BA$18))/((SQRT(SUMSQ(Attributs!$V$2:$V$18)+SUMSQ(Attributs!$W$2:$W$18)))*(SQRT(SUMSQ(Attributs!$AZ$2:$AZ$18)+SUMSQ(Attributs!$BA$2:$BA$18)))),0)</f>
        <v/>
      </c>
      <c r="AB12" s="2">
        <f>IFERROR((SUMPRODUCT(Attributs!$V$2:$V$18,Attributs!$BB$2:$BB$18)+SUMPRODUCT(Attributs!$W$2:$W$18,Attributs!$BC$2:$BC$18))/((SQRT(SUMSQ(Attributs!$V$2:$V$18)+SUMSQ(Attributs!$W$2:$W$18)))*(SQRT(SUMSQ(Attributs!$BB$2:$BB$18)+SUMSQ(Attributs!$BC$2:$BC$18)))),0)</f>
        <v/>
      </c>
      <c r="AC12" s="2">
        <f>IFERROR((SUMPRODUCT(Attributs!$V$2:$V$18,Attributs!$BD$2:$BD$18)+SUMPRODUCT(Attributs!$W$2:$W$18,Attributs!$BE$2:$BE$18))/((SQRT(SUMSQ(Attributs!$V$2:$V$18)+SUMSQ(Attributs!$W$2:$W$18)))*(SQRT(SUMSQ(Attributs!$BD$2:$BD$18)+SUMSQ(Attributs!$BE$2:$BE$18)))),0)</f>
        <v/>
      </c>
      <c r="AD12" s="2">
        <f>IFERROR((SUMPRODUCT(Attributs!$V$2:$V$18,Attributs!$BF$2:$BF$18)+SUMPRODUCT(Attributs!$W$2:$W$18,Attributs!$BG$2:$BG$18))/((SQRT(SUMSQ(Attributs!$V$2:$V$18)+SUMSQ(Attributs!$W$2:$W$18)))*(SQRT(SUMSQ(Attributs!$BF$2:$BF$18)+SUMSQ(Attributs!$BG$2:$BG$18)))),0)</f>
        <v/>
      </c>
      <c r="AE12" s="2">
        <f>IFERROR((SUMPRODUCT(Attributs!$V$2:$V$18,Attributs!$BH$2:$BH$18)+SUMPRODUCT(Attributs!$W$2:$W$18,Attributs!$BI$2:$BI$18))/((SQRT(SUMSQ(Attributs!$V$2:$V$18)+SUMSQ(Attributs!$W$2:$W$18)))*(SQRT(SUMSQ(Attributs!$BH$2:$BH$18)+SUMSQ(Attributs!$BI$2:$BI$18)))),0)</f>
        <v/>
      </c>
      <c r="AF12" s="2">
        <f>IFERROR((SUMPRODUCT(Attributs!$V$2:$V$18,Attributs!$BJ$2:$BJ$18)+SUMPRODUCT(Attributs!$W$2:$W$18,Attributs!$BK$2:$BK$18))/((SQRT(SUMSQ(Attributs!$V$2:$V$18)+SUMSQ(Attributs!$W$2:$W$18)))*(SQRT(SUMSQ(Attributs!$BJ$2:$BJ$18)+SUMSQ(Attributs!$BK$2:$BK$18)))),0)</f>
        <v/>
      </c>
      <c r="AG12" s="2">
        <f>IFERROR((SUMPRODUCT(Attributs!$V$2:$V$18,Attributs!$BL$2:$BL$18)+SUMPRODUCT(Attributs!$W$2:$W$18,Attributs!$BM$2:$BM$18))/((SQRT(SUMSQ(Attributs!$V$2:$V$18)+SUMSQ(Attributs!$W$2:$W$18)))*(SQRT(SUMSQ(Attributs!$BL$2:$BL$18)+SUMSQ(Attributs!$BM$2:$BM$18)))),0)</f>
        <v/>
      </c>
      <c r="AH12" s="2">
        <f>IFERROR((SUMPRODUCT(Attributs!$V$2:$V$18,Attributs!$BN$2:$BN$18)+SUMPRODUCT(Attributs!$W$2:$W$18,Attributs!$BO$2:$BO$18))/((SQRT(SUMSQ(Attributs!$V$2:$V$18)+SUMSQ(Attributs!$W$2:$W$18)))*(SQRT(SUMSQ(Attributs!$BN$2:$BN$18)+SUMSQ(Attributs!$BO$2:$BO$18)))),0)</f>
        <v/>
      </c>
      <c r="AI12" s="2">
        <f>IFERROR((SUMPRODUCT(Attributs!$V$2:$V$18,Attributs!$BP$2:$BP$18)+SUMPRODUCT(Attributs!$W$2:$W$18,Attributs!$BQ$2:$BQ$18))/((SQRT(SUMSQ(Attributs!$V$2:$V$18)+SUMSQ(Attributs!$W$2:$W$18)))*(SQRT(SUMSQ(Attributs!$BP$2:$BP$18)+SUMSQ(Attributs!$BQ$2:$BQ$18)))),0)</f>
        <v/>
      </c>
      <c r="AJ12" s="2">
        <f>IFERROR((SUMPRODUCT(Attributs!$V$2:$V$18,Attributs!$BR$2:$BR$18)+SUMPRODUCT(Attributs!$W$2:$W$18,Attributs!$BS$2:$BS$18))/((SQRT(SUMSQ(Attributs!$V$2:$V$18)+SUMSQ(Attributs!$W$2:$W$18)))*(SQRT(SUMSQ(Attributs!$BR$2:$BR$18)+SUMSQ(Attributs!$BS$2:$BS$18)))),0)</f>
        <v/>
      </c>
      <c r="AK12" s="2">
        <f>IFERROR((SUMPRODUCT(Attributs!$V$2:$V$18,Attributs!$BT$2:$BT$18)+SUMPRODUCT(Attributs!$W$2:$W$18,Attributs!$BU$2:$BU$18))/((SQRT(SUMSQ(Attributs!$V$2:$V$18)+SUMSQ(Attributs!$W$2:$W$18)))*(SQRT(SUMSQ(Attributs!$BT$2:$BT$18)+SUMSQ(Attributs!$BU$2:$BU$18)))),0)</f>
        <v/>
      </c>
      <c r="AL12" s="2">
        <f>IFERROR((SUMPRODUCT(Attributs!$V$2:$V$18,Attributs!$BV$2:$BV$18)+SUMPRODUCT(Attributs!$W$2:$W$18,Attributs!$BW$2:$BW$18))/((SQRT(SUMSQ(Attributs!$V$2:$V$18)+SUMSQ(Attributs!$W$2:$W$18)))*(SQRT(SUMSQ(Attributs!$BV$2:$BV$18)+SUMSQ(Attributs!$BW$2:$BW$18)))),0)</f>
        <v/>
      </c>
      <c r="AM12" s="2">
        <f>IFERROR((SUMPRODUCT(Attributs!$V$2:$V$18,Attributs!$BX$2:$BX$18)+SUMPRODUCT(Attributs!$W$2:$W$18,Attributs!$BY$2:$BY$18))/((SQRT(SUMSQ(Attributs!$V$2:$V$18)+SUMSQ(Attributs!$W$2:$W$18)))*(SQRT(SUMSQ(Attributs!$BX$2:$BX$18)+SUMSQ(Attributs!$BY$2:$BY$18)))),0)</f>
        <v/>
      </c>
      <c r="AN12" s="2">
        <f>IFERROR((SUMPRODUCT(Attributs!$V$2:$V$18,Attributs!$BZ$2:$BZ$18)+SUMPRODUCT(Attributs!$W$2:$W$18,Attributs!$CA$2:$CA$18))/((SQRT(SUMSQ(Attributs!$V$2:$V$18)+SUMSQ(Attributs!$W$2:$W$18)))*(SQRT(SUMSQ(Attributs!$BZ$2:$BZ$18)+SUMSQ(Attributs!$CA$2:$CA$18)))),0)</f>
        <v/>
      </c>
      <c r="AO12" s="2">
        <f>IFERROR((SUMPRODUCT(Attributs!$V$2:$V$18,Attributs!$CB$2:$CB$18)+SUMPRODUCT(Attributs!$W$2:$W$18,Attributs!$CC$2:$CC$18))/((SQRT(SUMSQ(Attributs!$V$2:$V$18)+SUMSQ(Attributs!$W$2:$W$18)))*(SQRT(SUMSQ(Attributs!$CB$2:$CB$18)+SUMSQ(Attributs!$CC$2:$CC$18)))),0)</f>
        <v/>
      </c>
      <c r="AP12" s="2">
        <f>IFERROR((SUMPRODUCT(Attributs!$V$2:$V$18,Attributs!$CD$2:$CD$18)+SUMPRODUCT(Attributs!$W$2:$W$18,Attributs!$CE$2:$CE$18))/((SQRT(SUMSQ(Attributs!$V$2:$V$18)+SUMSQ(Attributs!$W$2:$W$18)))*(SQRT(SUMSQ(Attributs!$CD$2:$CD$18)+SUMSQ(Attributs!$CE$2:$CE$18)))),0)</f>
        <v/>
      </c>
      <c r="AQ12" s="2">
        <f>IFERROR((SUMPRODUCT(Attributs!$V$2:$V$18,Attributs!$CF$2:$CF$18)+SUMPRODUCT(Attributs!$W$2:$W$18,Attributs!$CG$2:$CG$18))/((SQRT(SUMSQ(Attributs!$V$2:$V$18)+SUMSQ(Attributs!$W$2:$W$18)))*(SQRT(SUMSQ(Attributs!$CF$2:$CF$18)+SUMSQ(Attributs!$CG$2:$CG$18)))),0)</f>
        <v/>
      </c>
      <c r="AR12" s="2">
        <f>IFERROR((SUMPRODUCT(Attributs!$V$2:$V$18,Attributs!$CH$2:$CH$18)+SUMPRODUCT(Attributs!$W$2:$W$18,Attributs!$CI$2:$CI$18))/((SQRT(SUMSQ(Attributs!$V$2:$V$18)+SUMSQ(Attributs!$W$2:$W$18)))*(SQRT(SUMSQ(Attributs!$CH$2:$CH$18)+SUMSQ(Attributs!$CI$2:$CI$18)))),0)</f>
        <v/>
      </c>
      <c r="AS12" s="2">
        <f>IFERROR((SUMPRODUCT(Attributs!$V$2:$V$18,Attributs!$CJ$2:$CJ$18)+SUMPRODUCT(Attributs!$W$2:$W$18,Attributs!$CK$2:$CK$18))/((SQRT(SUMSQ(Attributs!$V$2:$V$18)+SUMSQ(Attributs!$W$2:$W$18)))*(SQRT(SUMSQ(Attributs!$CJ$2:$CJ$18)+SUMSQ(Attributs!$CK$2:$CK$18)))),0)</f>
        <v/>
      </c>
      <c r="AT12" s="2">
        <f>IFERROR((SUMPRODUCT(Attributs!$V$2:$V$18,Attributs!$CL$2:$CL$18)+SUMPRODUCT(Attributs!$W$2:$W$18,Attributs!$CM$2:$CM$18))/((SQRT(SUMSQ(Attributs!$V$2:$V$18)+SUMSQ(Attributs!$W$2:$W$18)))*(SQRT(SUMSQ(Attributs!$CL$2:$CL$18)+SUMSQ(Attributs!$CM$2:$CM$18)))),0)</f>
        <v/>
      </c>
      <c r="AU12" s="2">
        <f>IFERROR((SUMPRODUCT(Attributs!$V$2:$V$18,Attributs!$CN$2:$CN$18)+SUMPRODUCT(Attributs!$W$2:$W$18,Attributs!$CO$2:$CO$18))/((SQRT(SUMSQ(Attributs!$V$2:$V$18)+SUMSQ(Attributs!$W$2:$W$18)))*(SQRT(SUMSQ(Attributs!$CN$2:$CN$18)+SUMSQ(Attributs!$CO$2:$CO$18)))),0)</f>
        <v/>
      </c>
      <c r="AV12" s="2">
        <f>IFERROR((SUMPRODUCT(Attributs!$V$2:$V$18,Attributs!$CP$2:$CP$18)+SUMPRODUCT(Attributs!$W$2:$W$18,Attributs!$CQ$2:$CQ$18))/((SQRT(SUMSQ(Attributs!$V$2:$V$18)+SUMSQ(Attributs!$W$2:$W$18)))*(SQRT(SUMSQ(Attributs!$CP$2:$CP$18)+SUMSQ(Attributs!$CQ$2:$CQ$18)))),0)</f>
        <v/>
      </c>
      <c r="AW12" s="2">
        <f>IFERROR((SUMPRODUCT(Attributs!$V$2:$V$18,Attributs!$CR$2:$CR$18)+SUMPRODUCT(Attributs!$W$2:$W$18,Attributs!$CS$2:$CS$18))/((SQRT(SUMSQ(Attributs!$V$2:$V$18)+SUMSQ(Attributs!$W$2:$W$18)))*(SQRT(SUMSQ(Attributs!$CR$2:$CR$18)+SUMSQ(Attributs!$CS$2:$CS$18)))),0)</f>
        <v/>
      </c>
      <c r="AX12" s="2">
        <f>IFERROR((SUMPRODUCT(Attributs!$V$2:$V$18,Attributs!$CT$2:$CT$18)+SUMPRODUCT(Attributs!$W$2:$W$18,Attributs!$CU$2:$CU$18))/((SQRT(SUMSQ(Attributs!$V$2:$V$18)+SUMSQ(Attributs!$W$2:$W$18)))*(SQRT(SUMSQ(Attributs!$CT$2:$CT$18)+SUMSQ(Attributs!$CU$2:$CU$18)))),0)</f>
        <v/>
      </c>
      <c r="AY12" s="2">
        <f>IFERROR((SUMPRODUCT(Attributs!$V$2:$V$18,Attributs!$CV$2:$CV$18)+SUMPRODUCT(Attributs!$W$2:$W$18,Attributs!$CW$2:$CW$18))/((SQRT(SUMSQ(Attributs!$V$2:$V$18)+SUMSQ(Attributs!$W$2:$W$18)))*(SQRT(SUMSQ(Attributs!$CV$2:$CV$18)+SUMSQ(Attributs!$CW$2:$CW$18)))),0)</f>
        <v/>
      </c>
      <c r="AZ12" s="2">
        <f>IFERROR((SUMPRODUCT(Attributs!$V$2:$V$18,Attributs!$CX$2:$CX$18)+SUMPRODUCT(Attributs!$W$2:$W$18,Attributs!$CY$2:$CY$18))/((SQRT(SUMSQ(Attributs!$V$2:$V$18)+SUMSQ(Attributs!$W$2:$W$18)))*(SQRT(SUMSQ(Attributs!$CX$2:$CX$18)+SUMSQ(Attributs!$CY$2:$CY$18)))),0)</f>
        <v/>
      </c>
      <c r="BA12" s="2">
        <f>IFERROR((SUMPRODUCT(Attributs!$V$2:$V$18,Attributs!$CZ$2:$CZ$18)+SUMPRODUCT(Attributs!$W$2:$W$18,Attributs!$DA$2:$DA$18))/((SQRT(SUMSQ(Attributs!$V$2:$V$18)+SUMSQ(Attributs!$W$2:$W$18)))*(SQRT(SUMSQ(Attributs!$CZ$2:$CZ$18)+SUMSQ(Attributs!$DA$2:$DA$18)))),0)</f>
        <v/>
      </c>
      <c r="BB12" s="2">
        <f>IFERROR((SUMPRODUCT(Attributs!$V$2:$V$18,Attributs!$DB$2:$DB$18)+SUMPRODUCT(Attributs!$W$2:$W$18,Attributs!$DC$2:$DC$18))/((SQRT(SUMSQ(Attributs!$V$2:$V$18)+SUMSQ(Attributs!$W$2:$W$18)))*(SQRT(SUMSQ(Attributs!$DB$2:$DB$18)+SUMSQ(Attributs!$DC$2:$DC$18)))),0)</f>
        <v/>
      </c>
      <c r="BC12" s="2">
        <f>IFERROR((SUMPRODUCT(Attributs!$V$2:$V$18,Attributs!$DD$2:$DD$18)+SUMPRODUCT(Attributs!$W$2:$W$18,Attributs!$DE$2:$DE$18))/((SQRT(SUMSQ(Attributs!$V$2:$V$18)+SUMSQ(Attributs!$W$2:$W$18)))*(SQRT(SUMSQ(Attributs!$DD$2:$DD$18)+SUMSQ(Attributs!$DE$2:$DE$18)))),0)</f>
        <v/>
      </c>
      <c r="BD12" s="2">
        <f>IFERROR((SUMPRODUCT(Attributs!$V$2:$V$18,Attributs!$DF$2:$DF$18)+SUMPRODUCT(Attributs!$W$2:$W$18,Attributs!$DG$2:$DG$18))/((SQRT(SUMSQ(Attributs!$V$2:$V$18)+SUMSQ(Attributs!$W$2:$W$18)))*(SQRT(SUMSQ(Attributs!$DF$2:$DF$18)+SUMSQ(Attributs!$DG$2:$DG$18)))),0)</f>
        <v/>
      </c>
      <c r="BE12" s="2">
        <f>IFERROR((SUMPRODUCT(Attributs!$V$2:$V$18,Attributs!$DH$2:$DH$18)+SUMPRODUCT(Attributs!$W$2:$W$18,Attributs!$DI$2:$DI$18))/((SQRT(SUMSQ(Attributs!$V$2:$V$18)+SUMSQ(Attributs!$W$2:$W$18)))*(SQRT(SUMSQ(Attributs!$DH$2:$DH$18)+SUMSQ(Attributs!$DI$2:$DI$18)))),0)</f>
        <v/>
      </c>
      <c r="BF12" s="2">
        <f>IFERROR((SUMPRODUCT(Attributs!$V$2:$V$18,Attributs!$DJ$2:$DJ$18)+SUMPRODUCT(Attributs!$W$2:$W$18,Attributs!$DK$2:$DK$18))/((SQRT(SUMSQ(Attributs!$V$2:$V$18)+SUMSQ(Attributs!$W$2:$W$18)))*(SQRT(SUMSQ(Attributs!$DJ$2:$DJ$18)+SUMSQ(Attributs!$DK$2:$DK$18)))),0)</f>
        <v/>
      </c>
      <c r="BG12" s="2">
        <f>IFERROR((SUMPRODUCT(Attributs!$V$2:$V$18,Attributs!$DL$2:$DL$18)+SUMPRODUCT(Attributs!$W$2:$W$18,Attributs!$DM$2:$DM$18))/((SQRT(SUMSQ(Attributs!$V$2:$V$18)+SUMSQ(Attributs!$W$2:$W$18)))*(SQRT(SUMSQ(Attributs!$DL$2:$DL$18)+SUMSQ(Attributs!$DM$2:$DM$18)))),0)</f>
        <v/>
      </c>
      <c r="BH12" s="2">
        <f>IFERROR((SUMPRODUCT(Attributs!$V$2:$V$18,Attributs!$DN$2:$DN$18)+SUMPRODUCT(Attributs!$W$2:$W$18,Attributs!$DO$2:$DO$18))/((SQRT(SUMSQ(Attributs!$V$2:$V$18)+SUMSQ(Attributs!$W$2:$W$18)))*(SQRT(SUMSQ(Attributs!$DN$2:$DN$18)+SUMSQ(Attributs!$DO$2:$DO$18)))),0)</f>
        <v/>
      </c>
      <c r="BI12" s="2">
        <f>IFERROR((SUMPRODUCT(Attributs!$V$2:$V$18,Attributs!$DP$2:$DP$18)+SUMPRODUCT(Attributs!$W$2:$W$18,Attributs!$DQ$2:$DQ$18))/((SQRT(SUMSQ(Attributs!$V$2:$V$18)+SUMSQ(Attributs!$W$2:$W$18)))*(SQRT(SUMSQ(Attributs!$DP$2:$DP$18)+SUMSQ(Attributs!$DQ$2:$DQ$18)))),0)</f>
        <v/>
      </c>
      <c r="BJ12" s="2">
        <f>IFERROR((SUMPRODUCT(Attributs!$V$2:$V$18,Attributs!$DR$2:$DR$18)+SUMPRODUCT(Attributs!$W$2:$W$18,Attributs!$DS$2:$DS$18))/((SQRT(SUMSQ(Attributs!$V$2:$V$18)+SUMSQ(Attributs!$W$2:$W$18)))*(SQRT(SUMSQ(Attributs!$DR$2:$DR$18)+SUMSQ(Attributs!$DS$2:$DS$18)))),0)</f>
        <v/>
      </c>
      <c r="BK12" s="2">
        <f>IFERROR((SUMPRODUCT(Attributs!$V$2:$V$18,Attributs!$DT$2:$DT$18)+SUMPRODUCT(Attributs!$W$2:$W$18,Attributs!$DU$2:$DU$18))/((SQRT(SUMSQ(Attributs!$V$2:$V$18)+SUMSQ(Attributs!$W$2:$W$18)))*(SQRT(SUMSQ(Attributs!$DT$2:$DT$18)+SUMSQ(Attributs!$DU$2:$DU$18)))),0)</f>
        <v/>
      </c>
      <c r="BL12" s="2">
        <f>IFERROR((SUMPRODUCT(Attributs!$V$2:$V$18,Attributs!$DV$2:$DV$18)+SUMPRODUCT(Attributs!$W$2:$W$18,Attributs!$DW$2:$DW$18))/((SQRT(SUMSQ(Attributs!$V$2:$V$18)+SUMSQ(Attributs!$W$2:$W$18)))*(SQRT(SUMSQ(Attributs!$DV$2:$DV$18)+SUMSQ(Attributs!$DW$2:$DW$18)))),0)</f>
        <v/>
      </c>
    </row>
    <row r="13">
      <c r="A13" s="3" t="inlineStr">
        <is>
          <t>SE_mysql.Users.Views</t>
        </is>
      </c>
      <c r="B13" s="2">
        <f>IFERROR((SUMPRODUCT(Attributs!$X$2:$X$18,Attributs!$B$2:$B$18)+SUMPRODUCT(Attributs!$Y$2:$Y$18,Attributs!$C$2:$C$18))/((SQRT(SUMSQ(Attributs!$X$2:$X$18)+SUMSQ(Attributs!$Y$2:$Y$18)))*(SQRT(SUMSQ(Attributs!$B$2:$B$18)+SUMSQ(Attributs!$C$2:$C$18)))),0)</f>
        <v/>
      </c>
      <c r="C13" s="2">
        <f>IFERROR((SUMPRODUCT(Attributs!$X$2:$X$18,Attributs!$D$2:$D$18)+SUMPRODUCT(Attributs!$Y$2:$Y$18,Attributs!$E$2:$E$18))/((SQRT(SUMSQ(Attributs!$X$2:$X$18)+SUMSQ(Attributs!$Y$2:$Y$18)))*(SQRT(SUMSQ(Attributs!$D$2:$D$18)+SUMSQ(Attributs!$E$2:$E$18)))),0)</f>
        <v/>
      </c>
      <c r="D13" s="2">
        <f>IFERROR((SUMPRODUCT(Attributs!$X$2:$X$18,Attributs!$F$2:$F$18)+SUMPRODUCT(Attributs!$Y$2:$Y$18,Attributs!$G$2:$G$18))/((SQRT(SUMSQ(Attributs!$X$2:$X$18)+SUMSQ(Attributs!$Y$2:$Y$18)))*(SQRT(SUMSQ(Attributs!$F$2:$F$18)+SUMSQ(Attributs!$G$2:$G$18)))),0)</f>
        <v/>
      </c>
      <c r="E13" s="2">
        <f>IFERROR((SUMPRODUCT(Attributs!$X$2:$X$18,Attributs!$H$2:$H$18)+SUMPRODUCT(Attributs!$Y$2:$Y$18,Attributs!$I$2:$I$18))/((SQRT(SUMSQ(Attributs!$X$2:$X$18)+SUMSQ(Attributs!$Y$2:$Y$18)))*(SQRT(SUMSQ(Attributs!$H$2:$H$18)+SUMSQ(Attributs!$I$2:$I$18)))),0)</f>
        <v/>
      </c>
      <c r="F13" s="2">
        <f>IFERROR((SUMPRODUCT(Attributs!$X$2:$X$18,Attributs!$J$2:$J$18)+SUMPRODUCT(Attributs!$Y$2:$Y$18,Attributs!$K$2:$K$18))/((SQRT(SUMSQ(Attributs!$X$2:$X$18)+SUMSQ(Attributs!$Y$2:$Y$18)))*(SQRT(SUMSQ(Attributs!$J$2:$J$18)+SUMSQ(Attributs!$K$2:$K$18)))),0)</f>
        <v/>
      </c>
      <c r="G13" s="2">
        <f>IFERROR((SUMPRODUCT(Attributs!$X$2:$X$18,Attributs!$L$2:$L$18)+SUMPRODUCT(Attributs!$Y$2:$Y$18,Attributs!$M$2:$M$18))/((SQRT(SUMSQ(Attributs!$X$2:$X$18)+SUMSQ(Attributs!$Y$2:$Y$18)))*(SQRT(SUMSQ(Attributs!$L$2:$L$18)+SUMSQ(Attributs!$M$2:$M$18)))),0)</f>
        <v/>
      </c>
      <c r="H13" s="2">
        <f>IFERROR((SUMPRODUCT(Attributs!$X$2:$X$18,Attributs!$N$2:$N$18)+SUMPRODUCT(Attributs!$Y$2:$Y$18,Attributs!$O$2:$O$18))/((SQRT(SUMSQ(Attributs!$X$2:$X$18)+SUMSQ(Attributs!$Y$2:$Y$18)))*(SQRT(SUMSQ(Attributs!$N$2:$N$18)+SUMSQ(Attributs!$O$2:$O$18)))),0)</f>
        <v/>
      </c>
      <c r="I13" s="2">
        <f>IFERROR((SUMPRODUCT(Attributs!$X$2:$X$18,Attributs!$P$2:$P$18)+SUMPRODUCT(Attributs!$Y$2:$Y$18,Attributs!$Q$2:$Q$18))/((SQRT(SUMSQ(Attributs!$X$2:$X$18)+SUMSQ(Attributs!$Y$2:$Y$18)))*(SQRT(SUMSQ(Attributs!$P$2:$P$18)+SUMSQ(Attributs!$Q$2:$Q$18)))),0)</f>
        <v/>
      </c>
      <c r="J13" s="2">
        <f>IFERROR((SUMPRODUCT(Attributs!$X$2:$X$18,Attributs!$R$2:$R$18)+SUMPRODUCT(Attributs!$Y$2:$Y$18,Attributs!$S$2:$S$18))/((SQRT(SUMSQ(Attributs!$X$2:$X$18)+SUMSQ(Attributs!$Y$2:$Y$18)))*(SQRT(SUMSQ(Attributs!$R$2:$R$18)+SUMSQ(Attributs!$S$2:$S$18)))),0)</f>
        <v/>
      </c>
      <c r="K13" s="2">
        <f>IFERROR((SUMPRODUCT(Attributs!$X$2:$X$18,Attributs!$T$2:$T$18)+SUMPRODUCT(Attributs!$Y$2:$Y$18,Attributs!$U$2:$U$18))/((SQRT(SUMSQ(Attributs!$X$2:$X$18)+SUMSQ(Attributs!$Y$2:$Y$18)))*(SQRT(SUMSQ(Attributs!$T$2:$T$18)+SUMSQ(Attributs!$U$2:$U$18)))),0)</f>
        <v/>
      </c>
      <c r="L13" s="2">
        <f>IFERROR((SUMPRODUCT(Attributs!$X$2:$X$18,Attributs!$V$2:$V$18)+SUMPRODUCT(Attributs!$Y$2:$Y$18,Attributs!$W$2:$W$18))/((SQRT(SUMSQ(Attributs!$X$2:$X$18)+SUMSQ(Attributs!$Y$2:$Y$18)))*(SQRT(SUMSQ(Attributs!$V$2:$V$18)+SUMSQ(Attributs!$W$2:$W$18)))),0)</f>
        <v/>
      </c>
      <c r="M13" s="2">
        <f>IFERROR((SUMPRODUCT(Attributs!$X$2:$X$18,Attributs!$X$2:$X$18)+SUMPRODUCT(Attributs!$Y$2:$Y$18,Attributs!$Y$2:$Y$18))/((SQRT(SUMSQ(Attributs!$X$2:$X$18)+SUMSQ(Attributs!$Y$2:$Y$18)))*(SQRT(SUMSQ(Attributs!$X$2:$X$18)+SUMSQ(Attributs!$Y$2:$Y$18)))),0)</f>
        <v/>
      </c>
      <c r="N13" s="2">
        <f>IFERROR((SUMPRODUCT(Attributs!$X$2:$X$18,Attributs!$Z$2:$Z$18)+SUMPRODUCT(Attributs!$Y$2:$Y$18,Attributs!$AA$2:$AA$18))/((SQRT(SUMSQ(Attributs!$X$2:$X$18)+SUMSQ(Attributs!$Y$2:$Y$18)))*(SQRT(SUMSQ(Attributs!$Z$2:$Z$18)+SUMSQ(Attributs!$AA$2:$AA$18)))),0)</f>
        <v/>
      </c>
      <c r="O13" s="2">
        <f>IFERROR((SUMPRODUCT(Attributs!$X$2:$X$18,Attributs!$AB$2:$AB$18)+SUMPRODUCT(Attributs!$Y$2:$Y$18,Attributs!$AC$2:$AC$18))/((SQRT(SUMSQ(Attributs!$X$2:$X$18)+SUMSQ(Attributs!$Y$2:$Y$18)))*(SQRT(SUMSQ(Attributs!$AB$2:$AB$18)+SUMSQ(Attributs!$AC$2:$AC$18)))),0)</f>
        <v/>
      </c>
      <c r="P13" s="2">
        <f>IFERROR((SUMPRODUCT(Attributs!$X$2:$X$18,Attributs!$AD$2:$AD$18)+SUMPRODUCT(Attributs!$Y$2:$Y$18,Attributs!$AE$2:$AE$18))/((SQRT(SUMSQ(Attributs!$X$2:$X$18)+SUMSQ(Attributs!$Y$2:$Y$18)))*(SQRT(SUMSQ(Attributs!$AD$2:$AD$18)+SUMSQ(Attributs!$AE$2:$AE$18)))),0)</f>
        <v/>
      </c>
      <c r="Q13" s="2">
        <f>IFERROR((SUMPRODUCT(Attributs!$X$2:$X$18,Attributs!$AF$2:$AF$18)+SUMPRODUCT(Attributs!$Y$2:$Y$18,Attributs!$AG$2:$AG$18))/((SQRT(SUMSQ(Attributs!$X$2:$X$18)+SUMSQ(Attributs!$Y$2:$Y$18)))*(SQRT(SUMSQ(Attributs!$AF$2:$AF$18)+SUMSQ(Attributs!$AG$2:$AG$18)))),0)</f>
        <v/>
      </c>
      <c r="R13" s="2">
        <f>IFERROR((SUMPRODUCT(Attributs!$X$2:$X$18,Attributs!$AH$2:$AH$18)+SUMPRODUCT(Attributs!$Y$2:$Y$18,Attributs!$AI$2:$AI$18))/((SQRT(SUMSQ(Attributs!$X$2:$X$18)+SUMSQ(Attributs!$Y$2:$Y$18)))*(SQRT(SUMSQ(Attributs!$AH$2:$AH$18)+SUMSQ(Attributs!$AI$2:$AI$18)))),0)</f>
        <v/>
      </c>
      <c r="S13" s="2">
        <f>IFERROR((SUMPRODUCT(Attributs!$X$2:$X$18,Attributs!$AJ$2:$AJ$18)+SUMPRODUCT(Attributs!$Y$2:$Y$18,Attributs!$AK$2:$AK$18))/((SQRT(SUMSQ(Attributs!$X$2:$X$18)+SUMSQ(Attributs!$Y$2:$Y$18)))*(SQRT(SUMSQ(Attributs!$AJ$2:$AJ$18)+SUMSQ(Attributs!$AK$2:$AK$18)))),0)</f>
        <v/>
      </c>
      <c r="T13" s="2">
        <f>IFERROR((SUMPRODUCT(Attributs!$X$2:$X$18,Attributs!$AL$2:$AL$18)+SUMPRODUCT(Attributs!$Y$2:$Y$18,Attributs!$AM$2:$AM$18))/((SQRT(SUMSQ(Attributs!$X$2:$X$18)+SUMSQ(Attributs!$Y$2:$Y$18)))*(SQRT(SUMSQ(Attributs!$AL$2:$AL$18)+SUMSQ(Attributs!$AM$2:$AM$18)))),0)</f>
        <v/>
      </c>
      <c r="U13" s="2">
        <f>IFERROR((SUMPRODUCT(Attributs!$X$2:$X$18,Attributs!$AN$2:$AN$18)+SUMPRODUCT(Attributs!$Y$2:$Y$18,Attributs!$AO$2:$AO$18))/((SQRT(SUMSQ(Attributs!$X$2:$X$18)+SUMSQ(Attributs!$Y$2:$Y$18)))*(SQRT(SUMSQ(Attributs!$AN$2:$AN$18)+SUMSQ(Attributs!$AO$2:$AO$18)))),0)</f>
        <v/>
      </c>
      <c r="V13" s="2">
        <f>IFERROR((SUMPRODUCT(Attributs!$X$2:$X$18,Attributs!$AP$2:$AP$18)+SUMPRODUCT(Attributs!$Y$2:$Y$18,Attributs!$AQ$2:$AQ$18))/((SQRT(SUMSQ(Attributs!$X$2:$X$18)+SUMSQ(Attributs!$Y$2:$Y$18)))*(SQRT(SUMSQ(Attributs!$AP$2:$AP$18)+SUMSQ(Attributs!$AQ$2:$AQ$18)))),0)</f>
        <v/>
      </c>
      <c r="W13" s="2">
        <f>IFERROR((SUMPRODUCT(Attributs!$X$2:$X$18,Attributs!$AR$2:$AR$18)+SUMPRODUCT(Attributs!$Y$2:$Y$18,Attributs!$AS$2:$AS$18))/((SQRT(SUMSQ(Attributs!$X$2:$X$18)+SUMSQ(Attributs!$Y$2:$Y$18)))*(SQRT(SUMSQ(Attributs!$AR$2:$AR$18)+SUMSQ(Attributs!$AS$2:$AS$18)))),0)</f>
        <v/>
      </c>
      <c r="X13" s="2">
        <f>IFERROR((SUMPRODUCT(Attributs!$X$2:$X$18,Attributs!$AT$2:$AT$18)+SUMPRODUCT(Attributs!$Y$2:$Y$18,Attributs!$AU$2:$AU$18))/((SQRT(SUMSQ(Attributs!$X$2:$X$18)+SUMSQ(Attributs!$Y$2:$Y$18)))*(SQRT(SUMSQ(Attributs!$AT$2:$AT$18)+SUMSQ(Attributs!$AU$2:$AU$18)))),0)</f>
        <v/>
      </c>
      <c r="Y13" s="2">
        <f>IFERROR((SUMPRODUCT(Attributs!$X$2:$X$18,Attributs!$AV$2:$AV$18)+SUMPRODUCT(Attributs!$Y$2:$Y$18,Attributs!$AW$2:$AW$18))/((SQRT(SUMSQ(Attributs!$X$2:$X$18)+SUMSQ(Attributs!$Y$2:$Y$18)))*(SQRT(SUMSQ(Attributs!$AV$2:$AV$18)+SUMSQ(Attributs!$AW$2:$AW$18)))),0)</f>
        <v/>
      </c>
      <c r="Z13" s="2">
        <f>IFERROR((SUMPRODUCT(Attributs!$X$2:$X$18,Attributs!$AX$2:$AX$18)+SUMPRODUCT(Attributs!$Y$2:$Y$18,Attributs!$AY$2:$AY$18))/((SQRT(SUMSQ(Attributs!$X$2:$X$18)+SUMSQ(Attributs!$Y$2:$Y$18)))*(SQRT(SUMSQ(Attributs!$AX$2:$AX$18)+SUMSQ(Attributs!$AY$2:$AY$18)))),0)</f>
        <v/>
      </c>
      <c r="AA13" s="2">
        <f>IFERROR((SUMPRODUCT(Attributs!$X$2:$X$18,Attributs!$AZ$2:$AZ$18)+SUMPRODUCT(Attributs!$Y$2:$Y$18,Attributs!$BA$2:$BA$18))/((SQRT(SUMSQ(Attributs!$X$2:$X$18)+SUMSQ(Attributs!$Y$2:$Y$18)))*(SQRT(SUMSQ(Attributs!$AZ$2:$AZ$18)+SUMSQ(Attributs!$BA$2:$BA$18)))),0)</f>
        <v/>
      </c>
      <c r="AB13" s="2">
        <f>IFERROR((SUMPRODUCT(Attributs!$X$2:$X$18,Attributs!$BB$2:$BB$18)+SUMPRODUCT(Attributs!$Y$2:$Y$18,Attributs!$BC$2:$BC$18))/((SQRT(SUMSQ(Attributs!$X$2:$X$18)+SUMSQ(Attributs!$Y$2:$Y$18)))*(SQRT(SUMSQ(Attributs!$BB$2:$BB$18)+SUMSQ(Attributs!$BC$2:$BC$18)))),0)</f>
        <v/>
      </c>
      <c r="AC13" s="2">
        <f>IFERROR((SUMPRODUCT(Attributs!$X$2:$X$18,Attributs!$BD$2:$BD$18)+SUMPRODUCT(Attributs!$Y$2:$Y$18,Attributs!$BE$2:$BE$18))/((SQRT(SUMSQ(Attributs!$X$2:$X$18)+SUMSQ(Attributs!$Y$2:$Y$18)))*(SQRT(SUMSQ(Attributs!$BD$2:$BD$18)+SUMSQ(Attributs!$BE$2:$BE$18)))),0)</f>
        <v/>
      </c>
      <c r="AD13" s="2">
        <f>IFERROR((SUMPRODUCT(Attributs!$X$2:$X$18,Attributs!$BF$2:$BF$18)+SUMPRODUCT(Attributs!$Y$2:$Y$18,Attributs!$BG$2:$BG$18))/((SQRT(SUMSQ(Attributs!$X$2:$X$18)+SUMSQ(Attributs!$Y$2:$Y$18)))*(SQRT(SUMSQ(Attributs!$BF$2:$BF$18)+SUMSQ(Attributs!$BG$2:$BG$18)))),0)</f>
        <v/>
      </c>
      <c r="AE13" s="2">
        <f>IFERROR((SUMPRODUCT(Attributs!$X$2:$X$18,Attributs!$BH$2:$BH$18)+SUMPRODUCT(Attributs!$Y$2:$Y$18,Attributs!$BI$2:$BI$18))/((SQRT(SUMSQ(Attributs!$X$2:$X$18)+SUMSQ(Attributs!$Y$2:$Y$18)))*(SQRT(SUMSQ(Attributs!$BH$2:$BH$18)+SUMSQ(Attributs!$BI$2:$BI$18)))),0)</f>
        <v/>
      </c>
      <c r="AF13" s="2">
        <f>IFERROR((SUMPRODUCT(Attributs!$X$2:$X$18,Attributs!$BJ$2:$BJ$18)+SUMPRODUCT(Attributs!$Y$2:$Y$18,Attributs!$BK$2:$BK$18))/((SQRT(SUMSQ(Attributs!$X$2:$X$18)+SUMSQ(Attributs!$Y$2:$Y$18)))*(SQRT(SUMSQ(Attributs!$BJ$2:$BJ$18)+SUMSQ(Attributs!$BK$2:$BK$18)))),0)</f>
        <v/>
      </c>
      <c r="AG13" s="2">
        <f>IFERROR((SUMPRODUCT(Attributs!$X$2:$X$18,Attributs!$BL$2:$BL$18)+SUMPRODUCT(Attributs!$Y$2:$Y$18,Attributs!$BM$2:$BM$18))/((SQRT(SUMSQ(Attributs!$X$2:$X$18)+SUMSQ(Attributs!$Y$2:$Y$18)))*(SQRT(SUMSQ(Attributs!$BL$2:$BL$18)+SUMSQ(Attributs!$BM$2:$BM$18)))),0)</f>
        <v/>
      </c>
      <c r="AH13" s="2">
        <f>IFERROR((SUMPRODUCT(Attributs!$X$2:$X$18,Attributs!$BN$2:$BN$18)+SUMPRODUCT(Attributs!$Y$2:$Y$18,Attributs!$BO$2:$BO$18))/((SQRT(SUMSQ(Attributs!$X$2:$X$18)+SUMSQ(Attributs!$Y$2:$Y$18)))*(SQRT(SUMSQ(Attributs!$BN$2:$BN$18)+SUMSQ(Attributs!$BO$2:$BO$18)))),0)</f>
        <v/>
      </c>
      <c r="AI13" s="2">
        <f>IFERROR((SUMPRODUCT(Attributs!$X$2:$X$18,Attributs!$BP$2:$BP$18)+SUMPRODUCT(Attributs!$Y$2:$Y$18,Attributs!$BQ$2:$BQ$18))/((SQRT(SUMSQ(Attributs!$X$2:$X$18)+SUMSQ(Attributs!$Y$2:$Y$18)))*(SQRT(SUMSQ(Attributs!$BP$2:$BP$18)+SUMSQ(Attributs!$BQ$2:$BQ$18)))),0)</f>
        <v/>
      </c>
      <c r="AJ13" s="2">
        <f>IFERROR((SUMPRODUCT(Attributs!$X$2:$X$18,Attributs!$BR$2:$BR$18)+SUMPRODUCT(Attributs!$Y$2:$Y$18,Attributs!$BS$2:$BS$18))/((SQRT(SUMSQ(Attributs!$X$2:$X$18)+SUMSQ(Attributs!$Y$2:$Y$18)))*(SQRT(SUMSQ(Attributs!$BR$2:$BR$18)+SUMSQ(Attributs!$BS$2:$BS$18)))),0)</f>
        <v/>
      </c>
      <c r="AK13" s="2">
        <f>IFERROR((SUMPRODUCT(Attributs!$X$2:$X$18,Attributs!$BT$2:$BT$18)+SUMPRODUCT(Attributs!$Y$2:$Y$18,Attributs!$BU$2:$BU$18))/((SQRT(SUMSQ(Attributs!$X$2:$X$18)+SUMSQ(Attributs!$Y$2:$Y$18)))*(SQRT(SUMSQ(Attributs!$BT$2:$BT$18)+SUMSQ(Attributs!$BU$2:$BU$18)))),0)</f>
        <v/>
      </c>
      <c r="AL13" s="2">
        <f>IFERROR((SUMPRODUCT(Attributs!$X$2:$X$18,Attributs!$BV$2:$BV$18)+SUMPRODUCT(Attributs!$Y$2:$Y$18,Attributs!$BW$2:$BW$18))/((SQRT(SUMSQ(Attributs!$X$2:$X$18)+SUMSQ(Attributs!$Y$2:$Y$18)))*(SQRT(SUMSQ(Attributs!$BV$2:$BV$18)+SUMSQ(Attributs!$BW$2:$BW$18)))),0)</f>
        <v/>
      </c>
      <c r="AM13" s="2">
        <f>IFERROR((SUMPRODUCT(Attributs!$X$2:$X$18,Attributs!$BX$2:$BX$18)+SUMPRODUCT(Attributs!$Y$2:$Y$18,Attributs!$BY$2:$BY$18))/((SQRT(SUMSQ(Attributs!$X$2:$X$18)+SUMSQ(Attributs!$Y$2:$Y$18)))*(SQRT(SUMSQ(Attributs!$BX$2:$BX$18)+SUMSQ(Attributs!$BY$2:$BY$18)))),0)</f>
        <v/>
      </c>
      <c r="AN13" s="2">
        <f>IFERROR((SUMPRODUCT(Attributs!$X$2:$X$18,Attributs!$BZ$2:$BZ$18)+SUMPRODUCT(Attributs!$Y$2:$Y$18,Attributs!$CA$2:$CA$18))/((SQRT(SUMSQ(Attributs!$X$2:$X$18)+SUMSQ(Attributs!$Y$2:$Y$18)))*(SQRT(SUMSQ(Attributs!$BZ$2:$BZ$18)+SUMSQ(Attributs!$CA$2:$CA$18)))),0)</f>
        <v/>
      </c>
      <c r="AO13" s="2">
        <f>IFERROR((SUMPRODUCT(Attributs!$X$2:$X$18,Attributs!$CB$2:$CB$18)+SUMPRODUCT(Attributs!$Y$2:$Y$18,Attributs!$CC$2:$CC$18))/((SQRT(SUMSQ(Attributs!$X$2:$X$18)+SUMSQ(Attributs!$Y$2:$Y$18)))*(SQRT(SUMSQ(Attributs!$CB$2:$CB$18)+SUMSQ(Attributs!$CC$2:$CC$18)))),0)</f>
        <v/>
      </c>
      <c r="AP13" s="2">
        <f>IFERROR((SUMPRODUCT(Attributs!$X$2:$X$18,Attributs!$CD$2:$CD$18)+SUMPRODUCT(Attributs!$Y$2:$Y$18,Attributs!$CE$2:$CE$18))/((SQRT(SUMSQ(Attributs!$X$2:$X$18)+SUMSQ(Attributs!$Y$2:$Y$18)))*(SQRT(SUMSQ(Attributs!$CD$2:$CD$18)+SUMSQ(Attributs!$CE$2:$CE$18)))),0)</f>
        <v/>
      </c>
      <c r="AQ13" s="2">
        <f>IFERROR((SUMPRODUCT(Attributs!$X$2:$X$18,Attributs!$CF$2:$CF$18)+SUMPRODUCT(Attributs!$Y$2:$Y$18,Attributs!$CG$2:$CG$18))/((SQRT(SUMSQ(Attributs!$X$2:$X$18)+SUMSQ(Attributs!$Y$2:$Y$18)))*(SQRT(SUMSQ(Attributs!$CF$2:$CF$18)+SUMSQ(Attributs!$CG$2:$CG$18)))),0)</f>
        <v/>
      </c>
      <c r="AR13" s="2">
        <f>IFERROR((SUMPRODUCT(Attributs!$X$2:$X$18,Attributs!$CH$2:$CH$18)+SUMPRODUCT(Attributs!$Y$2:$Y$18,Attributs!$CI$2:$CI$18))/((SQRT(SUMSQ(Attributs!$X$2:$X$18)+SUMSQ(Attributs!$Y$2:$Y$18)))*(SQRT(SUMSQ(Attributs!$CH$2:$CH$18)+SUMSQ(Attributs!$CI$2:$CI$18)))),0)</f>
        <v/>
      </c>
      <c r="AS13" s="2">
        <f>IFERROR((SUMPRODUCT(Attributs!$X$2:$X$18,Attributs!$CJ$2:$CJ$18)+SUMPRODUCT(Attributs!$Y$2:$Y$18,Attributs!$CK$2:$CK$18))/((SQRT(SUMSQ(Attributs!$X$2:$X$18)+SUMSQ(Attributs!$Y$2:$Y$18)))*(SQRT(SUMSQ(Attributs!$CJ$2:$CJ$18)+SUMSQ(Attributs!$CK$2:$CK$18)))),0)</f>
        <v/>
      </c>
      <c r="AT13" s="2">
        <f>IFERROR((SUMPRODUCT(Attributs!$X$2:$X$18,Attributs!$CL$2:$CL$18)+SUMPRODUCT(Attributs!$Y$2:$Y$18,Attributs!$CM$2:$CM$18))/((SQRT(SUMSQ(Attributs!$X$2:$X$18)+SUMSQ(Attributs!$Y$2:$Y$18)))*(SQRT(SUMSQ(Attributs!$CL$2:$CL$18)+SUMSQ(Attributs!$CM$2:$CM$18)))),0)</f>
        <v/>
      </c>
      <c r="AU13" s="2">
        <f>IFERROR((SUMPRODUCT(Attributs!$X$2:$X$18,Attributs!$CN$2:$CN$18)+SUMPRODUCT(Attributs!$Y$2:$Y$18,Attributs!$CO$2:$CO$18))/((SQRT(SUMSQ(Attributs!$X$2:$X$18)+SUMSQ(Attributs!$Y$2:$Y$18)))*(SQRT(SUMSQ(Attributs!$CN$2:$CN$18)+SUMSQ(Attributs!$CO$2:$CO$18)))),0)</f>
        <v/>
      </c>
      <c r="AV13" s="2">
        <f>IFERROR((SUMPRODUCT(Attributs!$X$2:$X$18,Attributs!$CP$2:$CP$18)+SUMPRODUCT(Attributs!$Y$2:$Y$18,Attributs!$CQ$2:$CQ$18))/((SQRT(SUMSQ(Attributs!$X$2:$X$18)+SUMSQ(Attributs!$Y$2:$Y$18)))*(SQRT(SUMSQ(Attributs!$CP$2:$CP$18)+SUMSQ(Attributs!$CQ$2:$CQ$18)))),0)</f>
        <v/>
      </c>
      <c r="AW13" s="2">
        <f>IFERROR((SUMPRODUCT(Attributs!$X$2:$X$18,Attributs!$CR$2:$CR$18)+SUMPRODUCT(Attributs!$Y$2:$Y$18,Attributs!$CS$2:$CS$18))/((SQRT(SUMSQ(Attributs!$X$2:$X$18)+SUMSQ(Attributs!$Y$2:$Y$18)))*(SQRT(SUMSQ(Attributs!$CR$2:$CR$18)+SUMSQ(Attributs!$CS$2:$CS$18)))),0)</f>
        <v/>
      </c>
      <c r="AX13" s="2">
        <f>IFERROR((SUMPRODUCT(Attributs!$X$2:$X$18,Attributs!$CT$2:$CT$18)+SUMPRODUCT(Attributs!$Y$2:$Y$18,Attributs!$CU$2:$CU$18))/((SQRT(SUMSQ(Attributs!$X$2:$X$18)+SUMSQ(Attributs!$Y$2:$Y$18)))*(SQRT(SUMSQ(Attributs!$CT$2:$CT$18)+SUMSQ(Attributs!$CU$2:$CU$18)))),0)</f>
        <v/>
      </c>
      <c r="AY13" s="2">
        <f>IFERROR((SUMPRODUCT(Attributs!$X$2:$X$18,Attributs!$CV$2:$CV$18)+SUMPRODUCT(Attributs!$Y$2:$Y$18,Attributs!$CW$2:$CW$18))/((SQRT(SUMSQ(Attributs!$X$2:$X$18)+SUMSQ(Attributs!$Y$2:$Y$18)))*(SQRT(SUMSQ(Attributs!$CV$2:$CV$18)+SUMSQ(Attributs!$CW$2:$CW$18)))),0)</f>
        <v/>
      </c>
      <c r="AZ13" s="2">
        <f>IFERROR((SUMPRODUCT(Attributs!$X$2:$X$18,Attributs!$CX$2:$CX$18)+SUMPRODUCT(Attributs!$Y$2:$Y$18,Attributs!$CY$2:$CY$18))/((SQRT(SUMSQ(Attributs!$X$2:$X$18)+SUMSQ(Attributs!$Y$2:$Y$18)))*(SQRT(SUMSQ(Attributs!$CX$2:$CX$18)+SUMSQ(Attributs!$CY$2:$CY$18)))),0)</f>
        <v/>
      </c>
      <c r="BA13" s="2">
        <f>IFERROR((SUMPRODUCT(Attributs!$X$2:$X$18,Attributs!$CZ$2:$CZ$18)+SUMPRODUCT(Attributs!$Y$2:$Y$18,Attributs!$DA$2:$DA$18))/((SQRT(SUMSQ(Attributs!$X$2:$X$18)+SUMSQ(Attributs!$Y$2:$Y$18)))*(SQRT(SUMSQ(Attributs!$CZ$2:$CZ$18)+SUMSQ(Attributs!$DA$2:$DA$18)))),0)</f>
        <v/>
      </c>
      <c r="BB13" s="2">
        <f>IFERROR((SUMPRODUCT(Attributs!$X$2:$X$18,Attributs!$DB$2:$DB$18)+SUMPRODUCT(Attributs!$Y$2:$Y$18,Attributs!$DC$2:$DC$18))/((SQRT(SUMSQ(Attributs!$X$2:$X$18)+SUMSQ(Attributs!$Y$2:$Y$18)))*(SQRT(SUMSQ(Attributs!$DB$2:$DB$18)+SUMSQ(Attributs!$DC$2:$DC$18)))),0)</f>
        <v/>
      </c>
      <c r="BC13" s="2">
        <f>IFERROR((SUMPRODUCT(Attributs!$X$2:$X$18,Attributs!$DD$2:$DD$18)+SUMPRODUCT(Attributs!$Y$2:$Y$18,Attributs!$DE$2:$DE$18))/((SQRT(SUMSQ(Attributs!$X$2:$X$18)+SUMSQ(Attributs!$Y$2:$Y$18)))*(SQRT(SUMSQ(Attributs!$DD$2:$DD$18)+SUMSQ(Attributs!$DE$2:$DE$18)))),0)</f>
        <v/>
      </c>
      <c r="BD13" s="2">
        <f>IFERROR((SUMPRODUCT(Attributs!$X$2:$X$18,Attributs!$DF$2:$DF$18)+SUMPRODUCT(Attributs!$Y$2:$Y$18,Attributs!$DG$2:$DG$18))/((SQRT(SUMSQ(Attributs!$X$2:$X$18)+SUMSQ(Attributs!$Y$2:$Y$18)))*(SQRT(SUMSQ(Attributs!$DF$2:$DF$18)+SUMSQ(Attributs!$DG$2:$DG$18)))),0)</f>
        <v/>
      </c>
      <c r="BE13" s="2">
        <f>IFERROR((SUMPRODUCT(Attributs!$X$2:$X$18,Attributs!$DH$2:$DH$18)+SUMPRODUCT(Attributs!$Y$2:$Y$18,Attributs!$DI$2:$DI$18))/((SQRT(SUMSQ(Attributs!$X$2:$X$18)+SUMSQ(Attributs!$Y$2:$Y$18)))*(SQRT(SUMSQ(Attributs!$DH$2:$DH$18)+SUMSQ(Attributs!$DI$2:$DI$18)))),0)</f>
        <v/>
      </c>
      <c r="BF13" s="2">
        <f>IFERROR((SUMPRODUCT(Attributs!$X$2:$X$18,Attributs!$DJ$2:$DJ$18)+SUMPRODUCT(Attributs!$Y$2:$Y$18,Attributs!$DK$2:$DK$18))/((SQRT(SUMSQ(Attributs!$X$2:$X$18)+SUMSQ(Attributs!$Y$2:$Y$18)))*(SQRT(SUMSQ(Attributs!$DJ$2:$DJ$18)+SUMSQ(Attributs!$DK$2:$DK$18)))),0)</f>
        <v/>
      </c>
      <c r="BG13" s="2">
        <f>IFERROR((SUMPRODUCT(Attributs!$X$2:$X$18,Attributs!$DL$2:$DL$18)+SUMPRODUCT(Attributs!$Y$2:$Y$18,Attributs!$DM$2:$DM$18))/((SQRT(SUMSQ(Attributs!$X$2:$X$18)+SUMSQ(Attributs!$Y$2:$Y$18)))*(SQRT(SUMSQ(Attributs!$DL$2:$DL$18)+SUMSQ(Attributs!$DM$2:$DM$18)))),0)</f>
        <v/>
      </c>
      <c r="BH13" s="2">
        <f>IFERROR((SUMPRODUCT(Attributs!$X$2:$X$18,Attributs!$DN$2:$DN$18)+SUMPRODUCT(Attributs!$Y$2:$Y$18,Attributs!$DO$2:$DO$18))/((SQRT(SUMSQ(Attributs!$X$2:$X$18)+SUMSQ(Attributs!$Y$2:$Y$18)))*(SQRT(SUMSQ(Attributs!$DN$2:$DN$18)+SUMSQ(Attributs!$DO$2:$DO$18)))),0)</f>
        <v/>
      </c>
      <c r="BI13" s="2">
        <f>IFERROR((SUMPRODUCT(Attributs!$X$2:$X$18,Attributs!$DP$2:$DP$18)+SUMPRODUCT(Attributs!$Y$2:$Y$18,Attributs!$DQ$2:$DQ$18))/((SQRT(SUMSQ(Attributs!$X$2:$X$18)+SUMSQ(Attributs!$Y$2:$Y$18)))*(SQRT(SUMSQ(Attributs!$DP$2:$DP$18)+SUMSQ(Attributs!$DQ$2:$DQ$18)))),0)</f>
        <v/>
      </c>
      <c r="BJ13" s="2">
        <f>IFERROR((SUMPRODUCT(Attributs!$X$2:$X$18,Attributs!$DR$2:$DR$18)+SUMPRODUCT(Attributs!$Y$2:$Y$18,Attributs!$DS$2:$DS$18))/((SQRT(SUMSQ(Attributs!$X$2:$X$18)+SUMSQ(Attributs!$Y$2:$Y$18)))*(SQRT(SUMSQ(Attributs!$DR$2:$DR$18)+SUMSQ(Attributs!$DS$2:$DS$18)))),0)</f>
        <v/>
      </c>
      <c r="BK13" s="2">
        <f>IFERROR((SUMPRODUCT(Attributs!$X$2:$X$18,Attributs!$DT$2:$DT$18)+SUMPRODUCT(Attributs!$Y$2:$Y$18,Attributs!$DU$2:$DU$18))/((SQRT(SUMSQ(Attributs!$X$2:$X$18)+SUMSQ(Attributs!$Y$2:$Y$18)))*(SQRT(SUMSQ(Attributs!$DT$2:$DT$18)+SUMSQ(Attributs!$DU$2:$DU$18)))),0)</f>
        <v/>
      </c>
      <c r="BL13" s="2">
        <f>IFERROR((SUMPRODUCT(Attributs!$X$2:$X$18,Attributs!$DV$2:$DV$18)+SUMPRODUCT(Attributs!$Y$2:$Y$18,Attributs!$DW$2:$DW$18))/((SQRT(SUMSQ(Attributs!$X$2:$X$18)+SUMSQ(Attributs!$Y$2:$Y$18)))*(SQRT(SUMSQ(Attributs!$DV$2:$DV$18)+SUMSQ(Attributs!$DW$2:$DW$18)))),0)</f>
        <v/>
      </c>
    </row>
    <row r="14">
      <c r="A14" s="3" t="inlineStr">
        <is>
          <t>SE_mysql.Users.UpVotes</t>
        </is>
      </c>
      <c r="B14" s="2">
        <f>IFERROR((SUMPRODUCT(Attributs!$Z$2:$Z$18,Attributs!$B$2:$B$18)+SUMPRODUCT(Attributs!$AA$2:$AA$18,Attributs!$C$2:$C$18))/((SQRT(SUMSQ(Attributs!$Z$2:$Z$18)+SUMSQ(Attributs!$AA$2:$AA$18)))*(SQRT(SUMSQ(Attributs!$B$2:$B$18)+SUMSQ(Attributs!$C$2:$C$18)))),0)</f>
        <v/>
      </c>
      <c r="C14" s="2">
        <f>IFERROR((SUMPRODUCT(Attributs!$Z$2:$Z$18,Attributs!$D$2:$D$18)+SUMPRODUCT(Attributs!$AA$2:$AA$18,Attributs!$E$2:$E$18))/((SQRT(SUMSQ(Attributs!$Z$2:$Z$18)+SUMSQ(Attributs!$AA$2:$AA$18)))*(SQRT(SUMSQ(Attributs!$D$2:$D$18)+SUMSQ(Attributs!$E$2:$E$18)))),0)</f>
        <v/>
      </c>
      <c r="D14" s="2">
        <f>IFERROR((SUMPRODUCT(Attributs!$Z$2:$Z$18,Attributs!$F$2:$F$18)+SUMPRODUCT(Attributs!$AA$2:$AA$18,Attributs!$G$2:$G$18))/((SQRT(SUMSQ(Attributs!$Z$2:$Z$18)+SUMSQ(Attributs!$AA$2:$AA$18)))*(SQRT(SUMSQ(Attributs!$F$2:$F$18)+SUMSQ(Attributs!$G$2:$G$18)))),0)</f>
        <v/>
      </c>
      <c r="E14" s="2">
        <f>IFERROR((SUMPRODUCT(Attributs!$Z$2:$Z$18,Attributs!$H$2:$H$18)+SUMPRODUCT(Attributs!$AA$2:$AA$18,Attributs!$I$2:$I$18))/((SQRT(SUMSQ(Attributs!$Z$2:$Z$18)+SUMSQ(Attributs!$AA$2:$AA$18)))*(SQRT(SUMSQ(Attributs!$H$2:$H$18)+SUMSQ(Attributs!$I$2:$I$18)))),0)</f>
        <v/>
      </c>
      <c r="F14" s="2">
        <f>IFERROR((SUMPRODUCT(Attributs!$Z$2:$Z$18,Attributs!$J$2:$J$18)+SUMPRODUCT(Attributs!$AA$2:$AA$18,Attributs!$K$2:$K$18))/((SQRT(SUMSQ(Attributs!$Z$2:$Z$18)+SUMSQ(Attributs!$AA$2:$AA$18)))*(SQRT(SUMSQ(Attributs!$J$2:$J$18)+SUMSQ(Attributs!$K$2:$K$18)))),0)</f>
        <v/>
      </c>
      <c r="G14" s="2">
        <f>IFERROR((SUMPRODUCT(Attributs!$Z$2:$Z$18,Attributs!$L$2:$L$18)+SUMPRODUCT(Attributs!$AA$2:$AA$18,Attributs!$M$2:$M$18))/((SQRT(SUMSQ(Attributs!$Z$2:$Z$18)+SUMSQ(Attributs!$AA$2:$AA$18)))*(SQRT(SUMSQ(Attributs!$L$2:$L$18)+SUMSQ(Attributs!$M$2:$M$18)))),0)</f>
        <v/>
      </c>
      <c r="H14" s="2">
        <f>IFERROR((SUMPRODUCT(Attributs!$Z$2:$Z$18,Attributs!$N$2:$N$18)+SUMPRODUCT(Attributs!$AA$2:$AA$18,Attributs!$O$2:$O$18))/((SQRT(SUMSQ(Attributs!$Z$2:$Z$18)+SUMSQ(Attributs!$AA$2:$AA$18)))*(SQRT(SUMSQ(Attributs!$N$2:$N$18)+SUMSQ(Attributs!$O$2:$O$18)))),0)</f>
        <v/>
      </c>
      <c r="I14" s="2">
        <f>IFERROR((SUMPRODUCT(Attributs!$Z$2:$Z$18,Attributs!$P$2:$P$18)+SUMPRODUCT(Attributs!$AA$2:$AA$18,Attributs!$Q$2:$Q$18))/((SQRT(SUMSQ(Attributs!$Z$2:$Z$18)+SUMSQ(Attributs!$AA$2:$AA$18)))*(SQRT(SUMSQ(Attributs!$P$2:$P$18)+SUMSQ(Attributs!$Q$2:$Q$18)))),0)</f>
        <v/>
      </c>
      <c r="J14" s="2">
        <f>IFERROR((SUMPRODUCT(Attributs!$Z$2:$Z$18,Attributs!$R$2:$R$18)+SUMPRODUCT(Attributs!$AA$2:$AA$18,Attributs!$S$2:$S$18))/((SQRT(SUMSQ(Attributs!$Z$2:$Z$18)+SUMSQ(Attributs!$AA$2:$AA$18)))*(SQRT(SUMSQ(Attributs!$R$2:$R$18)+SUMSQ(Attributs!$S$2:$S$18)))),0)</f>
        <v/>
      </c>
      <c r="K14" s="2">
        <f>IFERROR((SUMPRODUCT(Attributs!$Z$2:$Z$18,Attributs!$T$2:$T$18)+SUMPRODUCT(Attributs!$AA$2:$AA$18,Attributs!$U$2:$U$18))/((SQRT(SUMSQ(Attributs!$Z$2:$Z$18)+SUMSQ(Attributs!$AA$2:$AA$18)))*(SQRT(SUMSQ(Attributs!$T$2:$T$18)+SUMSQ(Attributs!$U$2:$U$18)))),0)</f>
        <v/>
      </c>
      <c r="L14" s="2">
        <f>IFERROR((SUMPRODUCT(Attributs!$Z$2:$Z$18,Attributs!$V$2:$V$18)+SUMPRODUCT(Attributs!$AA$2:$AA$18,Attributs!$W$2:$W$18))/((SQRT(SUMSQ(Attributs!$Z$2:$Z$18)+SUMSQ(Attributs!$AA$2:$AA$18)))*(SQRT(SUMSQ(Attributs!$V$2:$V$18)+SUMSQ(Attributs!$W$2:$W$18)))),0)</f>
        <v/>
      </c>
      <c r="M14" s="2">
        <f>IFERROR((SUMPRODUCT(Attributs!$Z$2:$Z$18,Attributs!$X$2:$X$18)+SUMPRODUCT(Attributs!$AA$2:$AA$18,Attributs!$Y$2:$Y$18))/((SQRT(SUMSQ(Attributs!$Z$2:$Z$18)+SUMSQ(Attributs!$AA$2:$AA$18)))*(SQRT(SUMSQ(Attributs!$X$2:$X$18)+SUMSQ(Attributs!$Y$2:$Y$18)))),0)</f>
        <v/>
      </c>
      <c r="N14" s="2">
        <f>IFERROR((SUMPRODUCT(Attributs!$Z$2:$Z$18,Attributs!$Z$2:$Z$18)+SUMPRODUCT(Attributs!$AA$2:$AA$18,Attributs!$AA$2:$AA$18))/((SQRT(SUMSQ(Attributs!$Z$2:$Z$18)+SUMSQ(Attributs!$AA$2:$AA$18)))*(SQRT(SUMSQ(Attributs!$Z$2:$Z$18)+SUMSQ(Attributs!$AA$2:$AA$18)))),0)</f>
        <v/>
      </c>
      <c r="O14" s="2">
        <f>IFERROR((SUMPRODUCT(Attributs!$Z$2:$Z$18,Attributs!$AB$2:$AB$18)+SUMPRODUCT(Attributs!$AA$2:$AA$18,Attributs!$AC$2:$AC$18))/((SQRT(SUMSQ(Attributs!$Z$2:$Z$18)+SUMSQ(Attributs!$AA$2:$AA$18)))*(SQRT(SUMSQ(Attributs!$AB$2:$AB$18)+SUMSQ(Attributs!$AC$2:$AC$18)))),0)</f>
        <v/>
      </c>
      <c r="P14" s="2">
        <f>IFERROR((SUMPRODUCT(Attributs!$Z$2:$Z$18,Attributs!$AD$2:$AD$18)+SUMPRODUCT(Attributs!$AA$2:$AA$18,Attributs!$AE$2:$AE$18))/((SQRT(SUMSQ(Attributs!$Z$2:$Z$18)+SUMSQ(Attributs!$AA$2:$AA$18)))*(SQRT(SUMSQ(Attributs!$AD$2:$AD$18)+SUMSQ(Attributs!$AE$2:$AE$18)))),0)</f>
        <v/>
      </c>
      <c r="Q14" s="2">
        <f>IFERROR((SUMPRODUCT(Attributs!$Z$2:$Z$18,Attributs!$AF$2:$AF$18)+SUMPRODUCT(Attributs!$AA$2:$AA$18,Attributs!$AG$2:$AG$18))/((SQRT(SUMSQ(Attributs!$Z$2:$Z$18)+SUMSQ(Attributs!$AA$2:$AA$18)))*(SQRT(SUMSQ(Attributs!$AF$2:$AF$18)+SUMSQ(Attributs!$AG$2:$AG$18)))),0)</f>
        <v/>
      </c>
      <c r="R14" s="2">
        <f>IFERROR((SUMPRODUCT(Attributs!$Z$2:$Z$18,Attributs!$AH$2:$AH$18)+SUMPRODUCT(Attributs!$AA$2:$AA$18,Attributs!$AI$2:$AI$18))/((SQRT(SUMSQ(Attributs!$Z$2:$Z$18)+SUMSQ(Attributs!$AA$2:$AA$18)))*(SQRT(SUMSQ(Attributs!$AH$2:$AH$18)+SUMSQ(Attributs!$AI$2:$AI$18)))),0)</f>
        <v/>
      </c>
      <c r="S14" s="2">
        <f>IFERROR((SUMPRODUCT(Attributs!$Z$2:$Z$18,Attributs!$AJ$2:$AJ$18)+SUMPRODUCT(Attributs!$AA$2:$AA$18,Attributs!$AK$2:$AK$18))/((SQRT(SUMSQ(Attributs!$Z$2:$Z$18)+SUMSQ(Attributs!$AA$2:$AA$18)))*(SQRT(SUMSQ(Attributs!$AJ$2:$AJ$18)+SUMSQ(Attributs!$AK$2:$AK$18)))),0)</f>
        <v/>
      </c>
      <c r="T14" s="2">
        <f>IFERROR((SUMPRODUCT(Attributs!$Z$2:$Z$18,Attributs!$AL$2:$AL$18)+SUMPRODUCT(Attributs!$AA$2:$AA$18,Attributs!$AM$2:$AM$18))/((SQRT(SUMSQ(Attributs!$Z$2:$Z$18)+SUMSQ(Attributs!$AA$2:$AA$18)))*(SQRT(SUMSQ(Attributs!$AL$2:$AL$18)+SUMSQ(Attributs!$AM$2:$AM$18)))),0)</f>
        <v/>
      </c>
      <c r="U14" s="2">
        <f>IFERROR((SUMPRODUCT(Attributs!$Z$2:$Z$18,Attributs!$AN$2:$AN$18)+SUMPRODUCT(Attributs!$AA$2:$AA$18,Attributs!$AO$2:$AO$18))/((SQRT(SUMSQ(Attributs!$Z$2:$Z$18)+SUMSQ(Attributs!$AA$2:$AA$18)))*(SQRT(SUMSQ(Attributs!$AN$2:$AN$18)+SUMSQ(Attributs!$AO$2:$AO$18)))),0)</f>
        <v/>
      </c>
      <c r="V14" s="2">
        <f>IFERROR((SUMPRODUCT(Attributs!$Z$2:$Z$18,Attributs!$AP$2:$AP$18)+SUMPRODUCT(Attributs!$AA$2:$AA$18,Attributs!$AQ$2:$AQ$18))/((SQRT(SUMSQ(Attributs!$Z$2:$Z$18)+SUMSQ(Attributs!$AA$2:$AA$18)))*(SQRT(SUMSQ(Attributs!$AP$2:$AP$18)+SUMSQ(Attributs!$AQ$2:$AQ$18)))),0)</f>
        <v/>
      </c>
      <c r="W14" s="2">
        <f>IFERROR((SUMPRODUCT(Attributs!$Z$2:$Z$18,Attributs!$AR$2:$AR$18)+SUMPRODUCT(Attributs!$AA$2:$AA$18,Attributs!$AS$2:$AS$18))/((SQRT(SUMSQ(Attributs!$Z$2:$Z$18)+SUMSQ(Attributs!$AA$2:$AA$18)))*(SQRT(SUMSQ(Attributs!$AR$2:$AR$18)+SUMSQ(Attributs!$AS$2:$AS$18)))),0)</f>
        <v/>
      </c>
      <c r="X14" s="2">
        <f>IFERROR((SUMPRODUCT(Attributs!$Z$2:$Z$18,Attributs!$AT$2:$AT$18)+SUMPRODUCT(Attributs!$AA$2:$AA$18,Attributs!$AU$2:$AU$18))/((SQRT(SUMSQ(Attributs!$Z$2:$Z$18)+SUMSQ(Attributs!$AA$2:$AA$18)))*(SQRT(SUMSQ(Attributs!$AT$2:$AT$18)+SUMSQ(Attributs!$AU$2:$AU$18)))),0)</f>
        <v/>
      </c>
      <c r="Y14" s="2">
        <f>IFERROR((SUMPRODUCT(Attributs!$Z$2:$Z$18,Attributs!$AV$2:$AV$18)+SUMPRODUCT(Attributs!$AA$2:$AA$18,Attributs!$AW$2:$AW$18))/((SQRT(SUMSQ(Attributs!$Z$2:$Z$18)+SUMSQ(Attributs!$AA$2:$AA$18)))*(SQRT(SUMSQ(Attributs!$AV$2:$AV$18)+SUMSQ(Attributs!$AW$2:$AW$18)))),0)</f>
        <v/>
      </c>
      <c r="Z14" s="2">
        <f>IFERROR((SUMPRODUCT(Attributs!$Z$2:$Z$18,Attributs!$AX$2:$AX$18)+SUMPRODUCT(Attributs!$AA$2:$AA$18,Attributs!$AY$2:$AY$18))/((SQRT(SUMSQ(Attributs!$Z$2:$Z$18)+SUMSQ(Attributs!$AA$2:$AA$18)))*(SQRT(SUMSQ(Attributs!$AX$2:$AX$18)+SUMSQ(Attributs!$AY$2:$AY$18)))),0)</f>
        <v/>
      </c>
      <c r="AA14" s="2">
        <f>IFERROR((SUMPRODUCT(Attributs!$Z$2:$Z$18,Attributs!$AZ$2:$AZ$18)+SUMPRODUCT(Attributs!$AA$2:$AA$18,Attributs!$BA$2:$BA$18))/((SQRT(SUMSQ(Attributs!$Z$2:$Z$18)+SUMSQ(Attributs!$AA$2:$AA$18)))*(SQRT(SUMSQ(Attributs!$AZ$2:$AZ$18)+SUMSQ(Attributs!$BA$2:$BA$18)))),0)</f>
        <v/>
      </c>
      <c r="AB14" s="2">
        <f>IFERROR((SUMPRODUCT(Attributs!$Z$2:$Z$18,Attributs!$BB$2:$BB$18)+SUMPRODUCT(Attributs!$AA$2:$AA$18,Attributs!$BC$2:$BC$18))/((SQRT(SUMSQ(Attributs!$Z$2:$Z$18)+SUMSQ(Attributs!$AA$2:$AA$18)))*(SQRT(SUMSQ(Attributs!$BB$2:$BB$18)+SUMSQ(Attributs!$BC$2:$BC$18)))),0)</f>
        <v/>
      </c>
      <c r="AC14" s="2">
        <f>IFERROR((SUMPRODUCT(Attributs!$Z$2:$Z$18,Attributs!$BD$2:$BD$18)+SUMPRODUCT(Attributs!$AA$2:$AA$18,Attributs!$BE$2:$BE$18))/((SQRT(SUMSQ(Attributs!$Z$2:$Z$18)+SUMSQ(Attributs!$AA$2:$AA$18)))*(SQRT(SUMSQ(Attributs!$BD$2:$BD$18)+SUMSQ(Attributs!$BE$2:$BE$18)))),0)</f>
        <v/>
      </c>
      <c r="AD14" s="2">
        <f>IFERROR((SUMPRODUCT(Attributs!$Z$2:$Z$18,Attributs!$BF$2:$BF$18)+SUMPRODUCT(Attributs!$AA$2:$AA$18,Attributs!$BG$2:$BG$18))/((SQRT(SUMSQ(Attributs!$Z$2:$Z$18)+SUMSQ(Attributs!$AA$2:$AA$18)))*(SQRT(SUMSQ(Attributs!$BF$2:$BF$18)+SUMSQ(Attributs!$BG$2:$BG$18)))),0)</f>
        <v/>
      </c>
      <c r="AE14" s="2">
        <f>IFERROR((SUMPRODUCT(Attributs!$Z$2:$Z$18,Attributs!$BH$2:$BH$18)+SUMPRODUCT(Attributs!$AA$2:$AA$18,Attributs!$BI$2:$BI$18))/((SQRT(SUMSQ(Attributs!$Z$2:$Z$18)+SUMSQ(Attributs!$AA$2:$AA$18)))*(SQRT(SUMSQ(Attributs!$BH$2:$BH$18)+SUMSQ(Attributs!$BI$2:$BI$18)))),0)</f>
        <v/>
      </c>
      <c r="AF14" s="2">
        <f>IFERROR((SUMPRODUCT(Attributs!$Z$2:$Z$18,Attributs!$BJ$2:$BJ$18)+SUMPRODUCT(Attributs!$AA$2:$AA$18,Attributs!$BK$2:$BK$18))/((SQRT(SUMSQ(Attributs!$Z$2:$Z$18)+SUMSQ(Attributs!$AA$2:$AA$18)))*(SQRT(SUMSQ(Attributs!$BJ$2:$BJ$18)+SUMSQ(Attributs!$BK$2:$BK$18)))),0)</f>
        <v/>
      </c>
      <c r="AG14" s="2">
        <f>IFERROR((SUMPRODUCT(Attributs!$Z$2:$Z$18,Attributs!$BL$2:$BL$18)+SUMPRODUCT(Attributs!$AA$2:$AA$18,Attributs!$BM$2:$BM$18))/((SQRT(SUMSQ(Attributs!$Z$2:$Z$18)+SUMSQ(Attributs!$AA$2:$AA$18)))*(SQRT(SUMSQ(Attributs!$BL$2:$BL$18)+SUMSQ(Attributs!$BM$2:$BM$18)))),0)</f>
        <v/>
      </c>
      <c r="AH14" s="2">
        <f>IFERROR((SUMPRODUCT(Attributs!$Z$2:$Z$18,Attributs!$BN$2:$BN$18)+SUMPRODUCT(Attributs!$AA$2:$AA$18,Attributs!$BO$2:$BO$18))/((SQRT(SUMSQ(Attributs!$Z$2:$Z$18)+SUMSQ(Attributs!$AA$2:$AA$18)))*(SQRT(SUMSQ(Attributs!$BN$2:$BN$18)+SUMSQ(Attributs!$BO$2:$BO$18)))),0)</f>
        <v/>
      </c>
      <c r="AI14" s="2">
        <f>IFERROR((SUMPRODUCT(Attributs!$Z$2:$Z$18,Attributs!$BP$2:$BP$18)+SUMPRODUCT(Attributs!$AA$2:$AA$18,Attributs!$BQ$2:$BQ$18))/((SQRT(SUMSQ(Attributs!$Z$2:$Z$18)+SUMSQ(Attributs!$AA$2:$AA$18)))*(SQRT(SUMSQ(Attributs!$BP$2:$BP$18)+SUMSQ(Attributs!$BQ$2:$BQ$18)))),0)</f>
        <v/>
      </c>
      <c r="AJ14" s="2">
        <f>IFERROR((SUMPRODUCT(Attributs!$Z$2:$Z$18,Attributs!$BR$2:$BR$18)+SUMPRODUCT(Attributs!$AA$2:$AA$18,Attributs!$BS$2:$BS$18))/((SQRT(SUMSQ(Attributs!$Z$2:$Z$18)+SUMSQ(Attributs!$AA$2:$AA$18)))*(SQRT(SUMSQ(Attributs!$BR$2:$BR$18)+SUMSQ(Attributs!$BS$2:$BS$18)))),0)</f>
        <v/>
      </c>
      <c r="AK14" s="2">
        <f>IFERROR((SUMPRODUCT(Attributs!$Z$2:$Z$18,Attributs!$BT$2:$BT$18)+SUMPRODUCT(Attributs!$AA$2:$AA$18,Attributs!$BU$2:$BU$18))/((SQRT(SUMSQ(Attributs!$Z$2:$Z$18)+SUMSQ(Attributs!$AA$2:$AA$18)))*(SQRT(SUMSQ(Attributs!$BT$2:$BT$18)+SUMSQ(Attributs!$BU$2:$BU$18)))),0)</f>
        <v/>
      </c>
      <c r="AL14" s="2">
        <f>IFERROR((SUMPRODUCT(Attributs!$Z$2:$Z$18,Attributs!$BV$2:$BV$18)+SUMPRODUCT(Attributs!$AA$2:$AA$18,Attributs!$BW$2:$BW$18))/((SQRT(SUMSQ(Attributs!$Z$2:$Z$18)+SUMSQ(Attributs!$AA$2:$AA$18)))*(SQRT(SUMSQ(Attributs!$BV$2:$BV$18)+SUMSQ(Attributs!$BW$2:$BW$18)))),0)</f>
        <v/>
      </c>
      <c r="AM14" s="2">
        <f>IFERROR((SUMPRODUCT(Attributs!$Z$2:$Z$18,Attributs!$BX$2:$BX$18)+SUMPRODUCT(Attributs!$AA$2:$AA$18,Attributs!$BY$2:$BY$18))/((SQRT(SUMSQ(Attributs!$Z$2:$Z$18)+SUMSQ(Attributs!$AA$2:$AA$18)))*(SQRT(SUMSQ(Attributs!$BX$2:$BX$18)+SUMSQ(Attributs!$BY$2:$BY$18)))),0)</f>
        <v/>
      </c>
      <c r="AN14" s="2">
        <f>IFERROR((SUMPRODUCT(Attributs!$Z$2:$Z$18,Attributs!$BZ$2:$BZ$18)+SUMPRODUCT(Attributs!$AA$2:$AA$18,Attributs!$CA$2:$CA$18))/((SQRT(SUMSQ(Attributs!$Z$2:$Z$18)+SUMSQ(Attributs!$AA$2:$AA$18)))*(SQRT(SUMSQ(Attributs!$BZ$2:$BZ$18)+SUMSQ(Attributs!$CA$2:$CA$18)))),0)</f>
        <v/>
      </c>
      <c r="AO14" s="2">
        <f>IFERROR((SUMPRODUCT(Attributs!$Z$2:$Z$18,Attributs!$CB$2:$CB$18)+SUMPRODUCT(Attributs!$AA$2:$AA$18,Attributs!$CC$2:$CC$18))/((SQRT(SUMSQ(Attributs!$Z$2:$Z$18)+SUMSQ(Attributs!$AA$2:$AA$18)))*(SQRT(SUMSQ(Attributs!$CB$2:$CB$18)+SUMSQ(Attributs!$CC$2:$CC$18)))),0)</f>
        <v/>
      </c>
      <c r="AP14" s="2">
        <f>IFERROR((SUMPRODUCT(Attributs!$Z$2:$Z$18,Attributs!$CD$2:$CD$18)+SUMPRODUCT(Attributs!$AA$2:$AA$18,Attributs!$CE$2:$CE$18))/((SQRT(SUMSQ(Attributs!$Z$2:$Z$18)+SUMSQ(Attributs!$AA$2:$AA$18)))*(SQRT(SUMSQ(Attributs!$CD$2:$CD$18)+SUMSQ(Attributs!$CE$2:$CE$18)))),0)</f>
        <v/>
      </c>
      <c r="AQ14" s="2">
        <f>IFERROR((SUMPRODUCT(Attributs!$Z$2:$Z$18,Attributs!$CF$2:$CF$18)+SUMPRODUCT(Attributs!$AA$2:$AA$18,Attributs!$CG$2:$CG$18))/((SQRT(SUMSQ(Attributs!$Z$2:$Z$18)+SUMSQ(Attributs!$AA$2:$AA$18)))*(SQRT(SUMSQ(Attributs!$CF$2:$CF$18)+SUMSQ(Attributs!$CG$2:$CG$18)))),0)</f>
        <v/>
      </c>
      <c r="AR14" s="2">
        <f>IFERROR((SUMPRODUCT(Attributs!$Z$2:$Z$18,Attributs!$CH$2:$CH$18)+SUMPRODUCT(Attributs!$AA$2:$AA$18,Attributs!$CI$2:$CI$18))/((SQRT(SUMSQ(Attributs!$Z$2:$Z$18)+SUMSQ(Attributs!$AA$2:$AA$18)))*(SQRT(SUMSQ(Attributs!$CH$2:$CH$18)+SUMSQ(Attributs!$CI$2:$CI$18)))),0)</f>
        <v/>
      </c>
      <c r="AS14" s="2">
        <f>IFERROR((SUMPRODUCT(Attributs!$Z$2:$Z$18,Attributs!$CJ$2:$CJ$18)+SUMPRODUCT(Attributs!$AA$2:$AA$18,Attributs!$CK$2:$CK$18))/((SQRT(SUMSQ(Attributs!$Z$2:$Z$18)+SUMSQ(Attributs!$AA$2:$AA$18)))*(SQRT(SUMSQ(Attributs!$CJ$2:$CJ$18)+SUMSQ(Attributs!$CK$2:$CK$18)))),0)</f>
        <v/>
      </c>
      <c r="AT14" s="2">
        <f>IFERROR((SUMPRODUCT(Attributs!$Z$2:$Z$18,Attributs!$CL$2:$CL$18)+SUMPRODUCT(Attributs!$AA$2:$AA$18,Attributs!$CM$2:$CM$18))/((SQRT(SUMSQ(Attributs!$Z$2:$Z$18)+SUMSQ(Attributs!$AA$2:$AA$18)))*(SQRT(SUMSQ(Attributs!$CL$2:$CL$18)+SUMSQ(Attributs!$CM$2:$CM$18)))),0)</f>
        <v/>
      </c>
      <c r="AU14" s="2">
        <f>IFERROR((SUMPRODUCT(Attributs!$Z$2:$Z$18,Attributs!$CN$2:$CN$18)+SUMPRODUCT(Attributs!$AA$2:$AA$18,Attributs!$CO$2:$CO$18))/((SQRT(SUMSQ(Attributs!$Z$2:$Z$18)+SUMSQ(Attributs!$AA$2:$AA$18)))*(SQRT(SUMSQ(Attributs!$CN$2:$CN$18)+SUMSQ(Attributs!$CO$2:$CO$18)))),0)</f>
        <v/>
      </c>
      <c r="AV14" s="2">
        <f>IFERROR((SUMPRODUCT(Attributs!$Z$2:$Z$18,Attributs!$CP$2:$CP$18)+SUMPRODUCT(Attributs!$AA$2:$AA$18,Attributs!$CQ$2:$CQ$18))/((SQRT(SUMSQ(Attributs!$Z$2:$Z$18)+SUMSQ(Attributs!$AA$2:$AA$18)))*(SQRT(SUMSQ(Attributs!$CP$2:$CP$18)+SUMSQ(Attributs!$CQ$2:$CQ$18)))),0)</f>
        <v/>
      </c>
      <c r="AW14" s="2">
        <f>IFERROR((SUMPRODUCT(Attributs!$Z$2:$Z$18,Attributs!$CR$2:$CR$18)+SUMPRODUCT(Attributs!$AA$2:$AA$18,Attributs!$CS$2:$CS$18))/((SQRT(SUMSQ(Attributs!$Z$2:$Z$18)+SUMSQ(Attributs!$AA$2:$AA$18)))*(SQRT(SUMSQ(Attributs!$CR$2:$CR$18)+SUMSQ(Attributs!$CS$2:$CS$18)))),0)</f>
        <v/>
      </c>
      <c r="AX14" s="2">
        <f>IFERROR((SUMPRODUCT(Attributs!$Z$2:$Z$18,Attributs!$CT$2:$CT$18)+SUMPRODUCT(Attributs!$AA$2:$AA$18,Attributs!$CU$2:$CU$18))/((SQRT(SUMSQ(Attributs!$Z$2:$Z$18)+SUMSQ(Attributs!$AA$2:$AA$18)))*(SQRT(SUMSQ(Attributs!$CT$2:$CT$18)+SUMSQ(Attributs!$CU$2:$CU$18)))),0)</f>
        <v/>
      </c>
      <c r="AY14" s="2">
        <f>IFERROR((SUMPRODUCT(Attributs!$Z$2:$Z$18,Attributs!$CV$2:$CV$18)+SUMPRODUCT(Attributs!$AA$2:$AA$18,Attributs!$CW$2:$CW$18))/((SQRT(SUMSQ(Attributs!$Z$2:$Z$18)+SUMSQ(Attributs!$AA$2:$AA$18)))*(SQRT(SUMSQ(Attributs!$CV$2:$CV$18)+SUMSQ(Attributs!$CW$2:$CW$18)))),0)</f>
        <v/>
      </c>
      <c r="AZ14" s="2">
        <f>IFERROR((SUMPRODUCT(Attributs!$Z$2:$Z$18,Attributs!$CX$2:$CX$18)+SUMPRODUCT(Attributs!$AA$2:$AA$18,Attributs!$CY$2:$CY$18))/((SQRT(SUMSQ(Attributs!$Z$2:$Z$18)+SUMSQ(Attributs!$AA$2:$AA$18)))*(SQRT(SUMSQ(Attributs!$CX$2:$CX$18)+SUMSQ(Attributs!$CY$2:$CY$18)))),0)</f>
        <v/>
      </c>
      <c r="BA14" s="2">
        <f>IFERROR((SUMPRODUCT(Attributs!$Z$2:$Z$18,Attributs!$CZ$2:$CZ$18)+SUMPRODUCT(Attributs!$AA$2:$AA$18,Attributs!$DA$2:$DA$18))/((SQRT(SUMSQ(Attributs!$Z$2:$Z$18)+SUMSQ(Attributs!$AA$2:$AA$18)))*(SQRT(SUMSQ(Attributs!$CZ$2:$CZ$18)+SUMSQ(Attributs!$DA$2:$DA$18)))),0)</f>
        <v/>
      </c>
      <c r="BB14" s="2">
        <f>IFERROR((SUMPRODUCT(Attributs!$Z$2:$Z$18,Attributs!$DB$2:$DB$18)+SUMPRODUCT(Attributs!$AA$2:$AA$18,Attributs!$DC$2:$DC$18))/((SQRT(SUMSQ(Attributs!$Z$2:$Z$18)+SUMSQ(Attributs!$AA$2:$AA$18)))*(SQRT(SUMSQ(Attributs!$DB$2:$DB$18)+SUMSQ(Attributs!$DC$2:$DC$18)))),0)</f>
        <v/>
      </c>
      <c r="BC14" s="2">
        <f>IFERROR((SUMPRODUCT(Attributs!$Z$2:$Z$18,Attributs!$DD$2:$DD$18)+SUMPRODUCT(Attributs!$AA$2:$AA$18,Attributs!$DE$2:$DE$18))/((SQRT(SUMSQ(Attributs!$Z$2:$Z$18)+SUMSQ(Attributs!$AA$2:$AA$18)))*(SQRT(SUMSQ(Attributs!$DD$2:$DD$18)+SUMSQ(Attributs!$DE$2:$DE$18)))),0)</f>
        <v/>
      </c>
      <c r="BD14" s="2">
        <f>IFERROR((SUMPRODUCT(Attributs!$Z$2:$Z$18,Attributs!$DF$2:$DF$18)+SUMPRODUCT(Attributs!$AA$2:$AA$18,Attributs!$DG$2:$DG$18))/((SQRT(SUMSQ(Attributs!$Z$2:$Z$18)+SUMSQ(Attributs!$AA$2:$AA$18)))*(SQRT(SUMSQ(Attributs!$DF$2:$DF$18)+SUMSQ(Attributs!$DG$2:$DG$18)))),0)</f>
        <v/>
      </c>
      <c r="BE14" s="2">
        <f>IFERROR((SUMPRODUCT(Attributs!$Z$2:$Z$18,Attributs!$DH$2:$DH$18)+SUMPRODUCT(Attributs!$AA$2:$AA$18,Attributs!$DI$2:$DI$18))/((SQRT(SUMSQ(Attributs!$Z$2:$Z$18)+SUMSQ(Attributs!$AA$2:$AA$18)))*(SQRT(SUMSQ(Attributs!$DH$2:$DH$18)+SUMSQ(Attributs!$DI$2:$DI$18)))),0)</f>
        <v/>
      </c>
      <c r="BF14" s="2">
        <f>IFERROR((SUMPRODUCT(Attributs!$Z$2:$Z$18,Attributs!$DJ$2:$DJ$18)+SUMPRODUCT(Attributs!$AA$2:$AA$18,Attributs!$DK$2:$DK$18))/((SQRT(SUMSQ(Attributs!$Z$2:$Z$18)+SUMSQ(Attributs!$AA$2:$AA$18)))*(SQRT(SUMSQ(Attributs!$DJ$2:$DJ$18)+SUMSQ(Attributs!$DK$2:$DK$18)))),0)</f>
        <v/>
      </c>
      <c r="BG14" s="2">
        <f>IFERROR((SUMPRODUCT(Attributs!$Z$2:$Z$18,Attributs!$DL$2:$DL$18)+SUMPRODUCT(Attributs!$AA$2:$AA$18,Attributs!$DM$2:$DM$18))/((SQRT(SUMSQ(Attributs!$Z$2:$Z$18)+SUMSQ(Attributs!$AA$2:$AA$18)))*(SQRT(SUMSQ(Attributs!$DL$2:$DL$18)+SUMSQ(Attributs!$DM$2:$DM$18)))),0)</f>
        <v/>
      </c>
      <c r="BH14" s="2">
        <f>IFERROR((SUMPRODUCT(Attributs!$Z$2:$Z$18,Attributs!$DN$2:$DN$18)+SUMPRODUCT(Attributs!$AA$2:$AA$18,Attributs!$DO$2:$DO$18))/((SQRT(SUMSQ(Attributs!$Z$2:$Z$18)+SUMSQ(Attributs!$AA$2:$AA$18)))*(SQRT(SUMSQ(Attributs!$DN$2:$DN$18)+SUMSQ(Attributs!$DO$2:$DO$18)))),0)</f>
        <v/>
      </c>
      <c r="BI14" s="2">
        <f>IFERROR((SUMPRODUCT(Attributs!$Z$2:$Z$18,Attributs!$DP$2:$DP$18)+SUMPRODUCT(Attributs!$AA$2:$AA$18,Attributs!$DQ$2:$DQ$18))/((SQRT(SUMSQ(Attributs!$Z$2:$Z$18)+SUMSQ(Attributs!$AA$2:$AA$18)))*(SQRT(SUMSQ(Attributs!$DP$2:$DP$18)+SUMSQ(Attributs!$DQ$2:$DQ$18)))),0)</f>
        <v/>
      </c>
      <c r="BJ14" s="2">
        <f>IFERROR((SUMPRODUCT(Attributs!$Z$2:$Z$18,Attributs!$DR$2:$DR$18)+SUMPRODUCT(Attributs!$AA$2:$AA$18,Attributs!$DS$2:$DS$18))/((SQRT(SUMSQ(Attributs!$Z$2:$Z$18)+SUMSQ(Attributs!$AA$2:$AA$18)))*(SQRT(SUMSQ(Attributs!$DR$2:$DR$18)+SUMSQ(Attributs!$DS$2:$DS$18)))),0)</f>
        <v/>
      </c>
      <c r="BK14" s="2">
        <f>IFERROR((SUMPRODUCT(Attributs!$Z$2:$Z$18,Attributs!$DT$2:$DT$18)+SUMPRODUCT(Attributs!$AA$2:$AA$18,Attributs!$DU$2:$DU$18))/((SQRT(SUMSQ(Attributs!$Z$2:$Z$18)+SUMSQ(Attributs!$AA$2:$AA$18)))*(SQRT(SUMSQ(Attributs!$DT$2:$DT$18)+SUMSQ(Attributs!$DU$2:$DU$18)))),0)</f>
        <v/>
      </c>
      <c r="BL14" s="2">
        <f>IFERROR((SUMPRODUCT(Attributs!$Z$2:$Z$18,Attributs!$DV$2:$DV$18)+SUMPRODUCT(Attributs!$AA$2:$AA$18,Attributs!$DW$2:$DW$18))/((SQRT(SUMSQ(Attributs!$Z$2:$Z$18)+SUMSQ(Attributs!$AA$2:$AA$18)))*(SQRT(SUMSQ(Attributs!$DV$2:$DV$18)+SUMSQ(Attributs!$DW$2:$DW$18)))),0)</f>
        <v/>
      </c>
    </row>
    <row r="15">
      <c r="A15" s="3" t="inlineStr">
        <is>
          <t>SE_mysql.Users.DisplayName</t>
        </is>
      </c>
      <c r="B15" s="2">
        <f>IFERROR((SUMPRODUCT(Attributs!$AB$2:$AB$18,Attributs!$B$2:$B$18)+SUMPRODUCT(Attributs!$AC$2:$AC$18,Attributs!$C$2:$C$18))/((SQRT(SUMSQ(Attributs!$AB$2:$AB$18)+SUMSQ(Attributs!$AC$2:$AC$18)))*(SQRT(SUMSQ(Attributs!$B$2:$B$18)+SUMSQ(Attributs!$C$2:$C$18)))),0)</f>
        <v/>
      </c>
      <c r="C15" s="2">
        <f>IFERROR((SUMPRODUCT(Attributs!$AB$2:$AB$18,Attributs!$D$2:$D$18)+SUMPRODUCT(Attributs!$AC$2:$AC$18,Attributs!$E$2:$E$18))/((SQRT(SUMSQ(Attributs!$AB$2:$AB$18)+SUMSQ(Attributs!$AC$2:$AC$18)))*(SQRT(SUMSQ(Attributs!$D$2:$D$18)+SUMSQ(Attributs!$E$2:$E$18)))),0)</f>
        <v/>
      </c>
      <c r="D15" s="2">
        <f>IFERROR((SUMPRODUCT(Attributs!$AB$2:$AB$18,Attributs!$F$2:$F$18)+SUMPRODUCT(Attributs!$AC$2:$AC$18,Attributs!$G$2:$G$18))/((SQRT(SUMSQ(Attributs!$AB$2:$AB$18)+SUMSQ(Attributs!$AC$2:$AC$18)))*(SQRT(SUMSQ(Attributs!$F$2:$F$18)+SUMSQ(Attributs!$G$2:$G$18)))),0)</f>
        <v/>
      </c>
      <c r="E15" s="2">
        <f>IFERROR((SUMPRODUCT(Attributs!$AB$2:$AB$18,Attributs!$H$2:$H$18)+SUMPRODUCT(Attributs!$AC$2:$AC$18,Attributs!$I$2:$I$18))/((SQRT(SUMSQ(Attributs!$AB$2:$AB$18)+SUMSQ(Attributs!$AC$2:$AC$18)))*(SQRT(SUMSQ(Attributs!$H$2:$H$18)+SUMSQ(Attributs!$I$2:$I$18)))),0)</f>
        <v/>
      </c>
      <c r="F15" s="2">
        <f>IFERROR((SUMPRODUCT(Attributs!$AB$2:$AB$18,Attributs!$J$2:$J$18)+SUMPRODUCT(Attributs!$AC$2:$AC$18,Attributs!$K$2:$K$18))/((SQRT(SUMSQ(Attributs!$AB$2:$AB$18)+SUMSQ(Attributs!$AC$2:$AC$18)))*(SQRT(SUMSQ(Attributs!$J$2:$J$18)+SUMSQ(Attributs!$K$2:$K$18)))),0)</f>
        <v/>
      </c>
      <c r="G15" s="2">
        <f>IFERROR((SUMPRODUCT(Attributs!$AB$2:$AB$18,Attributs!$L$2:$L$18)+SUMPRODUCT(Attributs!$AC$2:$AC$18,Attributs!$M$2:$M$18))/((SQRT(SUMSQ(Attributs!$AB$2:$AB$18)+SUMSQ(Attributs!$AC$2:$AC$18)))*(SQRT(SUMSQ(Attributs!$L$2:$L$18)+SUMSQ(Attributs!$M$2:$M$18)))),0)</f>
        <v/>
      </c>
      <c r="H15" s="2">
        <f>IFERROR((SUMPRODUCT(Attributs!$AB$2:$AB$18,Attributs!$N$2:$N$18)+SUMPRODUCT(Attributs!$AC$2:$AC$18,Attributs!$O$2:$O$18))/((SQRT(SUMSQ(Attributs!$AB$2:$AB$18)+SUMSQ(Attributs!$AC$2:$AC$18)))*(SQRT(SUMSQ(Attributs!$N$2:$N$18)+SUMSQ(Attributs!$O$2:$O$18)))),0)</f>
        <v/>
      </c>
      <c r="I15" s="2">
        <f>IFERROR((SUMPRODUCT(Attributs!$AB$2:$AB$18,Attributs!$P$2:$P$18)+SUMPRODUCT(Attributs!$AC$2:$AC$18,Attributs!$Q$2:$Q$18))/((SQRT(SUMSQ(Attributs!$AB$2:$AB$18)+SUMSQ(Attributs!$AC$2:$AC$18)))*(SQRT(SUMSQ(Attributs!$P$2:$P$18)+SUMSQ(Attributs!$Q$2:$Q$18)))),0)</f>
        <v/>
      </c>
      <c r="J15" s="2">
        <f>IFERROR((SUMPRODUCT(Attributs!$AB$2:$AB$18,Attributs!$R$2:$R$18)+SUMPRODUCT(Attributs!$AC$2:$AC$18,Attributs!$S$2:$S$18))/((SQRT(SUMSQ(Attributs!$AB$2:$AB$18)+SUMSQ(Attributs!$AC$2:$AC$18)))*(SQRT(SUMSQ(Attributs!$R$2:$R$18)+SUMSQ(Attributs!$S$2:$S$18)))),0)</f>
        <v/>
      </c>
      <c r="K15" s="2">
        <f>IFERROR((SUMPRODUCT(Attributs!$AB$2:$AB$18,Attributs!$T$2:$T$18)+SUMPRODUCT(Attributs!$AC$2:$AC$18,Attributs!$U$2:$U$18))/((SQRT(SUMSQ(Attributs!$AB$2:$AB$18)+SUMSQ(Attributs!$AC$2:$AC$18)))*(SQRT(SUMSQ(Attributs!$T$2:$T$18)+SUMSQ(Attributs!$U$2:$U$18)))),0)</f>
        <v/>
      </c>
      <c r="L15" s="2">
        <f>IFERROR((SUMPRODUCT(Attributs!$AB$2:$AB$18,Attributs!$V$2:$V$18)+SUMPRODUCT(Attributs!$AC$2:$AC$18,Attributs!$W$2:$W$18))/((SQRT(SUMSQ(Attributs!$AB$2:$AB$18)+SUMSQ(Attributs!$AC$2:$AC$18)))*(SQRT(SUMSQ(Attributs!$V$2:$V$18)+SUMSQ(Attributs!$W$2:$W$18)))),0)</f>
        <v/>
      </c>
      <c r="M15" s="2">
        <f>IFERROR((SUMPRODUCT(Attributs!$AB$2:$AB$18,Attributs!$X$2:$X$18)+SUMPRODUCT(Attributs!$AC$2:$AC$18,Attributs!$Y$2:$Y$18))/((SQRT(SUMSQ(Attributs!$AB$2:$AB$18)+SUMSQ(Attributs!$AC$2:$AC$18)))*(SQRT(SUMSQ(Attributs!$X$2:$X$18)+SUMSQ(Attributs!$Y$2:$Y$18)))),0)</f>
        <v/>
      </c>
      <c r="N15" s="2">
        <f>IFERROR((SUMPRODUCT(Attributs!$AB$2:$AB$18,Attributs!$Z$2:$Z$18)+SUMPRODUCT(Attributs!$AC$2:$AC$18,Attributs!$AA$2:$AA$18))/((SQRT(SUMSQ(Attributs!$AB$2:$AB$18)+SUMSQ(Attributs!$AC$2:$AC$18)))*(SQRT(SUMSQ(Attributs!$Z$2:$Z$18)+SUMSQ(Attributs!$AA$2:$AA$18)))),0)</f>
        <v/>
      </c>
      <c r="O15" s="2">
        <f>IFERROR((SUMPRODUCT(Attributs!$AB$2:$AB$18,Attributs!$AB$2:$AB$18)+SUMPRODUCT(Attributs!$AC$2:$AC$18,Attributs!$AC$2:$AC$18))/((SQRT(SUMSQ(Attributs!$AB$2:$AB$18)+SUMSQ(Attributs!$AC$2:$AC$18)))*(SQRT(SUMSQ(Attributs!$AB$2:$AB$18)+SUMSQ(Attributs!$AC$2:$AC$18)))),0)</f>
        <v/>
      </c>
      <c r="P15" s="2">
        <f>IFERROR((SUMPRODUCT(Attributs!$AB$2:$AB$18,Attributs!$AD$2:$AD$18)+SUMPRODUCT(Attributs!$AC$2:$AC$18,Attributs!$AE$2:$AE$18))/((SQRT(SUMSQ(Attributs!$AB$2:$AB$18)+SUMSQ(Attributs!$AC$2:$AC$18)))*(SQRT(SUMSQ(Attributs!$AD$2:$AD$18)+SUMSQ(Attributs!$AE$2:$AE$18)))),0)</f>
        <v/>
      </c>
      <c r="Q15" s="2">
        <f>IFERROR((SUMPRODUCT(Attributs!$AB$2:$AB$18,Attributs!$AF$2:$AF$18)+SUMPRODUCT(Attributs!$AC$2:$AC$18,Attributs!$AG$2:$AG$18))/((SQRT(SUMSQ(Attributs!$AB$2:$AB$18)+SUMSQ(Attributs!$AC$2:$AC$18)))*(SQRT(SUMSQ(Attributs!$AF$2:$AF$18)+SUMSQ(Attributs!$AG$2:$AG$18)))),0)</f>
        <v/>
      </c>
      <c r="R15" s="2">
        <f>IFERROR((SUMPRODUCT(Attributs!$AB$2:$AB$18,Attributs!$AH$2:$AH$18)+SUMPRODUCT(Attributs!$AC$2:$AC$18,Attributs!$AI$2:$AI$18))/((SQRT(SUMSQ(Attributs!$AB$2:$AB$18)+SUMSQ(Attributs!$AC$2:$AC$18)))*(SQRT(SUMSQ(Attributs!$AH$2:$AH$18)+SUMSQ(Attributs!$AI$2:$AI$18)))),0)</f>
        <v/>
      </c>
      <c r="S15" s="2">
        <f>IFERROR((SUMPRODUCT(Attributs!$AB$2:$AB$18,Attributs!$AJ$2:$AJ$18)+SUMPRODUCT(Attributs!$AC$2:$AC$18,Attributs!$AK$2:$AK$18))/((SQRT(SUMSQ(Attributs!$AB$2:$AB$18)+SUMSQ(Attributs!$AC$2:$AC$18)))*(SQRT(SUMSQ(Attributs!$AJ$2:$AJ$18)+SUMSQ(Attributs!$AK$2:$AK$18)))),0)</f>
        <v/>
      </c>
      <c r="T15" s="2">
        <f>IFERROR((SUMPRODUCT(Attributs!$AB$2:$AB$18,Attributs!$AL$2:$AL$18)+SUMPRODUCT(Attributs!$AC$2:$AC$18,Attributs!$AM$2:$AM$18))/((SQRT(SUMSQ(Attributs!$AB$2:$AB$18)+SUMSQ(Attributs!$AC$2:$AC$18)))*(SQRT(SUMSQ(Attributs!$AL$2:$AL$18)+SUMSQ(Attributs!$AM$2:$AM$18)))),0)</f>
        <v/>
      </c>
      <c r="U15" s="2">
        <f>IFERROR((SUMPRODUCT(Attributs!$AB$2:$AB$18,Attributs!$AN$2:$AN$18)+SUMPRODUCT(Attributs!$AC$2:$AC$18,Attributs!$AO$2:$AO$18))/((SQRT(SUMSQ(Attributs!$AB$2:$AB$18)+SUMSQ(Attributs!$AC$2:$AC$18)))*(SQRT(SUMSQ(Attributs!$AN$2:$AN$18)+SUMSQ(Attributs!$AO$2:$AO$18)))),0)</f>
        <v/>
      </c>
      <c r="V15" s="2">
        <f>IFERROR((SUMPRODUCT(Attributs!$AB$2:$AB$18,Attributs!$AP$2:$AP$18)+SUMPRODUCT(Attributs!$AC$2:$AC$18,Attributs!$AQ$2:$AQ$18))/((SQRT(SUMSQ(Attributs!$AB$2:$AB$18)+SUMSQ(Attributs!$AC$2:$AC$18)))*(SQRT(SUMSQ(Attributs!$AP$2:$AP$18)+SUMSQ(Attributs!$AQ$2:$AQ$18)))),0)</f>
        <v/>
      </c>
      <c r="W15" s="2">
        <f>IFERROR((SUMPRODUCT(Attributs!$AB$2:$AB$18,Attributs!$AR$2:$AR$18)+SUMPRODUCT(Attributs!$AC$2:$AC$18,Attributs!$AS$2:$AS$18))/((SQRT(SUMSQ(Attributs!$AB$2:$AB$18)+SUMSQ(Attributs!$AC$2:$AC$18)))*(SQRT(SUMSQ(Attributs!$AR$2:$AR$18)+SUMSQ(Attributs!$AS$2:$AS$18)))),0)</f>
        <v/>
      </c>
      <c r="X15" s="2">
        <f>IFERROR((SUMPRODUCT(Attributs!$AB$2:$AB$18,Attributs!$AT$2:$AT$18)+SUMPRODUCT(Attributs!$AC$2:$AC$18,Attributs!$AU$2:$AU$18))/((SQRT(SUMSQ(Attributs!$AB$2:$AB$18)+SUMSQ(Attributs!$AC$2:$AC$18)))*(SQRT(SUMSQ(Attributs!$AT$2:$AT$18)+SUMSQ(Attributs!$AU$2:$AU$18)))),0)</f>
        <v/>
      </c>
      <c r="Y15" s="2">
        <f>IFERROR((SUMPRODUCT(Attributs!$AB$2:$AB$18,Attributs!$AV$2:$AV$18)+SUMPRODUCT(Attributs!$AC$2:$AC$18,Attributs!$AW$2:$AW$18))/((SQRT(SUMSQ(Attributs!$AB$2:$AB$18)+SUMSQ(Attributs!$AC$2:$AC$18)))*(SQRT(SUMSQ(Attributs!$AV$2:$AV$18)+SUMSQ(Attributs!$AW$2:$AW$18)))),0)</f>
        <v/>
      </c>
      <c r="Z15" s="2">
        <f>IFERROR((SUMPRODUCT(Attributs!$AB$2:$AB$18,Attributs!$AX$2:$AX$18)+SUMPRODUCT(Attributs!$AC$2:$AC$18,Attributs!$AY$2:$AY$18))/((SQRT(SUMSQ(Attributs!$AB$2:$AB$18)+SUMSQ(Attributs!$AC$2:$AC$18)))*(SQRT(SUMSQ(Attributs!$AX$2:$AX$18)+SUMSQ(Attributs!$AY$2:$AY$18)))),0)</f>
        <v/>
      </c>
      <c r="AA15" s="2">
        <f>IFERROR((SUMPRODUCT(Attributs!$AB$2:$AB$18,Attributs!$AZ$2:$AZ$18)+SUMPRODUCT(Attributs!$AC$2:$AC$18,Attributs!$BA$2:$BA$18))/((SQRT(SUMSQ(Attributs!$AB$2:$AB$18)+SUMSQ(Attributs!$AC$2:$AC$18)))*(SQRT(SUMSQ(Attributs!$AZ$2:$AZ$18)+SUMSQ(Attributs!$BA$2:$BA$18)))),0)</f>
        <v/>
      </c>
      <c r="AB15" s="2">
        <f>IFERROR((SUMPRODUCT(Attributs!$AB$2:$AB$18,Attributs!$BB$2:$BB$18)+SUMPRODUCT(Attributs!$AC$2:$AC$18,Attributs!$BC$2:$BC$18))/((SQRT(SUMSQ(Attributs!$AB$2:$AB$18)+SUMSQ(Attributs!$AC$2:$AC$18)))*(SQRT(SUMSQ(Attributs!$BB$2:$BB$18)+SUMSQ(Attributs!$BC$2:$BC$18)))),0)</f>
        <v/>
      </c>
      <c r="AC15" s="2">
        <f>IFERROR((SUMPRODUCT(Attributs!$AB$2:$AB$18,Attributs!$BD$2:$BD$18)+SUMPRODUCT(Attributs!$AC$2:$AC$18,Attributs!$BE$2:$BE$18))/((SQRT(SUMSQ(Attributs!$AB$2:$AB$18)+SUMSQ(Attributs!$AC$2:$AC$18)))*(SQRT(SUMSQ(Attributs!$BD$2:$BD$18)+SUMSQ(Attributs!$BE$2:$BE$18)))),0)</f>
        <v/>
      </c>
      <c r="AD15" s="2">
        <f>IFERROR((SUMPRODUCT(Attributs!$AB$2:$AB$18,Attributs!$BF$2:$BF$18)+SUMPRODUCT(Attributs!$AC$2:$AC$18,Attributs!$BG$2:$BG$18))/((SQRT(SUMSQ(Attributs!$AB$2:$AB$18)+SUMSQ(Attributs!$AC$2:$AC$18)))*(SQRT(SUMSQ(Attributs!$BF$2:$BF$18)+SUMSQ(Attributs!$BG$2:$BG$18)))),0)</f>
        <v/>
      </c>
      <c r="AE15" s="2">
        <f>IFERROR((SUMPRODUCT(Attributs!$AB$2:$AB$18,Attributs!$BH$2:$BH$18)+SUMPRODUCT(Attributs!$AC$2:$AC$18,Attributs!$BI$2:$BI$18))/((SQRT(SUMSQ(Attributs!$AB$2:$AB$18)+SUMSQ(Attributs!$AC$2:$AC$18)))*(SQRT(SUMSQ(Attributs!$BH$2:$BH$18)+SUMSQ(Attributs!$BI$2:$BI$18)))),0)</f>
        <v/>
      </c>
      <c r="AF15" s="2">
        <f>IFERROR((SUMPRODUCT(Attributs!$AB$2:$AB$18,Attributs!$BJ$2:$BJ$18)+SUMPRODUCT(Attributs!$AC$2:$AC$18,Attributs!$BK$2:$BK$18))/((SQRT(SUMSQ(Attributs!$AB$2:$AB$18)+SUMSQ(Attributs!$AC$2:$AC$18)))*(SQRT(SUMSQ(Attributs!$BJ$2:$BJ$18)+SUMSQ(Attributs!$BK$2:$BK$18)))),0)</f>
        <v/>
      </c>
      <c r="AG15" s="2">
        <f>IFERROR((SUMPRODUCT(Attributs!$AB$2:$AB$18,Attributs!$BL$2:$BL$18)+SUMPRODUCT(Attributs!$AC$2:$AC$18,Attributs!$BM$2:$BM$18))/((SQRT(SUMSQ(Attributs!$AB$2:$AB$18)+SUMSQ(Attributs!$AC$2:$AC$18)))*(SQRT(SUMSQ(Attributs!$BL$2:$BL$18)+SUMSQ(Attributs!$BM$2:$BM$18)))),0)</f>
        <v/>
      </c>
      <c r="AH15" s="2">
        <f>IFERROR((SUMPRODUCT(Attributs!$AB$2:$AB$18,Attributs!$BN$2:$BN$18)+SUMPRODUCT(Attributs!$AC$2:$AC$18,Attributs!$BO$2:$BO$18))/((SQRT(SUMSQ(Attributs!$AB$2:$AB$18)+SUMSQ(Attributs!$AC$2:$AC$18)))*(SQRT(SUMSQ(Attributs!$BN$2:$BN$18)+SUMSQ(Attributs!$BO$2:$BO$18)))),0)</f>
        <v/>
      </c>
      <c r="AI15" s="2">
        <f>IFERROR((SUMPRODUCT(Attributs!$AB$2:$AB$18,Attributs!$BP$2:$BP$18)+SUMPRODUCT(Attributs!$AC$2:$AC$18,Attributs!$BQ$2:$BQ$18))/((SQRT(SUMSQ(Attributs!$AB$2:$AB$18)+SUMSQ(Attributs!$AC$2:$AC$18)))*(SQRT(SUMSQ(Attributs!$BP$2:$BP$18)+SUMSQ(Attributs!$BQ$2:$BQ$18)))),0)</f>
        <v/>
      </c>
      <c r="AJ15" s="2">
        <f>IFERROR((SUMPRODUCT(Attributs!$AB$2:$AB$18,Attributs!$BR$2:$BR$18)+SUMPRODUCT(Attributs!$AC$2:$AC$18,Attributs!$BS$2:$BS$18))/((SQRT(SUMSQ(Attributs!$AB$2:$AB$18)+SUMSQ(Attributs!$AC$2:$AC$18)))*(SQRT(SUMSQ(Attributs!$BR$2:$BR$18)+SUMSQ(Attributs!$BS$2:$BS$18)))),0)</f>
        <v/>
      </c>
      <c r="AK15" s="2">
        <f>IFERROR((SUMPRODUCT(Attributs!$AB$2:$AB$18,Attributs!$BT$2:$BT$18)+SUMPRODUCT(Attributs!$AC$2:$AC$18,Attributs!$BU$2:$BU$18))/((SQRT(SUMSQ(Attributs!$AB$2:$AB$18)+SUMSQ(Attributs!$AC$2:$AC$18)))*(SQRT(SUMSQ(Attributs!$BT$2:$BT$18)+SUMSQ(Attributs!$BU$2:$BU$18)))),0)</f>
        <v/>
      </c>
      <c r="AL15" s="2">
        <f>IFERROR((SUMPRODUCT(Attributs!$AB$2:$AB$18,Attributs!$BV$2:$BV$18)+SUMPRODUCT(Attributs!$AC$2:$AC$18,Attributs!$BW$2:$BW$18))/((SQRT(SUMSQ(Attributs!$AB$2:$AB$18)+SUMSQ(Attributs!$AC$2:$AC$18)))*(SQRT(SUMSQ(Attributs!$BV$2:$BV$18)+SUMSQ(Attributs!$BW$2:$BW$18)))),0)</f>
        <v/>
      </c>
      <c r="AM15" s="2">
        <f>IFERROR((SUMPRODUCT(Attributs!$AB$2:$AB$18,Attributs!$BX$2:$BX$18)+SUMPRODUCT(Attributs!$AC$2:$AC$18,Attributs!$BY$2:$BY$18))/((SQRT(SUMSQ(Attributs!$AB$2:$AB$18)+SUMSQ(Attributs!$AC$2:$AC$18)))*(SQRT(SUMSQ(Attributs!$BX$2:$BX$18)+SUMSQ(Attributs!$BY$2:$BY$18)))),0)</f>
        <v/>
      </c>
      <c r="AN15" s="2">
        <f>IFERROR((SUMPRODUCT(Attributs!$AB$2:$AB$18,Attributs!$BZ$2:$BZ$18)+SUMPRODUCT(Attributs!$AC$2:$AC$18,Attributs!$CA$2:$CA$18))/((SQRT(SUMSQ(Attributs!$AB$2:$AB$18)+SUMSQ(Attributs!$AC$2:$AC$18)))*(SQRT(SUMSQ(Attributs!$BZ$2:$BZ$18)+SUMSQ(Attributs!$CA$2:$CA$18)))),0)</f>
        <v/>
      </c>
      <c r="AO15" s="2">
        <f>IFERROR((SUMPRODUCT(Attributs!$AB$2:$AB$18,Attributs!$CB$2:$CB$18)+SUMPRODUCT(Attributs!$AC$2:$AC$18,Attributs!$CC$2:$CC$18))/((SQRT(SUMSQ(Attributs!$AB$2:$AB$18)+SUMSQ(Attributs!$AC$2:$AC$18)))*(SQRT(SUMSQ(Attributs!$CB$2:$CB$18)+SUMSQ(Attributs!$CC$2:$CC$18)))),0)</f>
        <v/>
      </c>
      <c r="AP15" s="2">
        <f>IFERROR((SUMPRODUCT(Attributs!$AB$2:$AB$18,Attributs!$CD$2:$CD$18)+SUMPRODUCT(Attributs!$AC$2:$AC$18,Attributs!$CE$2:$CE$18))/((SQRT(SUMSQ(Attributs!$AB$2:$AB$18)+SUMSQ(Attributs!$AC$2:$AC$18)))*(SQRT(SUMSQ(Attributs!$CD$2:$CD$18)+SUMSQ(Attributs!$CE$2:$CE$18)))),0)</f>
        <v/>
      </c>
      <c r="AQ15" s="2">
        <f>IFERROR((SUMPRODUCT(Attributs!$AB$2:$AB$18,Attributs!$CF$2:$CF$18)+SUMPRODUCT(Attributs!$AC$2:$AC$18,Attributs!$CG$2:$CG$18))/((SQRT(SUMSQ(Attributs!$AB$2:$AB$18)+SUMSQ(Attributs!$AC$2:$AC$18)))*(SQRT(SUMSQ(Attributs!$CF$2:$CF$18)+SUMSQ(Attributs!$CG$2:$CG$18)))),0)</f>
        <v/>
      </c>
      <c r="AR15" s="2">
        <f>IFERROR((SUMPRODUCT(Attributs!$AB$2:$AB$18,Attributs!$CH$2:$CH$18)+SUMPRODUCT(Attributs!$AC$2:$AC$18,Attributs!$CI$2:$CI$18))/((SQRT(SUMSQ(Attributs!$AB$2:$AB$18)+SUMSQ(Attributs!$AC$2:$AC$18)))*(SQRT(SUMSQ(Attributs!$CH$2:$CH$18)+SUMSQ(Attributs!$CI$2:$CI$18)))),0)</f>
        <v/>
      </c>
      <c r="AS15" s="2">
        <f>IFERROR((SUMPRODUCT(Attributs!$AB$2:$AB$18,Attributs!$CJ$2:$CJ$18)+SUMPRODUCT(Attributs!$AC$2:$AC$18,Attributs!$CK$2:$CK$18))/((SQRT(SUMSQ(Attributs!$AB$2:$AB$18)+SUMSQ(Attributs!$AC$2:$AC$18)))*(SQRT(SUMSQ(Attributs!$CJ$2:$CJ$18)+SUMSQ(Attributs!$CK$2:$CK$18)))),0)</f>
        <v/>
      </c>
      <c r="AT15" s="2">
        <f>IFERROR((SUMPRODUCT(Attributs!$AB$2:$AB$18,Attributs!$CL$2:$CL$18)+SUMPRODUCT(Attributs!$AC$2:$AC$18,Attributs!$CM$2:$CM$18))/((SQRT(SUMSQ(Attributs!$AB$2:$AB$18)+SUMSQ(Attributs!$AC$2:$AC$18)))*(SQRT(SUMSQ(Attributs!$CL$2:$CL$18)+SUMSQ(Attributs!$CM$2:$CM$18)))),0)</f>
        <v/>
      </c>
      <c r="AU15" s="2">
        <f>IFERROR((SUMPRODUCT(Attributs!$AB$2:$AB$18,Attributs!$CN$2:$CN$18)+SUMPRODUCT(Attributs!$AC$2:$AC$18,Attributs!$CO$2:$CO$18))/((SQRT(SUMSQ(Attributs!$AB$2:$AB$18)+SUMSQ(Attributs!$AC$2:$AC$18)))*(SQRT(SUMSQ(Attributs!$CN$2:$CN$18)+SUMSQ(Attributs!$CO$2:$CO$18)))),0)</f>
        <v/>
      </c>
      <c r="AV15" s="2">
        <f>IFERROR((SUMPRODUCT(Attributs!$AB$2:$AB$18,Attributs!$CP$2:$CP$18)+SUMPRODUCT(Attributs!$AC$2:$AC$18,Attributs!$CQ$2:$CQ$18))/((SQRT(SUMSQ(Attributs!$AB$2:$AB$18)+SUMSQ(Attributs!$AC$2:$AC$18)))*(SQRT(SUMSQ(Attributs!$CP$2:$CP$18)+SUMSQ(Attributs!$CQ$2:$CQ$18)))),0)</f>
        <v/>
      </c>
      <c r="AW15" s="2">
        <f>IFERROR((SUMPRODUCT(Attributs!$AB$2:$AB$18,Attributs!$CR$2:$CR$18)+SUMPRODUCT(Attributs!$AC$2:$AC$18,Attributs!$CS$2:$CS$18))/((SQRT(SUMSQ(Attributs!$AB$2:$AB$18)+SUMSQ(Attributs!$AC$2:$AC$18)))*(SQRT(SUMSQ(Attributs!$CR$2:$CR$18)+SUMSQ(Attributs!$CS$2:$CS$18)))),0)</f>
        <v/>
      </c>
      <c r="AX15" s="2">
        <f>IFERROR((SUMPRODUCT(Attributs!$AB$2:$AB$18,Attributs!$CT$2:$CT$18)+SUMPRODUCT(Attributs!$AC$2:$AC$18,Attributs!$CU$2:$CU$18))/((SQRT(SUMSQ(Attributs!$AB$2:$AB$18)+SUMSQ(Attributs!$AC$2:$AC$18)))*(SQRT(SUMSQ(Attributs!$CT$2:$CT$18)+SUMSQ(Attributs!$CU$2:$CU$18)))),0)</f>
        <v/>
      </c>
      <c r="AY15" s="2">
        <f>IFERROR((SUMPRODUCT(Attributs!$AB$2:$AB$18,Attributs!$CV$2:$CV$18)+SUMPRODUCT(Attributs!$AC$2:$AC$18,Attributs!$CW$2:$CW$18))/((SQRT(SUMSQ(Attributs!$AB$2:$AB$18)+SUMSQ(Attributs!$AC$2:$AC$18)))*(SQRT(SUMSQ(Attributs!$CV$2:$CV$18)+SUMSQ(Attributs!$CW$2:$CW$18)))),0)</f>
        <v/>
      </c>
      <c r="AZ15" s="2">
        <f>IFERROR((SUMPRODUCT(Attributs!$AB$2:$AB$18,Attributs!$CX$2:$CX$18)+SUMPRODUCT(Attributs!$AC$2:$AC$18,Attributs!$CY$2:$CY$18))/((SQRT(SUMSQ(Attributs!$AB$2:$AB$18)+SUMSQ(Attributs!$AC$2:$AC$18)))*(SQRT(SUMSQ(Attributs!$CX$2:$CX$18)+SUMSQ(Attributs!$CY$2:$CY$18)))),0)</f>
        <v/>
      </c>
      <c r="BA15" s="2">
        <f>IFERROR((SUMPRODUCT(Attributs!$AB$2:$AB$18,Attributs!$CZ$2:$CZ$18)+SUMPRODUCT(Attributs!$AC$2:$AC$18,Attributs!$DA$2:$DA$18))/((SQRT(SUMSQ(Attributs!$AB$2:$AB$18)+SUMSQ(Attributs!$AC$2:$AC$18)))*(SQRT(SUMSQ(Attributs!$CZ$2:$CZ$18)+SUMSQ(Attributs!$DA$2:$DA$18)))),0)</f>
        <v/>
      </c>
      <c r="BB15" s="2">
        <f>IFERROR((SUMPRODUCT(Attributs!$AB$2:$AB$18,Attributs!$DB$2:$DB$18)+SUMPRODUCT(Attributs!$AC$2:$AC$18,Attributs!$DC$2:$DC$18))/((SQRT(SUMSQ(Attributs!$AB$2:$AB$18)+SUMSQ(Attributs!$AC$2:$AC$18)))*(SQRT(SUMSQ(Attributs!$DB$2:$DB$18)+SUMSQ(Attributs!$DC$2:$DC$18)))),0)</f>
        <v/>
      </c>
      <c r="BC15" s="2">
        <f>IFERROR((SUMPRODUCT(Attributs!$AB$2:$AB$18,Attributs!$DD$2:$DD$18)+SUMPRODUCT(Attributs!$AC$2:$AC$18,Attributs!$DE$2:$DE$18))/((SQRT(SUMSQ(Attributs!$AB$2:$AB$18)+SUMSQ(Attributs!$AC$2:$AC$18)))*(SQRT(SUMSQ(Attributs!$DD$2:$DD$18)+SUMSQ(Attributs!$DE$2:$DE$18)))),0)</f>
        <v/>
      </c>
      <c r="BD15" s="2">
        <f>IFERROR((SUMPRODUCT(Attributs!$AB$2:$AB$18,Attributs!$DF$2:$DF$18)+SUMPRODUCT(Attributs!$AC$2:$AC$18,Attributs!$DG$2:$DG$18))/((SQRT(SUMSQ(Attributs!$AB$2:$AB$18)+SUMSQ(Attributs!$AC$2:$AC$18)))*(SQRT(SUMSQ(Attributs!$DF$2:$DF$18)+SUMSQ(Attributs!$DG$2:$DG$18)))),0)</f>
        <v/>
      </c>
      <c r="BE15" s="2">
        <f>IFERROR((SUMPRODUCT(Attributs!$AB$2:$AB$18,Attributs!$DH$2:$DH$18)+SUMPRODUCT(Attributs!$AC$2:$AC$18,Attributs!$DI$2:$DI$18))/((SQRT(SUMSQ(Attributs!$AB$2:$AB$18)+SUMSQ(Attributs!$AC$2:$AC$18)))*(SQRT(SUMSQ(Attributs!$DH$2:$DH$18)+SUMSQ(Attributs!$DI$2:$DI$18)))),0)</f>
        <v/>
      </c>
      <c r="BF15" s="2">
        <f>IFERROR((SUMPRODUCT(Attributs!$AB$2:$AB$18,Attributs!$DJ$2:$DJ$18)+SUMPRODUCT(Attributs!$AC$2:$AC$18,Attributs!$DK$2:$DK$18))/((SQRT(SUMSQ(Attributs!$AB$2:$AB$18)+SUMSQ(Attributs!$AC$2:$AC$18)))*(SQRT(SUMSQ(Attributs!$DJ$2:$DJ$18)+SUMSQ(Attributs!$DK$2:$DK$18)))),0)</f>
        <v/>
      </c>
      <c r="BG15" s="2">
        <f>IFERROR((SUMPRODUCT(Attributs!$AB$2:$AB$18,Attributs!$DL$2:$DL$18)+SUMPRODUCT(Attributs!$AC$2:$AC$18,Attributs!$DM$2:$DM$18))/((SQRT(SUMSQ(Attributs!$AB$2:$AB$18)+SUMSQ(Attributs!$AC$2:$AC$18)))*(SQRT(SUMSQ(Attributs!$DL$2:$DL$18)+SUMSQ(Attributs!$DM$2:$DM$18)))),0)</f>
        <v/>
      </c>
      <c r="BH15" s="2">
        <f>IFERROR((SUMPRODUCT(Attributs!$AB$2:$AB$18,Attributs!$DN$2:$DN$18)+SUMPRODUCT(Attributs!$AC$2:$AC$18,Attributs!$DO$2:$DO$18))/((SQRT(SUMSQ(Attributs!$AB$2:$AB$18)+SUMSQ(Attributs!$AC$2:$AC$18)))*(SQRT(SUMSQ(Attributs!$DN$2:$DN$18)+SUMSQ(Attributs!$DO$2:$DO$18)))),0)</f>
        <v/>
      </c>
      <c r="BI15" s="2">
        <f>IFERROR((SUMPRODUCT(Attributs!$AB$2:$AB$18,Attributs!$DP$2:$DP$18)+SUMPRODUCT(Attributs!$AC$2:$AC$18,Attributs!$DQ$2:$DQ$18))/((SQRT(SUMSQ(Attributs!$AB$2:$AB$18)+SUMSQ(Attributs!$AC$2:$AC$18)))*(SQRT(SUMSQ(Attributs!$DP$2:$DP$18)+SUMSQ(Attributs!$DQ$2:$DQ$18)))),0)</f>
        <v/>
      </c>
      <c r="BJ15" s="2">
        <f>IFERROR((SUMPRODUCT(Attributs!$AB$2:$AB$18,Attributs!$DR$2:$DR$18)+SUMPRODUCT(Attributs!$AC$2:$AC$18,Attributs!$DS$2:$DS$18))/((SQRT(SUMSQ(Attributs!$AB$2:$AB$18)+SUMSQ(Attributs!$AC$2:$AC$18)))*(SQRT(SUMSQ(Attributs!$DR$2:$DR$18)+SUMSQ(Attributs!$DS$2:$DS$18)))),0)</f>
        <v/>
      </c>
      <c r="BK15" s="2">
        <f>IFERROR((SUMPRODUCT(Attributs!$AB$2:$AB$18,Attributs!$DT$2:$DT$18)+SUMPRODUCT(Attributs!$AC$2:$AC$18,Attributs!$DU$2:$DU$18))/((SQRT(SUMSQ(Attributs!$AB$2:$AB$18)+SUMSQ(Attributs!$AC$2:$AC$18)))*(SQRT(SUMSQ(Attributs!$DT$2:$DT$18)+SUMSQ(Attributs!$DU$2:$DU$18)))),0)</f>
        <v/>
      </c>
      <c r="BL15" s="2">
        <f>IFERROR((SUMPRODUCT(Attributs!$AB$2:$AB$18,Attributs!$DV$2:$DV$18)+SUMPRODUCT(Attributs!$AC$2:$AC$18,Attributs!$DW$2:$DW$18))/((SQRT(SUMSQ(Attributs!$AB$2:$AB$18)+SUMSQ(Attributs!$AC$2:$AC$18)))*(SQRT(SUMSQ(Attributs!$DV$2:$DV$18)+SUMSQ(Attributs!$DW$2:$DW$18)))),0)</f>
        <v/>
      </c>
    </row>
    <row r="16">
      <c r="A16" s="3" t="inlineStr">
        <is>
          <t>SE_mysql.Users.DownVotes</t>
        </is>
      </c>
      <c r="B16" s="2">
        <f>IFERROR((SUMPRODUCT(Attributs!$AD$2:$AD$18,Attributs!$B$2:$B$18)+SUMPRODUCT(Attributs!$AE$2:$AE$18,Attributs!$C$2:$C$18))/((SQRT(SUMSQ(Attributs!$AD$2:$AD$18)+SUMSQ(Attributs!$AE$2:$AE$18)))*(SQRT(SUMSQ(Attributs!$B$2:$B$18)+SUMSQ(Attributs!$C$2:$C$18)))),0)</f>
        <v/>
      </c>
      <c r="C16" s="2">
        <f>IFERROR((SUMPRODUCT(Attributs!$AD$2:$AD$18,Attributs!$D$2:$D$18)+SUMPRODUCT(Attributs!$AE$2:$AE$18,Attributs!$E$2:$E$18))/((SQRT(SUMSQ(Attributs!$AD$2:$AD$18)+SUMSQ(Attributs!$AE$2:$AE$18)))*(SQRT(SUMSQ(Attributs!$D$2:$D$18)+SUMSQ(Attributs!$E$2:$E$18)))),0)</f>
        <v/>
      </c>
      <c r="D16" s="2">
        <f>IFERROR((SUMPRODUCT(Attributs!$AD$2:$AD$18,Attributs!$F$2:$F$18)+SUMPRODUCT(Attributs!$AE$2:$AE$18,Attributs!$G$2:$G$18))/((SQRT(SUMSQ(Attributs!$AD$2:$AD$18)+SUMSQ(Attributs!$AE$2:$AE$18)))*(SQRT(SUMSQ(Attributs!$F$2:$F$18)+SUMSQ(Attributs!$G$2:$G$18)))),0)</f>
        <v/>
      </c>
      <c r="E16" s="2">
        <f>IFERROR((SUMPRODUCT(Attributs!$AD$2:$AD$18,Attributs!$H$2:$H$18)+SUMPRODUCT(Attributs!$AE$2:$AE$18,Attributs!$I$2:$I$18))/((SQRT(SUMSQ(Attributs!$AD$2:$AD$18)+SUMSQ(Attributs!$AE$2:$AE$18)))*(SQRT(SUMSQ(Attributs!$H$2:$H$18)+SUMSQ(Attributs!$I$2:$I$18)))),0)</f>
        <v/>
      </c>
      <c r="F16" s="2">
        <f>IFERROR((SUMPRODUCT(Attributs!$AD$2:$AD$18,Attributs!$J$2:$J$18)+SUMPRODUCT(Attributs!$AE$2:$AE$18,Attributs!$K$2:$K$18))/((SQRT(SUMSQ(Attributs!$AD$2:$AD$18)+SUMSQ(Attributs!$AE$2:$AE$18)))*(SQRT(SUMSQ(Attributs!$J$2:$J$18)+SUMSQ(Attributs!$K$2:$K$18)))),0)</f>
        <v/>
      </c>
      <c r="G16" s="2">
        <f>IFERROR((SUMPRODUCT(Attributs!$AD$2:$AD$18,Attributs!$L$2:$L$18)+SUMPRODUCT(Attributs!$AE$2:$AE$18,Attributs!$M$2:$M$18))/((SQRT(SUMSQ(Attributs!$AD$2:$AD$18)+SUMSQ(Attributs!$AE$2:$AE$18)))*(SQRT(SUMSQ(Attributs!$L$2:$L$18)+SUMSQ(Attributs!$M$2:$M$18)))),0)</f>
        <v/>
      </c>
      <c r="H16" s="2">
        <f>IFERROR((SUMPRODUCT(Attributs!$AD$2:$AD$18,Attributs!$N$2:$N$18)+SUMPRODUCT(Attributs!$AE$2:$AE$18,Attributs!$O$2:$O$18))/((SQRT(SUMSQ(Attributs!$AD$2:$AD$18)+SUMSQ(Attributs!$AE$2:$AE$18)))*(SQRT(SUMSQ(Attributs!$N$2:$N$18)+SUMSQ(Attributs!$O$2:$O$18)))),0)</f>
        <v/>
      </c>
      <c r="I16" s="2">
        <f>IFERROR((SUMPRODUCT(Attributs!$AD$2:$AD$18,Attributs!$P$2:$P$18)+SUMPRODUCT(Attributs!$AE$2:$AE$18,Attributs!$Q$2:$Q$18))/((SQRT(SUMSQ(Attributs!$AD$2:$AD$18)+SUMSQ(Attributs!$AE$2:$AE$18)))*(SQRT(SUMSQ(Attributs!$P$2:$P$18)+SUMSQ(Attributs!$Q$2:$Q$18)))),0)</f>
        <v/>
      </c>
      <c r="J16" s="2">
        <f>IFERROR((SUMPRODUCT(Attributs!$AD$2:$AD$18,Attributs!$R$2:$R$18)+SUMPRODUCT(Attributs!$AE$2:$AE$18,Attributs!$S$2:$S$18))/((SQRT(SUMSQ(Attributs!$AD$2:$AD$18)+SUMSQ(Attributs!$AE$2:$AE$18)))*(SQRT(SUMSQ(Attributs!$R$2:$R$18)+SUMSQ(Attributs!$S$2:$S$18)))),0)</f>
        <v/>
      </c>
      <c r="K16" s="2">
        <f>IFERROR((SUMPRODUCT(Attributs!$AD$2:$AD$18,Attributs!$T$2:$T$18)+SUMPRODUCT(Attributs!$AE$2:$AE$18,Attributs!$U$2:$U$18))/((SQRT(SUMSQ(Attributs!$AD$2:$AD$18)+SUMSQ(Attributs!$AE$2:$AE$18)))*(SQRT(SUMSQ(Attributs!$T$2:$T$18)+SUMSQ(Attributs!$U$2:$U$18)))),0)</f>
        <v/>
      </c>
      <c r="L16" s="2">
        <f>IFERROR((SUMPRODUCT(Attributs!$AD$2:$AD$18,Attributs!$V$2:$V$18)+SUMPRODUCT(Attributs!$AE$2:$AE$18,Attributs!$W$2:$W$18))/((SQRT(SUMSQ(Attributs!$AD$2:$AD$18)+SUMSQ(Attributs!$AE$2:$AE$18)))*(SQRT(SUMSQ(Attributs!$V$2:$V$18)+SUMSQ(Attributs!$W$2:$W$18)))),0)</f>
        <v/>
      </c>
      <c r="M16" s="2">
        <f>IFERROR((SUMPRODUCT(Attributs!$AD$2:$AD$18,Attributs!$X$2:$X$18)+SUMPRODUCT(Attributs!$AE$2:$AE$18,Attributs!$Y$2:$Y$18))/((SQRT(SUMSQ(Attributs!$AD$2:$AD$18)+SUMSQ(Attributs!$AE$2:$AE$18)))*(SQRT(SUMSQ(Attributs!$X$2:$X$18)+SUMSQ(Attributs!$Y$2:$Y$18)))),0)</f>
        <v/>
      </c>
      <c r="N16" s="2">
        <f>IFERROR((SUMPRODUCT(Attributs!$AD$2:$AD$18,Attributs!$Z$2:$Z$18)+SUMPRODUCT(Attributs!$AE$2:$AE$18,Attributs!$AA$2:$AA$18))/((SQRT(SUMSQ(Attributs!$AD$2:$AD$18)+SUMSQ(Attributs!$AE$2:$AE$18)))*(SQRT(SUMSQ(Attributs!$Z$2:$Z$18)+SUMSQ(Attributs!$AA$2:$AA$18)))),0)</f>
        <v/>
      </c>
      <c r="O16" s="2">
        <f>IFERROR((SUMPRODUCT(Attributs!$AD$2:$AD$18,Attributs!$AB$2:$AB$18)+SUMPRODUCT(Attributs!$AE$2:$AE$18,Attributs!$AC$2:$AC$18))/((SQRT(SUMSQ(Attributs!$AD$2:$AD$18)+SUMSQ(Attributs!$AE$2:$AE$18)))*(SQRT(SUMSQ(Attributs!$AB$2:$AB$18)+SUMSQ(Attributs!$AC$2:$AC$18)))),0)</f>
        <v/>
      </c>
      <c r="P16" s="2">
        <f>IFERROR((SUMPRODUCT(Attributs!$AD$2:$AD$18,Attributs!$AD$2:$AD$18)+SUMPRODUCT(Attributs!$AE$2:$AE$18,Attributs!$AE$2:$AE$18))/((SQRT(SUMSQ(Attributs!$AD$2:$AD$18)+SUMSQ(Attributs!$AE$2:$AE$18)))*(SQRT(SUMSQ(Attributs!$AD$2:$AD$18)+SUMSQ(Attributs!$AE$2:$AE$18)))),0)</f>
        <v/>
      </c>
      <c r="Q16" s="2">
        <f>IFERROR((SUMPRODUCT(Attributs!$AD$2:$AD$18,Attributs!$AF$2:$AF$18)+SUMPRODUCT(Attributs!$AE$2:$AE$18,Attributs!$AG$2:$AG$18))/((SQRT(SUMSQ(Attributs!$AD$2:$AD$18)+SUMSQ(Attributs!$AE$2:$AE$18)))*(SQRT(SUMSQ(Attributs!$AF$2:$AF$18)+SUMSQ(Attributs!$AG$2:$AG$18)))),0)</f>
        <v/>
      </c>
      <c r="R16" s="2">
        <f>IFERROR((SUMPRODUCT(Attributs!$AD$2:$AD$18,Attributs!$AH$2:$AH$18)+SUMPRODUCT(Attributs!$AE$2:$AE$18,Attributs!$AI$2:$AI$18))/((SQRT(SUMSQ(Attributs!$AD$2:$AD$18)+SUMSQ(Attributs!$AE$2:$AE$18)))*(SQRT(SUMSQ(Attributs!$AH$2:$AH$18)+SUMSQ(Attributs!$AI$2:$AI$18)))),0)</f>
        <v/>
      </c>
      <c r="S16" s="2">
        <f>IFERROR((SUMPRODUCT(Attributs!$AD$2:$AD$18,Attributs!$AJ$2:$AJ$18)+SUMPRODUCT(Attributs!$AE$2:$AE$18,Attributs!$AK$2:$AK$18))/((SQRT(SUMSQ(Attributs!$AD$2:$AD$18)+SUMSQ(Attributs!$AE$2:$AE$18)))*(SQRT(SUMSQ(Attributs!$AJ$2:$AJ$18)+SUMSQ(Attributs!$AK$2:$AK$18)))),0)</f>
        <v/>
      </c>
      <c r="T16" s="2">
        <f>IFERROR((SUMPRODUCT(Attributs!$AD$2:$AD$18,Attributs!$AL$2:$AL$18)+SUMPRODUCT(Attributs!$AE$2:$AE$18,Attributs!$AM$2:$AM$18))/((SQRT(SUMSQ(Attributs!$AD$2:$AD$18)+SUMSQ(Attributs!$AE$2:$AE$18)))*(SQRT(SUMSQ(Attributs!$AL$2:$AL$18)+SUMSQ(Attributs!$AM$2:$AM$18)))),0)</f>
        <v/>
      </c>
      <c r="U16" s="2">
        <f>IFERROR((SUMPRODUCT(Attributs!$AD$2:$AD$18,Attributs!$AN$2:$AN$18)+SUMPRODUCT(Attributs!$AE$2:$AE$18,Attributs!$AO$2:$AO$18))/((SQRT(SUMSQ(Attributs!$AD$2:$AD$18)+SUMSQ(Attributs!$AE$2:$AE$18)))*(SQRT(SUMSQ(Attributs!$AN$2:$AN$18)+SUMSQ(Attributs!$AO$2:$AO$18)))),0)</f>
        <v/>
      </c>
      <c r="V16" s="2">
        <f>IFERROR((SUMPRODUCT(Attributs!$AD$2:$AD$18,Attributs!$AP$2:$AP$18)+SUMPRODUCT(Attributs!$AE$2:$AE$18,Attributs!$AQ$2:$AQ$18))/((SQRT(SUMSQ(Attributs!$AD$2:$AD$18)+SUMSQ(Attributs!$AE$2:$AE$18)))*(SQRT(SUMSQ(Attributs!$AP$2:$AP$18)+SUMSQ(Attributs!$AQ$2:$AQ$18)))),0)</f>
        <v/>
      </c>
      <c r="W16" s="2">
        <f>IFERROR((SUMPRODUCT(Attributs!$AD$2:$AD$18,Attributs!$AR$2:$AR$18)+SUMPRODUCT(Attributs!$AE$2:$AE$18,Attributs!$AS$2:$AS$18))/((SQRT(SUMSQ(Attributs!$AD$2:$AD$18)+SUMSQ(Attributs!$AE$2:$AE$18)))*(SQRT(SUMSQ(Attributs!$AR$2:$AR$18)+SUMSQ(Attributs!$AS$2:$AS$18)))),0)</f>
        <v/>
      </c>
      <c r="X16" s="2">
        <f>IFERROR((SUMPRODUCT(Attributs!$AD$2:$AD$18,Attributs!$AT$2:$AT$18)+SUMPRODUCT(Attributs!$AE$2:$AE$18,Attributs!$AU$2:$AU$18))/((SQRT(SUMSQ(Attributs!$AD$2:$AD$18)+SUMSQ(Attributs!$AE$2:$AE$18)))*(SQRT(SUMSQ(Attributs!$AT$2:$AT$18)+SUMSQ(Attributs!$AU$2:$AU$18)))),0)</f>
        <v/>
      </c>
      <c r="Y16" s="2">
        <f>IFERROR((SUMPRODUCT(Attributs!$AD$2:$AD$18,Attributs!$AV$2:$AV$18)+SUMPRODUCT(Attributs!$AE$2:$AE$18,Attributs!$AW$2:$AW$18))/((SQRT(SUMSQ(Attributs!$AD$2:$AD$18)+SUMSQ(Attributs!$AE$2:$AE$18)))*(SQRT(SUMSQ(Attributs!$AV$2:$AV$18)+SUMSQ(Attributs!$AW$2:$AW$18)))),0)</f>
        <v/>
      </c>
      <c r="Z16" s="2">
        <f>IFERROR((SUMPRODUCT(Attributs!$AD$2:$AD$18,Attributs!$AX$2:$AX$18)+SUMPRODUCT(Attributs!$AE$2:$AE$18,Attributs!$AY$2:$AY$18))/((SQRT(SUMSQ(Attributs!$AD$2:$AD$18)+SUMSQ(Attributs!$AE$2:$AE$18)))*(SQRT(SUMSQ(Attributs!$AX$2:$AX$18)+SUMSQ(Attributs!$AY$2:$AY$18)))),0)</f>
        <v/>
      </c>
      <c r="AA16" s="2">
        <f>IFERROR((SUMPRODUCT(Attributs!$AD$2:$AD$18,Attributs!$AZ$2:$AZ$18)+SUMPRODUCT(Attributs!$AE$2:$AE$18,Attributs!$BA$2:$BA$18))/((SQRT(SUMSQ(Attributs!$AD$2:$AD$18)+SUMSQ(Attributs!$AE$2:$AE$18)))*(SQRT(SUMSQ(Attributs!$AZ$2:$AZ$18)+SUMSQ(Attributs!$BA$2:$BA$18)))),0)</f>
        <v/>
      </c>
      <c r="AB16" s="2">
        <f>IFERROR((SUMPRODUCT(Attributs!$AD$2:$AD$18,Attributs!$BB$2:$BB$18)+SUMPRODUCT(Attributs!$AE$2:$AE$18,Attributs!$BC$2:$BC$18))/((SQRT(SUMSQ(Attributs!$AD$2:$AD$18)+SUMSQ(Attributs!$AE$2:$AE$18)))*(SQRT(SUMSQ(Attributs!$BB$2:$BB$18)+SUMSQ(Attributs!$BC$2:$BC$18)))),0)</f>
        <v/>
      </c>
      <c r="AC16" s="2">
        <f>IFERROR((SUMPRODUCT(Attributs!$AD$2:$AD$18,Attributs!$BD$2:$BD$18)+SUMPRODUCT(Attributs!$AE$2:$AE$18,Attributs!$BE$2:$BE$18))/((SQRT(SUMSQ(Attributs!$AD$2:$AD$18)+SUMSQ(Attributs!$AE$2:$AE$18)))*(SQRT(SUMSQ(Attributs!$BD$2:$BD$18)+SUMSQ(Attributs!$BE$2:$BE$18)))),0)</f>
        <v/>
      </c>
      <c r="AD16" s="2">
        <f>IFERROR((SUMPRODUCT(Attributs!$AD$2:$AD$18,Attributs!$BF$2:$BF$18)+SUMPRODUCT(Attributs!$AE$2:$AE$18,Attributs!$BG$2:$BG$18))/((SQRT(SUMSQ(Attributs!$AD$2:$AD$18)+SUMSQ(Attributs!$AE$2:$AE$18)))*(SQRT(SUMSQ(Attributs!$BF$2:$BF$18)+SUMSQ(Attributs!$BG$2:$BG$18)))),0)</f>
        <v/>
      </c>
      <c r="AE16" s="2">
        <f>IFERROR((SUMPRODUCT(Attributs!$AD$2:$AD$18,Attributs!$BH$2:$BH$18)+SUMPRODUCT(Attributs!$AE$2:$AE$18,Attributs!$BI$2:$BI$18))/((SQRT(SUMSQ(Attributs!$AD$2:$AD$18)+SUMSQ(Attributs!$AE$2:$AE$18)))*(SQRT(SUMSQ(Attributs!$BH$2:$BH$18)+SUMSQ(Attributs!$BI$2:$BI$18)))),0)</f>
        <v/>
      </c>
      <c r="AF16" s="2">
        <f>IFERROR((SUMPRODUCT(Attributs!$AD$2:$AD$18,Attributs!$BJ$2:$BJ$18)+SUMPRODUCT(Attributs!$AE$2:$AE$18,Attributs!$BK$2:$BK$18))/((SQRT(SUMSQ(Attributs!$AD$2:$AD$18)+SUMSQ(Attributs!$AE$2:$AE$18)))*(SQRT(SUMSQ(Attributs!$BJ$2:$BJ$18)+SUMSQ(Attributs!$BK$2:$BK$18)))),0)</f>
        <v/>
      </c>
      <c r="AG16" s="2">
        <f>IFERROR((SUMPRODUCT(Attributs!$AD$2:$AD$18,Attributs!$BL$2:$BL$18)+SUMPRODUCT(Attributs!$AE$2:$AE$18,Attributs!$BM$2:$BM$18))/((SQRT(SUMSQ(Attributs!$AD$2:$AD$18)+SUMSQ(Attributs!$AE$2:$AE$18)))*(SQRT(SUMSQ(Attributs!$BL$2:$BL$18)+SUMSQ(Attributs!$BM$2:$BM$18)))),0)</f>
        <v/>
      </c>
      <c r="AH16" s="2">
        <f>IFERROR((SUMPRODUCT(Attributs!$AD$2:$AD$18,Attributs!$BN$2:$BN$18)+SUMPRODUCT(Attributs!$AE$2:$AE$18,Attributs!$BO$2:$BO$18))/((SQRT(SUMSQ(Attributs!$AD$2:$AD$18)+SUMSQ(Attributs!$AE$2:$AE$18)))*(SQRT(SUMSQ(Attributs!$BN$2:$BN$18)+SUMSQ(Attributs!$BO$2:$BO$18)))),0)</f>
        <v/>
      </c>
      <c r="AI16" s="2">
        <f>IFERROR((SUMPRODUCT(Attributs!$AD$2:$AD$18,Attributs!$BP$2:$BP$18)+SUMPRODUCT(Attributs!$AE$2:$AE$18,Attributs!$BQ$2:$BQ$18))/((SQRT(SUMSQ(Attributs!$AD$2:$AD$18)+SUMSQ(Attributs!$AE$2:$AE$18)))*(SQRT(SUMSQ(Attributs!$BP$2:$BP$18)+SUMSQ(Attributs!$BQ$2:$BQ$18)))),0)</f>
        <v/>
      </c>
      <c r="AJ16" s="2">
        <f>IFERROR((SUMPRODUCT(Attributs!$AD$2:$AD$18,Attributs!$BR$2:$BR$18)+SUMPRODUCT(Attributs!$AE$2:$AE$18,Attributs!$BS$2:$BS$18))/((SQRT(SUMSQ(Attributs!$AD$2:$AD$18)+SUMSQ(Attributs!$AE$2:$AE$18)))*(SQRT(SUMSQ(Attributs!$BR$2:$BR$18)+SUMSQ(Attributs!$BS$2:$BS$18)))),0)</f>
        <v/>
      </c>
      <c r="AK16" s="2">
        <f>IFERROR((SUMPRODUCT(Attributs!$AD$2:$AD$18,Attributs!$BT$2:$BT$18)+SUMPRODUCT(Attributs!$AE$2:$AE$18,Attributs!$BU$2:$BU$18))/((SQRT(SUMSQ(Attributs!$AD$2:$AD$18)+SUMSQ(Attributs!$AE$2:$AE$18)))*(SQRT(SUMSQ(Attributs!$BT$2:$BT$18)+SUMSQ(Attributs!$BU$2:$BU$18)))),0)</f>
        <v/>
      </c>
      <c r="AL16" s="2">
        <f>IFERROR((SUMPRODUCT(Attributs!$AD$2:$AD$18,Attributs!$BV$2:$BV$18)+SUMPRODUCT(Attributs!$AE$2:$AE$18,Attributs!$BW$2:$BW$18))/((SQRT(SUMSQ(Attributs!$AD$2:$AD$18)+SUMSQ(Attributs!$AE$2:$AE$18)))*(SQRT(SUMSQ(Attributs!$BV$2:$BV$18)+SUMSQ(Attributs!$BW$2:$BW$18)))),0)</f>
        <v/>
      </c>
      <c r="AM16" s="2">
        <f>IFERROR((SUMPRODUCT(Attributs!$AD$2:$AD$18,Attributs!$BX$2:$BX$18)+SUMPRODUCT(Attributs!$AE$2:$AE$18,Attributs!$BY$2:$BY$18))/((SQRT(SUMSQ(Attributs!$AD$2:$AD$18)+SUMSQ(Attributs!$AE$2:$AE$18)))*(SQRT(SUMSQ(Attributs!$BX$2:$BX$18)+SUMSQ(Attributs!$BY$2:$BY$18)))),0)</f>
        <v/>
      </c>
      <c r="AN16" s="2">
        <f>IFERROR((SUMPRODUCT(Attributs!$AD$2:$AD$18,Attributs!$BZ$2:$BZ$18)+SUMPRODUCT(Attributs!$AE$2:$AE$18,Attributs!$CA$2:$CA$18))/((SQRT(SUMSQ(Attributs!$AD$2:$AD$18)+SUMSQ(Attributs!$AE$2:$AE$18)))*(SQRT(SUMSQ(Attributs!$BZ$2:$BZ$18)+SUMSQ(Attributs!$CA$2:$CA$18)))),0)</f>
        <v/>
      </c>
      <c r="AO16" s="2">
        <f>IFERROR((SUMPRODUCT(Attributs!$AD$2:$AD$18,Attributs!$CB$2:$CB$18)+SUMPRODUCT(Attributs!$AE$2:$AE$18,Attributs!$CC$2:$CC$18))/((SQRT(SUMSQ(Attributs!$AD$2:$AD$18)+SUMSQ(Attributs!$AE$2:$AE$18)))*(SQRT(SUMSQ(Attributs!$CB$2:$CB$18)+SUMSQ(Attributs!$CC$2:$CC$18)))),0)</f>
        <v/>
      </c>
      <c r="AP16" s="2">
        <f>IFERROR((SUMPRODUCT(Attributs!$AD$2:$AD$18,Attributs!$CD$2:$CD$18)+SUMPRODUCT(Attributs!$AE$2:$AE$18,Attributs!$CE$2:$CE$18))/((SQRT(SUMSQ(Attributs!$AD$2:$AD$18)+SUMSQ(Attributs!$AE$2:$AE$18)))*(SQRT(SUMSQ(Attributs!$CD$2:$CD$18)+SUMSQ(Attributs!$CE$2:$CE$18)))),0)</f>
        <v/>
      </c>
      <c r="AQ16" s="2">
        <f>IFERROR((SUMPRODUCT(Attributs!$AD$2:$AD$18,Attributs!$CF$2:$CF$18)+SUMPRODUCT(Attributs!$AE$2:$AE$18,Attributs!$CG$2:$CG$18))/((SQRT(SUMSQ(Attributs!$AD$2:$AD$18)+SUMSQ(Attributs!$AE$2:$AE$18)))*(SQRT(SUMSQ(Attributs!$CF$2:$CF$18)+SUMSQ(Attributs!$CG$2:$CG$18)))),0)</f>
        <v/>
      </c>
      <c r="AR16" s="2">
        <f>IFERROR((SUMPRODUCT(Attributs!$AD$2:$AD$18,Attributs!$CH$2:$CH$18)+SUMPRODUCT(Attributs!$AE$2:$AE$18,Attributs!$CI$2:$CI$18))/((SQRT(SUMSQ(Attributs!$AD$2:$AD$18)+SUMSQ(Attributs!$AE$2:$AE$18)))*(SQRT(SUMSQ(Attributs!$CH$2:$CH$18)+SUMSQ(Attributs!$CI$2:$CI$18)))),0)</f>
        <v/>
      </c>
      <c r="AS16" s="2">
        <f>IFERROR((SUMPRODUCT(Attributs!$AD$2:$AD$18,Attributs!$CJ$2:$CJ$18)+SUMPRODUCT(Attributs!$AE$2:$AE$18,Attributs!$CK$2:$CK$18))/((SQRT(SUMSQ(Attributs!$AD$2:$AD$18)+SUMSQ(Attributs!$AE$2:$AE$18)))*(SQRT(SUMSQ(Attributs!$CJ$2:$CJ$18)+SUMSQ(Attributs!$CK$2:$CK$18)))),0)</f>
        <v/>
      </c>
      <c r="AT16" s="2">
        <f>IFERROR((SUMPRODUCT(Attributs!$AD$2:$AD$18,Attributs!$CL$2:$CL$18)+SUMPRODUCT(Attributs!$AE$2:$AE$18,Attributs!$CM$2:$CM$18))/((SQRT(SUMSQ(Attributs!$AD$2:$AD$18)+SUMSQ(Attributs!$AE$2:$AE$18)))*(SQRT(SUMSQ(Attributs!$CL$2:$CL$18)+SUMSQ(Attributs!$CM$2:$CM$18)))),0)</f>
        <v/>
      </c>
      <c r="AU16" s="2">
        <f>IFERROR((SUMPRODUCT(Attributs!$AD$2:$AD$18,Attributs!$CN$2:$CN$18)+SUMPRODUCT(Attributs!$AE$2:$AE$18,Attributs!$CO$2:$CO$18))/((SQRT(SUMSQ(Attributs!$AD$2:$AD$18)+SUMSQ(Attributs!$AE$2:$AE$18)))*(SQRT(SUMSQ(Attributs!$CN$2:$CN$18)+SUMSQ(Attributs!$CO$2:$CO$18)))),0)</f>
        <v/>
      </c>
      <c r="AV16" s="2">
        <f>IFERROR((SUMPRODUCT(Attributs!$AD$2:$AD$18,Attributs!$CP$2:$CP$18)+SUMPRODUCT(Attributs!$AE$2:$AE$18,Attributs!$CQ$2:$CQ$18))/((SQRT(SUMSQ(Attributs!$AD$2:$AD$18)+SUMSQ(Attributs!$AE$2:$AE$18)))*(SQRT(SUMSQ(Attributs!$CP$2:$CP$18)+SUMSQ(Attributs!$CQ$2:$CQ$18)))),0)</f>
        <v/>
      </c>
      <c r="AW16" s="2">
        <f>IFERROR((SUMPRODUCT(Attributs!$AD$2:$AD$18,Attributs!$CR$2:$CR$18)+SUMPRODUCT(Attributs!$AE$2:$AE$18,Attributs!$CS$2:$CS$18))/((SQRT(SUMSQ(Attributs!$AD$2:$AD$18)+SUMSQ(Attributs!$AE$2:$AE$18)))*(SQRT(SUMSQ(Attributs!$CR$2:$CR$18)+SUMSQ(Attributs!$CS$2:$CS$18)))),0)</f>
        <v/>
      </c>
      <c r="AX16" s="2">
        <f>IFERROR((SUMPRODUCT(Attributs!$AD$2:$AD$18,Attributs!$CT$2:$CT$18)+SUMPRODUCT(Attributs!$AE$2:$AE$18,Attributs!$CU$2:$CU$18))/((SQRT(SUMSQ(Attributs!$AD$2:$AD$18)+SUMSQ(Attributs!$AE$2:$AE$18)))*(SQRT(SUMSQ(Attributs!$CT$2:$CT$18)+SUMSQ(Attributs!$CU$2:$CU$18)))),0)</f>
        <v/>
      </c>
      <c r="AY16" s="2">
        <f>IFERROR((SUMPRODUCT(Attributs!$AD$2:$AD$18,Attributs!$CV$2:$CV$18)+SUMPRODUCT(Attributs!$AE$2:$AE$18,Attributs!$CW$2:$CW$18))/((SQRT(SUMSQ(Attributs!$AD$2:$AD$18)+SUMSQ(Attributs!$AE$2:$AE$18)))*(SQRT(SUMSQ(Attributs!$CV$2:$CV$18)+SUMSQ(Attributs!$CW$2:$CW$18)))),0)</f>
        <v/>
      </c>
      <c r="AZ16" s="2">
        <f>IFERROR((SUMPRODUCT(Attributs!$AD$2:$AD$18,Attributs!$CX$2:$CX$18)+SUMPRODUCT(Attributs!$AE$2:$AE$18,Attributs!$CY$2:$CY$18))/((SQRT(SUMSQ(Attributs!$AD$2:$AD$18)+SUMSQ(Attributs!$AE$2:$AE$18)))*(SQRT(SUMSQ(Attributs!$CX$2:$CX$18)+SUMSQ(Attributs!$CY$2:$CY$18)))),0)</f>
        <v/>
      </c>
      <c r="BA16" s="2">
        <f>IFERROR((SUMPRODUCT(Attributs!$AD$2:$AD$18,Attributs!$CZ$2:$CZ$18)+SUMPRODUCT(Attributs!$AE$2:$AE$18,Attributs!$DA$2:$DA$18))/((SQRT(SUMSQ(Attributs!$AD$2:$AD$18)+SUMSQ(Attributs!$AE$2:$AE$18)))*(SQRT(SUMSQ(Attributs!$CZ$2:$CZ$18)+SUMSQ(Attributs!$DA$2:$DA$18)))),0)</f>
        <v/>
      </c>
      <c r="BB16" s="2">
        <f>IFERROR((SUMPRODUCT(Attributs!$AD$2:$AD$18,Attributs!$DB$2:$DB$18)+SUMPRODUCT(Attributs!$AE$2:$AE$18,Attributs!$DC$2:$DC$18))/((SQRT(SUMSQ(Attributs!$AD$2:$AD$18)+SUMSQ(Attributs!$AE$2:$AE$18)))*(SQRT(SUMSQ(Attributs!$DB$2:$DB$18)+SUMSQ(Attributs!$DC$2:$DC$18)))),0)</f>
        <v/>
      </c>
      <c r="BC16" s="2">
        <f>IFERROR((SUMPRODUCT(Attributs!$AD$2:$AD$18,Attributs!$DD$2:$DD$18)+SUMPRODUCT(Attributs!$AE$2:$AE$18,Attributs!$DE$2:$DE$18))/((SQRT(SUMSQ(Attributs!$AD$2:$AD$18)+SUMSQ(Attributs!$AE$2:$AE$18)))*(SQRT(SUMSQ(Attributs!$DD$2:$DD$18)+SUMSQ(Attributs!$DE$2:$DE$18)))),0)</f>
        <v/>
      </c>
      <c r="BD16" s="2">
        <f>IFERROR((SUMPRODUCT(Attributs!$AD$2:$AD$18,Attributs!$DF$2:$DF$18)+SUMPRODUCT(Attributs!$AE$2:$AE$18,Attributs!$DG$2:$DG$18))/((SQRT(SUMSQ(Attributs!$AD$2:$AD$18)+SUMSQ(Attributs!$AE$2:$AE$18)))*(SQRT(SUMSQ(Attributs!$DF$2:$DF$18)+SUMSQ(Attributs!$DG$2:$DG$18)))),0)</f>
        <v/>
      </c>
      <c r="BE16" s="2">
        <f>IFERROR((SUMPRODUCT(Attributs!$AD$2:$AD$18,Attributs!$DH$2:$DH$18)+SUMPRODUCT(Attributs!$AE$2:$AE$18,Attributs!$DI$2:$DI$18))/((SQRT(SUMSQ(Attributs!$AD$2:$AD$18)+SUMSQ(Attributs!$AE$2:$AE$18)))*(SQRT(SUMSQ(Attributs!$DH$2:$DH$18)+SUMSQ(Attributs!$DI$2:$DI$18)))),0)</f>
        <v/>
      </c>
      <c r="BF16" s="2">
        <f>IFERROR((SUMPRODUCT(Attributs!$AD$2:$AD$18,Attributs!$DJ$2:$DJ$18)+SUMPRODUCT(Attributs!$AE$2:$AE$18,Attributs!$DK$2:$DK$18))/((SQRT(SUMSQ(Attributs!$AD$2:$AD$18)+SUMSQ(Attributs!$AE$2:$AE$18)))*(SQRT(SUMSQ(Attributs!$DJ$2:$DJ$18)+SUMSQ(Attributs!$DK$2:$DK$18)))),0)</f>
        <v/>
      </c>
      <c r="BG16" s="2">
        <f>IFERROR((SUMPRODUCT(Attributs!$AD$2:$AD$18,Attributs!$DL$2:$DL$18)+SUMPRODUCT(Attributs!$AE$2:$AE$18,Attributs!$DM$2:$DM$18))/((SQRT(SUMSQ(Attributs!$AD$2:$AD$18)+SUMSQ(Attributs!$AE$2:$AE$18)))*(SQRT(SUMSQ(Attributs!$DL$2:$DL$18)+SUMSQ(Attributs!$DM$2:$DM$18)))),0)</f>
        <v/>
      </c>
      <c r="BH16" s="2">
        <f>IFERROR((SUMPRODUCT(Attributs!$AD$2:$AD$18,Attributs!$DN$2:$DN$18)+SUMPRODUCT(Attributs!$AE$2:$AE$18,Attributs!$DO$2:$DO$18))/((SQRT(SUMSQ(Attributs!$AD$2:$AD$18)+SUMSQ(Attributs!$AE$2:$AE$18)))*(SQRT(SUMSQ(Attributs!$DN$2:$DN$18)+SUMSQ(Attributs!$DO$2:$DO$18)))),0)</f>
        <v/>
      </c>
      <c r="BI16" s="2">
        <f>IFERROR((SUMPRODUCT(Attributs!$AD$2:$AD$18,Attributs!$DP$2:$DP$18)+SUMPRODUCT(Attributs!$AE$2:$AE$18,Attributs!$DQ$2:$DQ$18))/((SQRT(SUMSQ(Attributs!$AD$2:$AD$18)+SUMSQ(Attributs!$AE$2:$AE$18)))*(SQRT(SUMSQ(Attributs!$DP$2:$DP$18)+SUMSQ(Attributs!$DQ$2:$DQ$18)))),0)</f>
        <v/>
      </c>
      <c r="BJ16" s="2">
        <f>IFERROR((SUMPRODUCT(Attributs!$AD$2:$AD$18,Attributs!$DR$2:$DR$18)+SUMPRODUCT(Attributs!$AE$2:$AE$18,Attributs!$DS$2:$DS$18))/((SQRT(SUMSQ(Attributs!$AD$2:$AD$18)+SUMSQ(Attributs!$AE$2:$AE$18)))*(SQRT(SUMSQ(Attributs!$DR$2:$DR$18)+SUMSQ(Attributs!$DS$2:$DS$18)))),0)</f>
        <v/>
      </c>
      <c r="BK16" s="2">
        <f>IFERROR((SUMPRODUCT(Attributs!$AD$2:$AD$18,Attributs!$DT$2:$DT$18)+SUMPRODUCT(Attributs!$AE$2:$AE$18,Attributs!$DU$2:$DU$18))/((SQRT(SUMSQ(Attributs!$AD$2:$AD$18)+SUMSQ(Attributs!$AE$2:$AE$18)))*(SQRT(SUMSQ(Attributs!$DT$2:$DT$18)+SUMSQ(Attributs!$DU$2:$DU$18)))),0)</f>
        <v/>
      </c>
      <c r="BL16" s="2">
        <f>IFERROR((SUMPRODUCT(Attributs!$AD$2:$AD$18,Attributs!$DV$2:$DV$18)+SUMPRODUCT(Attributs!$AE$2:$AE$18,Attributs!$DW$2:$DW$18))/((SQRT(SUMSQ(Attributs!$AD$2:$AD$18)+SUMSQ(Attributs!$AE$2:$AE$18)))*(SQRT(SUMSQ(Attributs!$DV$2:$DV$18)+SUMSQ(Attributs!$DW$2:$DW$18)))),0)</f>
        <v/>
      </c>
    </row>
    <row r="17">
      <c r="A17" s="3" t="inlineStr">
        <is>
          <t>SE_mysql.Users.LastAccessDate</t>
        </is>
      </c>
      <c r="B17" s="2">
        <f>IFERROR((SUMPRODUCT(Attributs!$AF$2:$AF$18,Attributs!$B$2:$B$18)+SUMPRODUCT(Attributs!$AG$2:$AG$18,Attributs!$C$2:$C$18))/((SQRT(SUMSQ(Attributs!$AF$2:$AF$18)+SUMSQ(Attributs!$AG$2:$AG$18)))*(SQRT(SUMSQ(Attributs!$B$2:$B$18)+SUMSQ(Attributs!$C$2:$C$18)))),0)</f>
        <v/>
      </c>
      <c r="C17" s="2">
        <f>IFERROR((SUMPRODUCT(Attributs!$AF$2:$AF$18,Attributs!$D$2:$D$18)+SUMPRODUCT(Attributs!$AG$2:$AG$18,Attributs!$E$2:$E$18))/((SQRT(SUMSQ(Attributs!$AF$2:$AF$18)+SUMSQ(Attributs!$AG$2:$AG$18)))*(SQRT(SUMSQ(Attributs!$D$2:$D$18)+SUMSQ(Attributs!$E$2:$E$18)))),0)</f>
        <v/>
      </c>
      <c r="D17" s="2">
        <f>IFERROR((SUMPRODUCT(Attributs!$AF$2:$AF$18,Attributs!$F$2:$F$18)+SUMPRODUCT(Attributs!$AG$2:$AG$18,Attributs!$G$2:$G$18))/((SQRT(SUMSQ(Attributs!$AF$2:$AF$18)+SUMSQ(Attributs!$AG$2:$AG$18)))*(SQRT(SUMSQ(Attributs!$F$2:$F$18)+SUMSQ(Attributs!$G$2:$G$18)))),0)</f>
        <v/>
      </c>
      <c r="E17" s="2">
        <f>IFERROR((SUMPRODUCT(Attributs!$AF$2:$AF$18,Attributs!$H$2:$H$18)+SUMPRODUCT(Attributs!$AG$2:$AG$18,Attributs!$I$2:$I$18))/((SQRT(SUMSQ(Attributs!$AF$2:$AF$18)+SUMSQ(Attributs!$AG$2:$AG$18)))*(SQRT(SUMSQ(Attributs!$H$2:$H$18)+SUMSQ(Attributs!$I$2:$I$18)))),0)</f>
        <v/>
      </c>
      <c r="F17" s="2">
        <f>IFERROR((SUMPRODUCT(Attributs!$AF$2:$AF$18,Attributs!$J$2:$J$18)+SUMPRODUCT(Attributs!$AG$2:$AG$18,Attributs!$K$2:$K$18))/((SQRT(SUMSQ(Attributs!$AF$2:$AF$18)+SUMSQ(Attributs!$AG$2:$AG$18)))*(SQRT(SUMSQ(Attributs!$J$2:$J$18)+SUMSQ(Attributs!$K$2:$K$18)))),0)</f>
        <v/>
      </c>
      <c r="G17" s="2">
        <f>IFERROR((SUMPRODUCT(Attributs!$AF$2:$AF$18,Attributs!$L$2:$L$18)+SUMPRODUCT(Attributs!$AG$2:$AG$18,Attributs!$M$2:$M$18))/((SQRT(SUMSQ(Attributs!$AF$2:$AF$18)+SUMSQ(Attributs!$AG$2:$AG$18)))*(SQRT(SUMSQ(Attributs!$L$2:$L$18)+SUMSQ(Attributs!$M$2:$M$18)))),0)</f>
        <v/>
      </c>
      <c r="H17" s="2">
        <f>IFERROR((SUMPRODUCT(Attributs!$AF$2:$AF$18,Attributs!$N$2:$N$18)+SUMPRODUCT(Attributs!$AG$2:$AG$18,Attributs!$O$2:$O$18))/((SQRT(SUMSQ(Attributs!$AF$2:$AF$18)+SUMSQ(Attributs!$AG$2:$AG$18)))*(SQRT(SUMSQ(Attributs!$N$2:$N$18)+SUMSQ(Attributs!$O$2:$O$18)))),0)</f>
        <v/>
      </c>
      <c r="I17" s="2">
        <f>IFERROR((SUMPRODUCT(Attributs!$AF$2:$AF$18,Attributs!$P$2:$P$18)+SUMPRODUCT(Attributs!$AG$2:$AG$18,Attributs!$Q$2:$Q$18))/((SQRT(SUMSQ(Attributs!$AF$2:$AF$18)+SUMSQ(Attributs!$AG$2:$AG$18)))*(SQRT(SUMSQ(Attributs!$P$2:$P$18)+SUMSQ(Attributs!$Q$2:$Q$18)))),0)</f>
        <v/>
      </c>
      <c r="J17" s="2">
        <f>IFERROR((SUMPRODUCT(Attributs!$AF$2:$AF$18,Attributs!$R$2:$R$18)+SUMPRODUCT(Attributs!$AG$2:$AG$18,Attributs!$S$2:$S$18))/((SQRT(SUMSQ(Attributs!$AF$2:$AF$18)+SUMSQ(Attributs!$AG$2:$AG$18)))*(SQRT(SUMSQ(Attributs!$R$2:$R$18)+SUMSQ(Attributs!$S$2:$S$18)))),0)</f>
        <v/>
      </c>
      <c r="K17" s="2">
        <f>IFERROR((SUMPRODUCT(Attributs!$AF$2:$AF$18,Attributs!$T$2:$T$18)+SUMPRODUCT(Attributs!$AG$2:$AG$18,Attributs!$U$2:$U$18))/((SQRT(SUMSQ(Attributs!$AF$2:$AF$18)+SUMSQ(Attributs!$AG$2:$AG$18)))*(SQRT(SUMSQ(Attributs!$T$2:$T$18)+SUMSQ(Attributs!$U$2:$U$18)))),0)</f>
        <v/>
      </c>
      <c r="L17" s="2">
        <f>IFERROR((SUMPRODUCT(Attributs!$AF$2:$AF$18,Attributs!$V$2:$V$18)+SUMPRODUCT(Attributs!$AG$2:$AG$18,Attributs!$W$2:$W$18))/((SQRT(SUMSQ(Attributs!$AF$2:$AF$18)+SUMSQ(Attributs!$AG$2:$AG$18)))*(SQRT(SUMSQ(Attributs!$V$2:$V$18)+SUMSQ(Attributs!$W$2:$W$18)))),0)</f>
        <v/>
      </c>
      <c r="M17" s="2">
        <f>IFERROR((SUMPRODUCT(Attributs!$AF$2:$AF$18,Attributs!$X$2:$X$18)+SUMPRODUCT(Attributs!$AG$2:$AG$18,Attributs!$Y$2:$Y$18))/((SQRT(SUMSQ(Attributs!$AF$2:$AF$18)+SUMSQ(Attributs!$AG$2:$AG$18)))*(SQRT(SUMSQ(Attributs!$X$2:$X$18)+SUMSQ(Attributs!$Y$2:$Y$18)))),0)</f>
        <v/>
      </c>
      <c r="N17" s="2">
        <f>IFERROR((SUMPRODUCT(Attributs!$AF$2:$AF$18,Attributs!$Z$2:$Z$18)+SUMPRODUCT(Attributs!$AG$2:$AG$18,Attributs!$AA$2:$AA$18))/((SQRT(SUMSQ(Attributs!$AF$2:$AF$18)+SUMSQ(Attributs!$AG$2:$AG$18)))*(SQRT(SUMSQ(Attributs!$Z$2:$Z$18)+SUMSQ(Attributs!$AA$2:$AA$18)))),0)</f>
        <v/>
      </c>
      <c r="O17" s="2">
        <f>IFERROR((SUMPRODUCT(Attributs!$AF$2:$AF$18,Attributs!$AB$2:$AB$18)+SUMPRODUCT(Attributs!$AG$2:$AG$18,Attributs!$AC$2:$AC$18))/((SQRT(SUMSQ(Attributs!$AF$2:$AF$18)+SUMSQ(Attributs!$AG$2:$AG$18)))*(SQRT(SUMSQ(Attributs!$AB$2:$AB$18)+SUMSQ(Attributs!$AC$2:$AC$18)))),0)</f>
        <v/>
      </c>
      <c r="P17" s="2">
        <f>IFERROR((SUMPRODUCT(Attributs!$AF$2:$AF$18,Attributs!$AD$2:$AD$18)+SUMPRODUCT(Attributs!$AG$2:$AG$18,Attributs!$AE$2:$AE$18))/((SQRT(SUMSQ(Attributs!$AF$2:$AF$18)+SUMSQ(Attributs!$AG$2:$AG$18)))*(SQRT(SUMSQ(Attributs!$AD$2:$AD$18)+SUMSQ(Attributs!$AE$2:$AE$18)))),0)</f>
        <v/>
      </c>
      <c r="Q17" s="2">
        <f>IFERROR((SUMPRODUCT(Attributs!$AF$2:$AF$18,Attributs!$AF$2:$AF$18)+SUMPRODUCT(Attributs!$AG$2:$AG$18,Attributs!$AG$2:$AG$18))/((SQRT(SUMSQ(Attributs!$AF$2:$AF$18)+SUMSQ(Attributs!$AG$2:$AG$18)))*(SQRT(SUMSQ(Attributs!$AF$2:$AF$18)+SUMSQ(Attributs!$AG$2:$AG$18)))),0)</f>
        <v/>
      </c>
      <c r="R17" s="2">
        <f>IFERROR((SUMPRODUCT(Attributs!$AF$2:$AF$18,Attributs!$AH$2:$AH$18)+SUMPRODUCT(Attributs!$AG$2:$AG$18,Attributs!$AI$2:$AI$18))/((SQRT(SUMSQ(Attributs!$AF$2:$AF$18)+SUMSQ(Attributs!$AG$2:$AG$18)))*(SQRT(SUMSQ(Attributs!$AH$2:$AH$18)+SUMSQ(Attributs!$AI$2:$AI$18)))),0)</f>
        <v/>
      </c>
      <c r="S17" s="2">
        <f>IFERROR((SUMPRODUCT(Attributs!$AF$2:$AF$18,Attributs!$AJ$2:$AJ$18)+SUMPRODUCT(Attributs!$AG$2:$AG$18,Attributs!$AK$2:$AK$18))/((SQRT(SUMSQ(Attributs!$AF$2:$AF$18)+SUMSQ(Attributs!$AG$2:$AG$18)))*(SQRT(SUMSQ(Attributs!$AJ$2:$AJ$18)+SUMSQ(Attributs!$AK$2:$AK$18)))),0)</f>
        <v/>
      </c>
      <c r="T17" s="2">
        <f>IFERROR((SUMPRODUCT(Attributs!$AF$2:$AF$18,Attributs!$AL$2:$AL$18)+SUMPRODUCT(Attributs!$AG$2:$AG$18,Attributs!$AM$2:$AM$18))/((SQRT(SUMSQ(Attributs!$AF$2:$AF$18)+SUMSQ(Attributs!$AG$2:$AG$18)))*(SQRT(SUMSQ(Attributs!$AL$2:$AL$18)+SUMSQ(Attributs!$AM$2:$AM$18)))),0)</f>
        <v/>
      </c>
      <c r="U17" s="2">
        <f>IFERROR((SUMPRODUCT(Attributs!$AF$2:$AF$18,Attributs!$AN$2:$AN$18)+SUMPRODUCT(Attributs!$AG$2:$AG$18,Attributs!$AO$2:$AO$18))/((SQRT(SUMSQ(Attributs!$AF$2:$AF$18)+SUMSQ(Attributs!$AG$2:$AG$18)))*(SQRT(SUMSQ(Attributs!$AN$2:$AN$18)+SUMSQ(Attributs!$AO$2:$AO$18)))),0)</f>
        <v/>
      </c>
      <c r="V17" s="2">
        <f>IFERROR((SUMPRODUCT(Attributs!$AF$2:$AF$18,Attributs!$AP$2:$AP$18)+SUMPRODUCT(Attributs!$AG$2:$AG$18,Attributs!$AQ$2:$AQ$18))/((SQRT(SUMSQ(Attributs!$AF$2:$AF$18)+SUMSQ(Attributs!$AG$2:$AG$18)))*(SQRT(SUMSQ(Attributs!$AP$2:$AP$18)+SUMSQ(Attributs!$AQ$2:$AQ$18)))),0)</f>
        <v/>
      </c>
      <c r="W17" s="2">
        <f>IFERROR((SUMPRODUCT(Attributs!$AF$2:$AF$18,Attributs!$AR$2:$AR$18)+SUMPRODUCT(Attributs!$AG$2:$AG$18,Attributs!$AS$2:$AS$18))/((SQRT(SUMSQ(Attributs!$AF$2:$AF$18)+SUMSQ(Attributs!$AG$2:$AG$18)))*(SQRT(SUMSQ(Attributs!$AR$2:$AR$18)+SUMSQ(Attributs!$AS$2:$AS$18)))),0)</f>
        <v/>
      </c>
      <c r="X17" s="2">
        <f>IFERROR((SUMPRODUCT(Attributs!$AF$2:$AF$18,Attributs!$AT$2:$AT$18)+SUMPRODUCT(Attributs!$AG$2:$AG$18,Attributs!$AU$2:$AU$18))/((SQRT(SUMSQ(Attributs!$AF$2:$AF$18)+SUMSQ(Attributs!$AG$2:$AG$18)))*(SQRT(SUMSQ(Attributs!$AT$2:$AT$18)+SUMSQ(Attributs!$AU$2:$AU$18)))),0)</f>
        <v/>
      </c>
      <c r="Y17" s="2">
        <f>IFERROR((SUMPRODUCT(Attributs!$AF$2:$AF$18,Attributs!$AV$2:$AV$18)+SUMPRODUCT(Attributs!$AG$2:$AG$18,Attributs!$AW$2:$AW$18))/((SQRT(SUMSQ(Attributs!$AF$2:$AF$18)+SUMSQ(Attributs!$AG$2:$AG$18)))*(SQRT(SUMSQ(Attributs!$AV$2:$AV$18)+SUMSQ(Attributs!$AW$2:$AW$18)))),0)</f>
        <v/>
      </c>
      <c r="Z17" s="2">
        <f>IFERROR((SUMPRODUCT(Attributs!$AF$2:$AF$18,Attributs!$AX$2:$AX$18)+SUMPRODUCT(Attributs!$AG$2:$AG$18,Attributs!$AY$2:$AY$18))/((SQRT(SUMSQ(Attributs!$AF$2:$AF$18)+SUMSQ(Attributs!$AG$2:$AG$18)))*(SQRT(SUMSQ(Attributs!$AX$2:$AX$18)+SUMSQ(Attributs!$AY$2:$AY$18)))),0)</f>
        <v/>
      </c>
      <c r="AA17" s="2">
        <f>IFERROR((SUMPRODUCT(Attributs!$AF$2:$AF$18,Attributs!$AZ$2:$AZ$18)+SUMPRODUCT(Attributs!$AG$2:$AG$18,Attributs!$BA$2:$BA$18))/((SQRT(SUMSQ(Attributs!$AF$2:$AF$18)+SUMSQ(Attributs!$AG$2:$AG$18)))*(SQRT(SUMSQ(Attributs!$AZ$2:$AZ$18)+SUMSQ(Attributs!$BA$2:$BA$18)))),0)</f>
        <v/>
      </c>
      <c r="AB17" s="2">
        <f>IFERROR((SUMPRODUCT(Attributs!$AF$2:$AF$18,Attributs!$BB$2:$BB$18)+SUMPRODUCT(Attributs!$AG$2:$AG$18,Attributs!$BC$2:$BC$18))/((SQRT(SUMSQ(Attributs!$AF$2:$AF$18)+SUMSQ(Attributs!$AG$2:$AG$18)))*(SQRT(SUMSQ(Attributs!$BB$2:$BB$18)+SUMSQ(Attributs!$BC$2:$BC$18)))),0)</f>
        <v/>
      </c>
      <c r="AC17" s="2">
        <f>IFERROR((SUMPRODUCT(Attributs!$AF$2:$AF$18,Attributs!$BD$2:$BD$18)+SUMPRODUCT(Attributs!$AG$2:$AG$18,Attributs!$BE$2:$BE$18))/((SQRT(SUMSQ(Attributs!$AF$2:$AF$18)+SUMSQ(Attributs!$AG$2:$AG$18)))*(SQRT(SUMSQ(Attributs!$BD$2:$BD$18)+SUMSQ(Attributs!$BE$2:$BE$18)))),0)</f>
        <v/>
      </c>
      <c r="AD17" s="2">
        <f>IFERROR((SUMPRODUCT(Attributs!$AF$2:$AF$18,Attributs!$BF$2:$BF$18)+SUMPRODUCT(Attributs!$AG$2:$AG$18,Attributs!$BG$2:$BG$18))/((SQRT(SUMSQ(Attributs!$AF$2:$AF$18)+SUMSQ(Attributs!$AG$2:$AG$18)))*(SQRT(SUMSQ(Attributs!$BF$2:$BF$18)+SUMSQ(Attributs!$BG$2:$BG$18)))),0)</f>
        <v/>
      </c>
      <c r="AE17" s="2">
        <f>IFERROR((SUMPRODUCT(Attributs!$AF$2:$AF$18,Attributs!$BH$2:$BH$18)+SUMPRODUCT(Attributs!$AG$2:$AG$18,Attributs!$BI$2:$BI$18))/((SQRT(SUMSQ(Attributs!$AF$2:$AF$18)+SUMSQ(Attributs!$AG$2:$AG$18)))*(SQRT(SUMSQ(Attributs!$BH$2:$BH$18)+SUMSQ(Attributs!$BI$2:$BI$18)))),0)</f>
        <v/>
      </c>
      <c r="AF17" s="2">
        <f>IFERROR((SUMPRODUCT(Attributs!$AF$2:$AF$18,Attributs!$BJ$2:$BJ$18)+SUMPRODUCT(Attributs!$AG$2:$AG$18,Attributs!$BK$2:$BK$18))/((SQRT(SUMSQ(Attributs!$AF$2:$AF$18)+SUMSQ(Attributs!$AG$2:$AG$18)))*(SQRT(SUMSQ(Attributs!$BJ$2:$BJ$18)+SUMSQ(Attributs!$BK$2:$BK$18)))),0)</f>
        <v/>
      </c>
      <c r="AG17" s="2">
        <f>IFERROR((SUMPRODUCT(Attributs!$AF$2:$AF$18,Attributs!$BL$2:$BL$18)+SUMPRODUCT(Attributs!$AG$2:$AG$18,Attributs!$BM$2:$BM$18))/((SQRT(SUMSQ(Attributs!$AF$2:$AF$18)+SUMSQ(Attributs!$AG$2:$AG$18)))*(SQRT(SUMSQ(Attributs!$BL$2:$BL$18)+SUMSQ(Attributs!$BM$2:$BM$18)))),0)</f>
        <v/>
      </c>
      <c r="AH17" s="2">
        <f>IFERROR((SUMPRODUCT(Attributs!$AF$2:$AF$18,Attributs!$BN$2:$BN$18)+SUMPRODUCT(Attributs!$AG$2:$AG$18,Attributs!$BO$2:$BO$18))/((SQRT(SUMSQ(Attributs!$AF$2:$AF$18)+SUMSQ(Attributs!$AG$2:$AG$18)))*(SQRT(SUMSQ(Attributs!$BN$2:$BN$18)+SUMSQ(Attributs!$BO$2:$BO$18)))),0)</f>
        <v/>
      </c>
      <c r="AI17" s="2">
        <f>IFERROR((SUMPRODUCT(Attributs!$AF$2:$AF$18,Attributs!$BP$2:$BP$18)+SUMPRODUCT(Attributs!$AG$2:$AG$18,Attributs!$BQ$2:$BQ$18))/((SQRT(SUMSQ(Attributs!$AF$2:$AF$18)+SUMSQ(Attributs!$AG$2:$AG$18)))*(SQRT(SUMSQ(Attributs!$BP$2:$BP$18)+SUMSQ(Attributs!$BQ$2:$BQ$18)))),0)</f>
        <v/>
      </c>
      <c r="AJ17" s="2">
        <f>IFERROR((SUMPRODUCT(Attributs!$AF$2:$AF$18,Attributs!$BR$2:$BR$18)+SUMPRODUCT(Attributs!$AG$2:$AG$18,Attributs!$BS$2:$BS$18))/((SQRT(SUMSQ(Attributs!$AF$2:$AF$18)+SUMSQ(Attributs!$AG$2:$AG$18)))*(SQRT(SUMSQ(Attributs!$BR$2:$BR$18)+SUMSQ(Attributs!$BS$2:$BS$18)))),0)</f>
        <v/>
      </c>
      <c r="AK17" s="2">
        <f>IFERROR((SUMPRODUCT(Attributs!$AF$2:$AF$18,Attributs!$BT$2:$BT$18)+SUMPRODUCT(Attributs!$AG$2:$AG$18,Attributs!$BU$2:$BU$18))/((SQRT(SUMSQ(Attributs!$AF$2:$AF$18)+SUMSQ(Attributs!$AG$2:$AG$18)))*(SQRT(SUMSQ(Attributs!$BT$2:$BT$18)+SUMSQ(Attributs!$BU$2:$BU$18)))),0)</f>
        <v/>
      </c>
      <c r="AL17" s="2">
        <f>IFERROR((SUMPRODUCT(Attributs!$AF$2:$AF$18,Attributs!$BV$2:$BV$18)+SUMPRODUCT(Attributs!$AG$2:$AG$18,Attributs!$BW$2:$BW$18))/((SQRT(SUMSQ(Attributs!$AF$2:$AF$18)+SUMSQ(Attributs!$AG$2:$AG$18)))*(SQRT(SUMSQ(Attributs!$BV$2:$BV$18)+SUMSQ(Attributs!$BW$2:$BW$18)))),0)</f>
        <v/>
      </c>
      <c r="AM17" s="2">
        <f>IFERROR((SUMPRODUCT(Attributs!$AF$2:$AF$18,Attributs!$BX$2:$BX$18)+SUMPRODUCT(Attributs!$AG$2:$AG$18,Attributs!$BY$2:$BY$18))/((SQRT(SUMSQ(Attributs!$AF$2:$AF$18)+SUMSQ(Attributs!$AG$2:$AG$18)))*(SQRT(SUMSQ(Attributs!$BX$2:$BX$18)+SUMSQ(Attributs!$BY$2:$BY$18)))),0)</f>
        <v/>
      </c>
      <c r="AN17" s="2">
        <f>IFERROR((SUMPRODUCT(Attributs!$AF$2:$AF$18,Attributs!$BZ$2:$BZ$18)+SUMPRODUCT(Attributs!$AG$2:$AG$18,Attributs!$CA$2:$CA$18))/((SQRT(SUMSQ(Attributs!$AF$2:$AF$18)+SUMSQ(Attributs!$AG$2:$AG$18)))*(SQRT(SUMSQ(Attributs!$BZ$2:$BZ$18)+SUMSQ(Attributs!$CA$2:$CA$18)))),0)</f>
        <v/>
      </c>
      <c r="AO17" s="2">
        <f>IFERROR((SUMPRODUCT(Attributs!$AF$2:$AF$18,Attributs!$CB$2:$CB$18)+SUMPRODUCT(Attributs!$AG$2:$AG$18,Attributs!$CC$2:$CC$18))/((SQRT(SUMSQ(Attributs!$AF$2:$AF$18)+SUMSQ(Attributs!$AG$2:$AG$18)))*(SQRT(SUMSQ(Attributs!$CB$2:$CB$18)+SUMSQ(Attributs!$CC$2:$CC$18)))),0)</f>
        <v/>
      </c>
      <c r="AP17" s="2">
        <f>IFERROR((SUMPRODUCT(Attributs!$AF$2:$AF$18,Attributs!$CD$2:$CD$18)+SUMPRODUCT(Attributs!$AG$2:$AG$18,Attributs!$CE$2:$CE$18))/((SQRT(SUMSQ(Attributs!$AF$2:$AF$18)+SUMSQ(Attributs!$AG$2:$AG$18)))*(SQRT(SUMSQ(Attributs!$CD$2:$CD$18)+SUMSQ(Attributs!$CE$2:$CE$18)))),0)</f>
        <v/>
      </c>
      <c r="AQ17" s="2">
        <f>IFERROR((SUMPRODUCT(Attributs!$AF$2:$AF$18,Attributs!$CF$2:$CF$18)+SUMPRODUCT(Attributs!$AG$2:$AG$18,Attributs!$CG$2:$CG$18))/((SQRT(SUMSQ(Attributs!$AF$2:$AF$18)+SUMSQ(Attributs!$AG$2:$AG$18)))*(SQRT(SUMSQ(Attributs!$CF$2:$CF$18)+SUMSQ(Attributs!$CG$2:$CG$18)))),0)</f>
        <v/>
      </c>
      <c r="AR17" s="2">
        <f>IFERROR((SUMPRODUCT(Attributs!$AF$2:$AF$18,Attributs!$CH$2:$CH$18)+SUMPRODUCT(Attributs!$AG$2:$AG$18,Attributs!$CI$2:$CI$18))/((SQRT(SUMSQ(Attributs!$AF$2:$AF$18)+SUMSQ(Attributs!$AG$2:$AG$18)))*(SQRT(SUMSQ(Attributs!$CH$2:$CH$18)+SUMSQ(Attributs!$CI$2:$CI$18)))),0)</f>
        <v/>
      </c>
      <c r="AS17" s="2">
        <f>IFERROR((SUMPRODUCT(Attributs!$AF$2:$AF$18,Attributs!$CJ$2:$CJ$18)+SUMPRODUCT(Attributs!$AG$2:$AG$18,Attributs!$CK$2:$CK$18))/((SQRT(SUMSQ(Attributs!$AF$2:$AF$18)+SUMSQ(Attributs!$AG$2:$AG$18)))*(SQRT(SUMSQ(Attributs!$CJ$2:$CJ$18)+SUMSQ(Attributs!$CK$2:$CK$18)))),0)</f>
        <v/>
      </c>
      <c r="AT17" s="2">
        <f>IFERROR((SUMPRODUCT(Attributs!$AF$2:$AF$18,Attributs!$CL$2:$CL$18)+SUMPRODUCT(Attributs!$AG$2:$AG$18,Attributs!$CM$2:$CM$18))/((SQRT(SUMSQ(Attributs!$AF$2:$AF$18)+SUMSQ(Attributs!$AG$2:$AG$18)))*(SQRT(SUMSQ(Attributs!$CL$2:$CL$18)+SUMSQ(Attributs!$CM$2:$CM$18)))),0)</f>
        <v/>
      </c>
      <c r="AU17" s="2">
        <f>IFERROR((SUMPRODUCT(Attributs!$AF$2:$AF$18,Attributs!$CN$2:$CN$18)+SUMPRODUCT(Attributs!$AG$2:$AG$18,Attributs!$CO$2:$CO$18))/((SQRT(SUMSQ(Attributs!$AF$2:$AF$18)+SUMSQ(Attributs!$AG$2:$AG$18)))*(SQRT(SUMSQ(Attributs!$CN$2:$CN$18)+SUMSQ(Attributs!$CO$2:$CO$18)))),0)</f>
        <v/>
      </c>
      <c r="AV17" s="2">
        <f>IFERROR((SUMPRODUCT(Attributs!$AF$2:$AF$18,Attributs!$CP$2:$CP$18)+SUMPRODUCT(Attributs!$AG$2:$AG$18,Attributs!$CQ$2:$CQ$18))/((SQRT(SUMSQ(Attributs!$AF$2:$AF$18)+SUMSQ(Attributs!$AG$2:$AG$18)))*(SQRT(SUMSQ(Attributs!$CP$2:$CP$18)+SUMSQ(Attributs!$CQ$2:$CQ$18)))),0)</f>
        <v/>
      </c>
      <c r="AW17" s="2">
        <f>IFERROR((SUMPRODUCT(Attributs!$AF$2:$AF$18,Attributs!$CR$2:$CR$18)+SUMPRODUCT(Attributs!$AG$2:$AG$18,Attributs!$CS$2:$CS$18))/((SQRT(SUMSQ(Attributs!$AF$2:$AF$18)+SUMSQ(Attributs!$AG$2:$AG$18)))*(SQRT(SUMSQ(Attributs!$CR$2:$CR$18)+SUMSQ(Attributs!$CS$2:$CS$18)))),0)</f>
        <v/>
      </c>
      <c r="AX17" s="2">
        <f>IFERROR((SUMPRODUCT(Attributs!$AF$2:$AF$18,Attributs!$CT$2:$CT$18)+SUMPRODUCT(Attributs!$AG$2:$AG$18,Attributs!$CU$2:$CU$18))/((SQRT(SUMSQ(Attributs!$AF$2:$AF$18)+SUMSQ(Attributs!$AG$2:$AG$18)))*(SQRT(SUMSQ(Attributs!$CT$2:$CT$18)+SUMSQ(Attributs!$CU$2:$CU$18)))),0)</f>
        <v/>
      </c>
      <c r="AY17" s="2">
        <f>IFERROR((SUMPRODUCT(Attributs!$AF$2:$AF$18,Attributs!$CV$2:$CV$18)+SUMPRODUCT(Attributs!$AG$2:$AG$18,Attributs!$CW$2:$CW$18))/((SQRT(SUMSQ(Attributs!$AF$2:$AF$18)+SUMSQ(Attributs!$AG$2:$AG$18)))*(SQRT(SUMSQ(Attributs!$CV$2:$CV$18)+SUMSQ(Attributs!$CW$2:$CW$18)))),0)</f>
        <v/>
      </c>
      <c r="AZ17" s="2">
        <f>IFERROR((SUMPRODUCT(Attributs!$AF$2:$AF$18,Attributs!$CX$2:$CX$18)+SUMPRODUCT(Attributs!$AG$2:$AG$18,Attributs!$CY$2:$CY$18))/((SQRT(SUMSQ(Attributs!$AF$2:$AF$18)+SUMSQ(Attributs!$AG$2:$AG$18)))*(SQRT(SUMSQ(Attributs!$CX$2:$CX$18)+SUMSQ(Attributs!$CY$2:$CY$18)))),0)</f>
        <v/>
      </c>
      <c r="BA17" s="2">
        <f>IFERROR((SUMPRODUCT(Attributs!$AF$2:$AF$18,Attributs!$CZ$2:$CZ$18)+SUMPRODUCT(Attributs!$AG$2:$AG$18,Attributs!$DA$2:$DA$18))/((SQRT(SUMSQ(Attributs!$AF$2:$AF$18)+SUMSQ(Attributs!$AG$2:$AG$18)))*(SQRT(SUMSQ(Attributs!$CZ$2:$CZ$18)+SUMSQ(Attributs!$DA$2:$DA$18)))),0)</f>
        <v/>
      </c>
      <c r="BB17" s="2">
        <f>IFERROR((SUMPRODUCT(Attributs!$AF$2:$AF$18,Attributs!$DB$2:$DB$18)+SUMPRODUCT(Attributs!$AG$2:$AG$18,Attributs!$DC$2:$DC$18))/((SQRT(SUMSQ(Attributs!$AF$2:$AF$18)+SUMSQ(Attributs!$AG$2:$AG$18)))*(SQRT(SUMSQ(Attributs!$DB$2:$DB$18)+SUMSQ(Attributs!$DC$2:$DC$18)))),0)</f>
        <v/>
      </c>
      <c r="BC17" s="2">
        <f>IFERROR((SUMPRODUCT(Attributs!$AF$2:$AF$18,Attributs!$DD$2:$DD$18)+SUMPRODUCT(Attributs!$AG$2:$AG$18,Attributs!$DE$2:$DE$18))/((SQRT(SUMSQ(Attributs!$AF$2:$AF$18)+SUMSQ(Attributs!$AG$2:$AG$18)))*(SQRT(SUMSQ(Attributs!$DD$2:$DD$18)+SUMSQ(Attributs!$DE$2:$DE$18)))),0)</f>
        <v/>
      </c>
      <c r="BD17" s="2">
        <f>IFERROR((SUMPRODUCT(Attributs!$AF$2:$AF$18,Attributs!$DF$2:$DF$18)+SUMPRODUCT(Attributs!$AG$2:$AG$18,Attributs!$DG$2:$DG$18))/((SQRT(SUMSQ(Attributs!$AF$2:$AF$18)+SUMSQ(Attributs!$AG$2:$AG$18)))*(SQRT(SUMSQ(Attributs!$DF$2:$DF$18)+SUMSQ(Attributs!$DG$2:$DG$18)))),0)</f>
        <v/>
      </c>
      <c r="BE17" s="2">
        <f>IFERROR((SUMPRODUCT(Attributs!$AF$2:$AF$18,Attributs!$DH$2:$DH$18)+SUMPRODUCT(Attributs!$AG$2:$AG$18,Attributs!$DI$2:$DI$18))/((SQRT(SUMSQ(Attributs!$AF$2:$AF$18)+SUMSQ(Attributs!$AG$2:$AG$18)))*(SQRT(SUMSQ(Attributs!$DH$2:$DH$18)+SUMSQ(Attributs!$DI$2:$DI$18)))),0)</f>
        <v/>
      </c>
      <c r="BF17" s="2">
        <f>IFERROR((SUMPRODUCT(Attributs!$AF$2:$AF$18,Attributs!$DJ$2:$DJ$18)+SUMPRODUCT(Attributs!$AG$2:$AG$18,Attributs!$DK$2:$DK$18))/((SQRT(SUMSQ(Attributs!$AF$2:$AF$18)+SUMSQ(Attributs!$AG$2:$AG$18)))*(SQRT(SUMSQ(Attributs!$DJ$2:$DJ$18)+SUMSQ(Attributs!$DK$2:$DK$18)))),0)</f>
        <v/>
      </c>
      <c r="BG17" s="2">
        <f>IFERROR((SUMPRODUCT(Attributs!$AF$2:$AF$18,Attributs!$DL$2:$DL$18)+SUMPRODUCT(Attributs!$AG$2:$AG$18,Attributs!$DM$2:$DM$18))/((SQRT(SUMSQ(Attributs!$AF$2:$AF$18)+SUMSQ(Attributs!$AG$2:$AG$18)))*(SQRT(SUMSQ(Attributs!$DL$2:$DL$18)+SUMSQ(Attributs!$DM$2:$DM$18)))),0)</f>
        <v/>
      </c>
      <c r="BH17" s="2">
        <f>IFERROR((SUMPRODUCT(Attributs!$AF$2:$AF$18,Attributs!$DN$2:$DN$18)+SUMPRODUCT(Attributs!$AG$2:$AG$18,Attributs!$DO$2:$DO$18))/((SQRT(SUMSQ(Attributs!$AF$2:$AF$18)+SUMSQ(Attributs!$AG$2:$AG$18)))*(SQRT(SUMSQ(Attributs!$DN$2:$DN$18)+SUMSQ(Attributs!$DO$2:$DO$18)))),0)</f>
        <v/>
      </c>
      <c r="BI17" s="2">
        <f>IFERROR((SUMPRODUCT(Attributs!$AF$2:$AF$18,Attributs!$DP$2:$DP$18)+SUMPRODUCT(Attributs!$AG$2:$AG$18,Attributs!$DQ$2:$DQ$18))/((SQRT(SUMSQ(Attributs!$AF$2:$AF$18)+SUMSQ(Attributs!$AG$2:$AG$18)))*(SQRT(SUMSQ(Attributs!$DP$2:$DP$18)+SUMSQ(Attributs!$DQ$2:$DQ$18)))),0)</f>
        <v/>
      </c>
      <c r="BJ17" s="2">
        <f>IFERROR((SUMPRODUCT(Attributs!$AF$2:$AF$18,Attributs!$DR$2:$DR$18)+SUMPRODUCT(Attributs!$AG$2:$AG$18,Attributs!$DS$2:$DS$18))/((SQRT(SUMSQ(Attributs!$AF$2:$AF$18)+SUMSQ(Attributs!$AG$2:$AG$18)))*(SQRT(SUMSQ(Attributs!$DR$2:$DR$18)+SUMSQ(Attributs!$DS$2:$DS$18)))),0)</f>
        <v/>
      </c>
      <c r="BK17" s="2">
        <f>IFERROR((SUMPRODUCT(Attributs!$AF$2:$AF$18,Attributs!$DT$2:$DT$18)+SUMPRODUCT(Attributs!$AG$2:$AG$18,Attributs!$DU$2:$DU$18))/((SQRT(SUMSQ(Attributs!$AF$2:$AF$18)+SUMSQ(Attributs!$AG$2:$AG$18)))*(SQRT(SUMSQ(Attributs!$DT$2:$DT$18)+SUMSQ(Attributs!$DU$2:$DU$18)))),0)</f>
        <v/>
      </c>
      <c r="BL17" s="2">
        <f>IFERROR((SUMPRODUCT(Attributs!$AF$2:$AF$18,Attributs!$DV$2:$DV$18)+SUMPRODUCT(Attributs!$AG$2:$AG$18,Attributs!$DW$2:$DW$18))/((SQRT(SUMSQ(Attributs!$AF$2:$AF$18)+SUMSQ(Attributs!$AG$2:$AG$18)))*(SQRT(SUMSQ(Attributs!$DV$2:$DV$18)+SUMSQ(Attributs!$DW$2:$DW$18)))),0)</f>
        <v/>
      </c>
    </row>
    <row r="18">
      <c r="A18" s="3" t="inlineStr">
        <is>
          <t>SE_mysql.Users.Reputation</t>
        </is>
      </c>
      <c r="B18" s="2">
        <f>IFERROR((SUMPRODUCT(Attributs!$AH$2:$AH$18,Attributs!$B$2:$B$18)+SUMPRODUCT(Attributs!$AI$2:$AI$18,Attributs!$C$2:$C$18))/((SQRT(SUMSQ(Attributs!$AH$2:$AH$18)+SUMSQ(Attributs!$AI$2:$AI$18)))*(SQRT(SUMSQ(Attributs!$B$2:$B$18)+SUMSQ(Attributs!$C$2:$C$18)))),0)</f>
        <v/>
      </c>
      <c r="C18" s="2">
        <f>IFERROR((SUMPRODUCT(Attributs!$AH$2:$AH$18,Attributs!$D$2:$D$18)+SUMPRODUCT(Attributs!$AI$2:$AI$18,Attributs!$E$2:$E$18))/((SQRT(SUMSQ(Attributs!$AH$2:$AH$18)+SUMSQ(Attributs!$AI$2:$AI$18)))*(SQRT(SUMSQ(Attributs!$D$2:$D$18)+SUMSQ(Attributs!$E$2:$E$18)))),0)</f>
        <v/>
      </c>
      <c r="D18" s="2">
        <f>IFERROR((SUMPRODUCT(Attributs!$AH$2:$AH$18,Attributs!$F$2:$F$18)+SUMPRODUCT(Attributs!$AI$2:$AI$18,Attributs!$G$2:$G$18))/((SQRT(SUMSQ(Attributs!$AH$2:$AH$18)+SUMSQ(Attributs!$AI$2:$AI$18)))*(SQRT(SUMSQ(Attributs!$F$2:$F$18)+SUMSQ(Attributs!$G$2:$G$18)))),0)</f>
        <v/>
      </c>
      <c r="E18" s="2">
        <f>IFERROR((SUMPRODUCT(Attributs!$AH$2:$AH$18,Attributs!$H$2:$H$18)+SUMPRODUCT(Attributs!$AI$2:$AI$18,Attributs!$I$2:$I$18))/((SQRT(SUMSQ(Attributs!$AH$2:$AH$18)+SUMSQ(Attributs!$AI$2:$AI$18)))*(SQRT(SUMSQ(Attributs!$H$2:$H$18)+SUMSQ(Attributs!$I$2:$I$18)))),0)</f>
        <v/>
      </c>
      <c r="F18" s="2">
        <f>IFERROR((SUMPRODUCT(Attributs!$AH$2:$AH$18,Attributs!$J$2:$J$18)+SUMPRODUCT(Attributs!$AI$2:$AI$18,Attributs!$K$2:$K$18))/((SQRT(SUMSQ(Attributs!$AH$2:$AH$18)+SUMSQ(Attributs!$AI$2:$AI$18)))*(SQRT(SUMSQ(Attributs!$J$2:$J$18)+SUMSQ(Attributs!$K$2:$K$18)))),0)</f>
        <v/>
      </c>
      <c r="G18" s="2">
        <f>IFERROR((SUMPRODUCT(Attributs!$AH$2:$AH$18,Attributs!$L$2:$L$18)+SUMPRODUCT(Attributs!$AI$2:$AI$18,Attributs!$M$2:$M$18))/((SQRT(SUMSQ(Attributs!$AH$2:$AH$18)+SUMSQ(Attributs!$AI$2:$AI$18)))*(SQRT(SUMSQ(Attributs!$L$2:$L$18)+SUMSQ(Attributs!$M$2:$M$18)))),0)</f>
        <v/>
      </c>
      <c r="H18" s="2">
        <f>IFERROR((SUMPRODUCT(Attributs!$AH$2:$AH$18,Attributs!$N$2:$N$18)+SUMPRODUCT(Attributs!$AI$2:$AI$18,Attributs!$O$2:$O$18))/((SQRT(SUMSQ(Attributs!$AH$2:$AH$18)+SUMSQ(Attributs!$AI$2:$AI$18)))*(SQRT(SUMSQ(Attributs!$N$2:$N$18)+SUMSQ(Attributs!$O$2:$O$18)))),0)</f>
        <v/>
      </c>
      <c r="I18" s="2">
        <f>IFERROR((SUMPRODUCT(Attributs!$AH$2:$AH$18,Attributs!$P$2:$P$18)+SUMPRODUCT(Attributs!$AI$2:$AI$18,Attributs!$Q$2:$Q$18))/((SQRT(SUMSQ(Attributs!$AH$2:$AH$18)+SUMSQ(Attributs!$AI$2:$AI$18)))*(SQRT(SUMSQ(Attributs!$P$2:$P$18)+SUMSQ(Attributs!$Q$2:$Q$18)))),0)</f>
        <v/>
      </c>
      <c r="J18" s="2">
        <f>IFERROR((SUMPRODUCT(Attributs!$AH$2:$AH$18,Attributs!$R$2:$R$18)+SUMPRODUCT(Attributs!$AI$2:$AI$18,Attributs!$S$2:$S$18))/((SQRT(SUMSQ(Attributs!$AH$2:$AH$18)+SUMSQ(Attributs!$AI$2:$AI$18)))*(SQRT(SUMSQ(Attributs!$R$2:$R$18)+SUMSQ(Attributs!$S$2:$S$18)))),0)</f>
        <v/>
      </c>
      <c r="K18" s="2">
        <f>IFERROR((SUMPRODUCT(Attributs!$AH$2:$AH$18,Attributs!$T$2:$T$18)+SUMPRODUCT(Attributs!$AI$2:$AI$18,Attributs!$U$2:$U$18))/((SQRT(SUMSQ(Attributs!$AH$2:$AH$18)+SUMSQ(Attributs!$AI$2:$AI$18)))*(SQRT(SUMSQ(Attributs!$T$2:$T$18)+SUMSQ(Attributs!$U$2:$U$18)))),0)</f>
        <v/>
      </c>
      <c r="L18" s="2">
        <f>IFERROR((SUMPRODUCT(Attributs!$AH$2:$AH$18,Attributs!$V$2:$V$18)+SUMPRODUCT(Attributs!$AI$2:$AI$18,Attributs!$W$2:$W$18))/((SQRT(SUMSQ(Attributs!$AH$2:$AH$18)+SUMSQ(Attributs!$AI$2:$AI$18)))*(SQRT(SUMSQ(Attributs!$V$2:$V$18)+SUMSQ(Attributs!$W$2:$W$18)))),0)</f>
        <v/>
      </c>
      <c r="M18" s="2">
        <f>IFERROR((SUMPRODUCT(Attributs!$AH$2:$AH$18,Attributs!$X$2:$X$18)+SUMPRODUCT(Attributs!$AI$2:$AI$18,Attributs!$Y$2:$Y$18))/((SQRT(SUMSQ(Attributs!$AH$2:$AH$18)+SUMSQ(Attributs!$AI$2:$AI$18)))*(SQRT(SUMSQ(Attributs!$X$2:$X$18)+SUMSQ(Attributs!$Y$2:$Y$18)))),0)</f>
        <v/>
      </c>
      <c r="N18" s="2">
        <f>IFERROR((SUMPRODUCT(Attributs!$AH$2:$AH$18,Attributs!$Z$2:$Z$18)+SUMPRODUCT(Attributs!$AI$2:$AI$18,Attributs!$AA$2:$AA$18))/((SQRT(SUMSQ(Attributs!$AH$2:$AH$18)+SUMSQ(Attributs!$AI$2:$AI$18)))*(SQRT(SUMSQ(Attributs!$Z$2:$Z$18)+SUMSQ(Attributs!$AA$2:$AA$18)))),0)</f>
        <v/>
      </c>
      <c r="O18" s="2">
        <f>IFERROR((SUMPRODUCT(Attributs!$AH$2:$AH$18,Attributs!$AB$2:$AB$18)+SUMPRODUCT(Attributs!$AI$2:$AI$18,Attributs!$AC$2:$AC$18))/((SQRT(SUMSQ(Attributs!$AH$2:$AH$18)+SUMSQ(Attributs!$AI$2:$AI$18)))*(SQRT(SUMSQ(Attributs!$AB$2:$AB$18)+SUMSQ(Attributs!$AC$2:$AC$18)))),0)</f>
        <v/>
      </c>
      <c r="P18" s="2">
        <f>IFERROR((SUMPRODUCT(Attributs!$AH$2:$AH$18,Attributs!$AD$2:$AD$18)+SUMPRODUCT(Attributs!$AI$2:$AI$18,Attributs!$AE$2:$AE$18))/((SQRT(SUMSQ(Attributs!$AH$2:$AH$18)+SUMSQ(Attributs!$AI$2:$AI$18)))*(SQRT(SUMSQ(Attributs!$AD$2:$AD$18)+SUMSQ(Attributs!$AE$2:$AE$18)))),0)</f>
        <v/>
      </c>
      <c r="Q18" s="2">
        <f>IFERROR((SUMPRODUCT(Attributs!$AH$2:$AH$18,Attributs!$AF$2:$AF$18)+SUMPRODUCT(Attributs!$AI$2:$AI$18,Attributs!$AG$2:$AG$18))/((SQRT(SUMSQ(Attributs!$AH$2:$AH$18)+SUMSQ(Attributs!$AI$2:$AI$18)))*(SQRT(SUMSQ(Attributs!$AF$2:$AF$18)+SUMSQ(Attributs!$AG$2:$AG$18)))),0)</f>
        <v/>
      </c>
      <c r="R18" s="2">
        <f>IFERROR((SUMPRODUCT(Attributs!$AH$2:$AH$18,Attributs!$AH$2:$AH$18)+SUMPRODUCT(Attributs!$AI$2:$AI$18,Attributs!$AI$2:$AI$18))/((SQRT(SUMSQ(Attributs!$AH$2:$AH$18)+SUMSQ(Attributs!$AI$2:$AI$18)))*(SQRT(SUMSQ(Attributs!$AH$2:$AH$18)+SUMSQ(Attributs!$AI$2:$AI$18)))),0)</f>
        <v/>
      </c>
      <c r="S18" s="2">
        <f>IFERROR((SUMPRODUCT(Attributs!$AH$2:$AH$18,Attributs!$AJ$2:$AJ$18)+SUMPRODUCT(Attributs!$AI$2:$AI$18,Attributs!$AK$2:$AK$18))/((SQRT(SUMSQ(Attributs!$AH$2:$AH$18)+SUMSQ(Attributs!$AI$2:$AI$18)))*(SQRT(SUMSQ(Attributs!$AJ$2:$AJ$18)+SUMSQ(Attributs!$AK$2:$AK$18)))),0)</f>
        <v/>
      </c>
      <c r="T18" s="2">
        <f>IFERROR((SUMPRODUCT(Attributs!$AH$2:$AH$18,Attributs!$AL$2:$AL$18)+SUMPRODUCT(Attributs!$AI$2:$AI$18,Attributs!$AM$2:$AM$18))/((SQRT(SUMSQ(Attributs!$AH$2:$AH$18)+SUMSQ(Attributs!$AI$2:$AI$18)))*(SQRT(SUMSQ(Attributs!$AL$2:$AL$18)+SUMSQ(Attributs!$AM$2:$AM$18)))),0)</f>
        <v/>
      </c>
      <c r="U18" s="2">
        <f>IFERROR((SUMPRODUCT(Attributs!$AH$2:$AH$18,Attributs!$AN$2:$AN$18)+SUMPRODUCT(Attributs!$AI$2:$AI$18,Attributs!$AO$2:$AO$18))/((SQRT(SUMSQ(Attributs!$AH$2:$AH$18)+SUMSQ(Attributs!$AI$2:$AI$18)))*(SQRT(SUMSQ(Attributs!$AN$2:$AN$18)+SUMSQ(Attributs!$AO$2:$AO$18)))),0)</f>
        <v/>
      </c>
      <c r="V18" s="2">
        <f>IFERROR((SUMPRODUCT(Attributs!$AH$2:$AH$18,Attributs!$AP$2:$AP$18)+SUMPRODUCT(Attributs!$AI$2:$AI$18,Attributs!$AQ$2:$AQ$18))/((SQRT(SUMSQ(Attributs!$AH$2:$AH$18)+SUMSQ(Attributs!$AI$2:$AI$18)))*(SQRT(SUMSQ(Attributs!$AP$2:$AP$18)+SUMSQ(Attributs!$AQ$2:$AQ$18)))),0)</f>
        <v/>
      </c>
      <c r="W18" s="2">
        <f>IFERROR((SUMPRODUCT(Attributs!$AH$2:$AH$18,Attributs!$AR$2:$AR$18)+SUMPRODUCT(Attributs!$AI$2:$AI$18,Attributs!$AS$2:$AS$18))/((SQRT(SUMSQ(Attributs!$AH$2:$AH$18)+SUMSQ(Attributs!$AI$2:$AI$18)))*(SQRT(SUMSQ(Attributs!$AR$2:$AR$18)+SUMSQ(Attributs!$AS$2:$AS$18)))),0)</f>
        <v/>
      </c>
      <c r="X18" s="2">
        <f>IFERROR((SUMPRODUCT(Attributs!$AH$2:$AH$18,Attributs!$AT$2:$AT$18)+SUMPRODUCT(Attributs!$AI$2:$AI$18,Attributs!$AU$2:$AU$18))/((SQRT(SUMSQ(Attributs!$AH$2:$AH$18)+SUMSQ(Attributs!$AI$2:$AI$18)))*(SQRT(SUMSQ(Attributs!$AT$2:$AT$18)+SUMSQ(Attributs!$AU$2:$AU$18)))),0)</f>
        <v/>
      </c>
      <c r="Y18" s="2">
        <f>IFERROR((SUMPRODUCT(Attributs!$AH$2:$AH$18,Attributs!$AV$2:$AV$18)+SUMPRODUCT(Attributs!$AI$2:$AI$18,Attributs!$AW$2:$AW$18))/((SQRT(SUMSQ(Attributs!$AH$2:$AH$18)+SUMSQ(Attributs!$AI$2:$AI$18)))*(SQRT(SUMSQ(Attributs!$AV$2:$AV$18)+SUMSQ(Attributs!$AW$2:$AW$18)))),0)</f>
        <v/>
      </c>
      <c r="Z18" s="2">
        <f>IFERROR((SUMPRODUCT(Attributs!$AH$2:$AH$18,Attributs!$AX$2:$AX$18)+SUMPRODUCT(Attributs!$AI$2:$AI$18,Attributs!$AY$2:$AY$18))/((SQRT(SUMSQ(Attributs!$AH$2:$AH$18)+SUMSQ(Attributs!$AI$2:$AI$18)))*(SQRT(SUMSQ(Attributs!$AX$2:$AX$18)+SUMSQ(Attributs!$AY$2:$AY$18)))),0)</f>
        <v/>
      </c>
      <c r="AA18" s="2">
        <f>IFERROR((SUMPRODUCT(Attributs!$AH$2:$AH$18,Attributs!$AZ$2:$AZ$18)+SUMPRODUCT(Attributs!$AI$2:$AI$18,Attributs!$BA$2:$BA$18))/((SQRT(SUMSQ(Attributs!$AH$2:$AH$18)+SUMSQ(Attributs!$AI$2:$AI$18)))*(SQRT(SUMSQ(Attributs!$AZ$2:$AZ$18)+SUMSQ(Attributs!$BA$2:$BA$18)))),0)</f>
        <v/>
      </c>
      <c r="AB18" s="2">
        <f>IFERROR((SUMPRODUCT(Attributs!$AH$2:$AH$18,Attributs!$BB$2:$BB$18)+SUMPRODUCT(Attributs!$AI$2:$AI$18,Attributs!$BC$2:$BC$18))/((SQRT(SUMSQ(Attributs!$AH$2:$AH$18)+SUMSQ(Attributs!$AI$2:$AI$18)))*(SQRT(SUMSQ(Attributs!$BB$2:$BB$18)+SUMSQ(Attributs!$BC$2:$BC$18)))),0)</f>
        <v/>
      </c>
      <c r="AC18" s="2">
        <f>IFERROR((SUMPRODUCT(Attributs!$AH$2:$AH$18,Attributs!$BD$2:$BD$18)+SUMPRODUCT(Attributs!$AI$2:$AI$18,Attributs!$BE$2:$BE$18))/((SQRT(SUMSQ(Attributs!$AH$2:$AH$18)+SUMSQ(Attributs!$AI$2:$AI$18)))*(SQRT(SUMSQ(Attributs!$BD$2:$BD$18)+SUMSQ(Attributs!$BE$2:$BE$18)))),0)</f>
        <v/>
      </c>
      <c r="AD18" s="2">
        <f>IFERROR((SUMPRODUCT(Attributs!$AH$2:$AH$18,Attributs!$BF$2:$BF$18)+SUMPRODUCT(Attributs!$AI$2:$AI$18,Attributs!$BG$2:$BG$18))/((SQRT(SUMSQ(Attributs!$AH$2:$AH$18)+SUMSQ(Attributs!$AI$2:$AI$18)))*(SQRT(SUMSQ(Attributs!$BF$2:$BF$18)+SUMSQ(Attributs!$BG$2:$BG$18)))),0)</f>
        <v/>
      </c>
      <c r="AE18" s="2">
        <f>IFERROR((SUMPRODUCT(Attributs!$AH$2:$AH$18,Attributs!$BH$2:$BH$18)+SUMPRODUCT(Attributs!$AI$2:$AI$18,Attributs!$BI$2:$BI$18))/((SQRT(SUMSQ(Attributs!$AH$2:$AH$18)+SUMSQ(Attributs!$AI$2:$AI$18)))*(SQRT(SUMSQ(Attributs!$BH$2:$BH$18)+SUMSQ(Attributs!$BI$2:$BI$18)))),0)</f>
        <v/>
      </c>
      <c r="AF18" s="2">
        <f>IFERROR((SUMPRODUCT(Attributs!$AH$2:$AH$18,Attributs!$BJ$2:$BJ$18)+SUMPRODUCT(Attributs!$AI$2:$AI$18,Attributs!$BK$2:$BK$18))/((SQRT(SUMSQ(Attributs!$AH$2:$AH$18)+SUMSQ(Attributs!$AI$2:$AI$18)))*(SQRT(SUMSQ(Attributs!$BJ$2:$BJ$18)+SUMSQ(Attributs!$BK$2:$BK$18)))),0)</f>
        <v/>
      </c>
      <c r="AG18" s="2">
        <f>IFERROR((SUMPRODUCT(Attributs!$AH$2:$AH$18,Attributs!$BL$2:$BL$18)+SUMPRODUCT(Attributs!$AI$2:$AI$18,Attributs!$BM$2:$BM$18))/((SQRT(SUMSQ(Attributs!$AH$2:$AH$18)+SUMSQ(Attributs!$AI$2:$AI$18)))*(SQRT(SUMSQ(Attributs!$BL$2:$BL$18)+SUMSQ(Attributs!$BM$2:$BM$18)))),0)</f>
        <v/>
      </c>
      <c r="AH18" s="2">
        <f>IFERROR((SUMPRODUCT(Attributs!$AH$2:$AH$18,Attributs!$BN$2:$BN$18)+SUMPRODUCT(Attributs!$AI$2:$AI$18,Attributs!$BO$2:$BO$18))/((SQRT(SUMSQ(Attributs!$AH$2:$AH$18)+SUMSQ(Attributs!$AI$2:$AI$18)))*(SQRT(SUMSQ(Attributs!$BN$2:$BN$18)+SUMSQ(Attributs!$BO$2:$BO$18)))),0)</f>
        <v/>
      </c>
      <c r="AI18" s="2">
        <f>IFERROR((SUMPRODUCT(Attributs!$AH$2:$AH$18,Attributs!$BP$2:$BP$18)+SUMPRODUCT(Attributs!$AI$2:$AI$18,Attributs!$BQ$2:$BQ$18))/((SQRT(SUMSQ(Attributs!$AH$2:$AH$18)+SUMSQ(Attributs!$AI$2:$AI$18)))*(SQRT(SUMSQ(Attributs!$BP$2:$BP$18)+SUMSQ(Attributs!$BQ$2:$BQ$18)))),0)</f>
        <v/>
      </c>
      <c r="AJ18" s="2">
        <f>IFERROR((SUMPRODUCT(Attributs!$AH$2:$AH$18,Attributs!$BR$2:$BR$18)+SUMPRODUCT(Attributs!$AI$2:$AI$18,Attributs!$BS$2:$BS$18))/((SQRT(SUMSQ(Attributs!$AH$2:$AH$18)+SUMSQ(Attributs!$AI$2:$AI$18)))*(SQRT(SUMSQ(Attributs!$BR$2:$BR$18)+SUMSQ(Attributs!$BS$2:$BS$18)))),0)</f>
        <v/>
      </c>
      <c r="AK18" s="2">
        <f>IFERROR((SUMPRODUCT(Attributs!$AH$2:$AH$18,Attributs!$BT$2:$BT$18)+SUMPRODUCT(Attributs!$AI$2:$AI$18,Attributs!$BU$2:$BU$18))/((SQRT(SUMSQ(Attributs!$AH$2:$AH$18)+SUMSQ(Attributs!$AI$2:$AI$18)))*(SQRT(SUMSQ(Attributs!$BT$2:$BT$18)+SUMSQ(Attributs!$BU$2:$BU$18)))),0)</f>
        <v/>
      </c>
      <c r="AL18" s="2">
        <f>IFERROR((SUMPRODUCT(Attributs!$AH$2:$AH$18,Attributs!$BV$2:$BV$18)+SUMPRODUCT(Attributs!$AI$2:$AI$18,Attributs!$BW$2:$BW$18))/((SQRT(SUMSQ(Attributs!$AH$2:$AH$18)+SUMSQ(Attributs!$AI$2:$AI$18)))*(SQRT(SUMSQ(Attributs!$BV$2:$BV$18)+SUMSQ(Attributs!$BW$2:$BW$18)))),0)</f>
        <v/>
      </c>
      <c r="AM18" s="2">
        <f>IFERROR((SUMPRODUCT(Attributs!$AH$2:$AH$18,Attributs!$BX$2:$BX$18)+SUMPRODUCT(Attributs!$AI$2:$AI$18,Attributs!$BY$2:$BY$18))/((SQRT(SUMSQ(Attributs!$AH$2:$AH$18)+SUMSQ(Attributs!$AI$2:$AI$18)))*(SQRT(SUMSQ(Attributs!$BX$2:$BX$18)+SUMSQ(Attributs!$BY$2:$BY$18)))),0)</f>
        <v/>
      </c>
      <c r="AN18" s="2">
        <f>IFERROR((SUMPRODUCT(Attributs!$AH$2:$AH$18,Attributs!$BZ$2:$BZ$18)+SUMPRODUCT(Attributs!$AI$2:$AI$18,Attributs!$CA$2:$CA$18))/((SQRT(SUMSQ(Attributs!$AH$2:$AH$18)+SUMSQ(Attributs!$AI$2:$AI$18)))*(SQRT(SUMSQ(Attributs!$BZ$2:$BZ$18)+SUMSQ(Attributs!$CA$2:$CA$18)))),0)</f>
        <v/>
      </c>
      <c r="AO18" s="2">
        <f>IFERROR((SUMPRODUCT(Attributs!$AH$2:$AH$18,Attributs!$CB$2:$CB$18)+SUMPRODUCT(Attributs!$AI$2:$AI$18,Attributs!$CC$2:$CC$18))/((SQRT(SUMSQ(Attributs!$AH$2:$AH$18)+SUMSQ(Attributs!$AI$2:$AI$18)))*(SQRT(SUMSQ(Attributs!$CB$2:$CB$18)+SUMSQ(Attributs!$CC$2:$CC$18)))),0)</f>
        <v/>
      </c>
      <c r="AP18" s="2">
        <f>IFERROR((SUMPRODUCT(Attributs!$AH$2:$AH$18,Attributs!$CD$2:$CD$18)+SUMPRODUCT(Attributs!$AI$2:$AI$18,Attributs!$CE$2:$CE$18))/((SQRT(SUMSQ(Attributs!$AH$2:$AH$18)+SUMSQ(Attributs!$AI$2:$AI$18)))*(SQRT(SUMSQ(Attributs!$CD$2:$CD$18)+SUMSQ(Attributs!$CE$2:$CE$18)))),0)</f>
        <v/>
      </c>
      <c r="AQ18" s="2">
        <f>IFERROR((SUMPRODUCT(Attributs!$AH$2:$AH$18,Attributs!$CF$2:$CF$18)+SUMPRODUCT(Attributs!$AI$2:$AI$18,Attributs!$CG$2:$CG$18))/((SQRT(SUMSQ(Attributs!$AH$2:$AH$18)+SUMSQ(Attributs!$AI$2:$AI$18)))*(SQRT(SUMSQ(Attributs!$CF$2:$CF$18)+SUMSQ(Attributs!$CG$2:$CG$18)))),0)</f>
        <v/>
      </c>
      <c r="AR18" s="2">
        <f>IFERROR((SUMPRODUCT(Attributs!$AH$2:$AH$18,Attributs!$CH$2:$CH$18)+SUMPRODUCT(Attributs!$AI$2:$AI$18,Attributs!$CI$2:$CI$18))/((SQRT(SUMSQ(Attributs!$AH$2:$AH$18)+SUMSQ(Attributs!$AI$2:$AI$18)))*(SQRT(SUMSQ(Attributs!$CH$2:$CH$18)+SUMSQ(Attributs!$CI$2:$CI$18)))),0)</f>
        <v/>
      </c>
      <c r="AS18" s="2">
        <f>IFERROR((SUMPRODUCT(Attributs!$AH$2:$AH$18,Attributs!$CJ$2:$CJ$18)+SUMPRODUCT(Attributs!$AI$2:$AI$18,Attributs!$CK$2:$CK$18))/((SQRT(SUMSQ(Attributs!$AH$2:$AH$18)+SUMSQ(Attributs!$AI$2:$AI$18)))*(SQRT(SUMSQ(Attributs!$CJ$2:$CJ$18)+SUMSQ(Attributs!$CK$2:$CK$18)))),0)</f>
        <v/>
      </c>
      <c r="AT18" s="2">
        <f>IFERROR((SUMPRODUCT(Attributs!$AH$2:$AH$18,Attributs!$CL$2:$CL$18)+SUMPRODUCT(Attributs!$AI$2:$AI$18,Attributs!$CM$2:$CM$18))/((SQRT(SUMSQ(Attributs!$AH$2:$AH$18)+SUMSQ(Attributs!$AI$2:$AI$18)))*(SQRT(SUMSQ(Attributs!$CL$2:$CL$18)+SUMSQ(Attributs!$CM$2:$CM$18)))),0)</f>
        <v/>
      </c>
      <c r="AU18" s="2">
        <f>IFERROR((SUMPRODUCT(Attributs!$AH$2:$AH$18,Attributs!$CN$2:$CN$18)+SUMPRODUCT(Attributs!$AI$2:$AI$18,Attributs!$CO$2:$CO$18))/((SQRT(SUMSQ(Attributs!$AH$2:$AH$18)+SUMSQ(Attributs!$AI$2:$AI$18)))*(SQRT(SUMSQ(Attributs!$CN$2:$CN$18)+SUMSQ(Attributs!$CO$2:$CO$18)))),0)</f>
        <v/>
      </c>
      <c r="AV18" s="2">
        <f>IFERROR((SUMPRODUCT(Attributs!$AH$2:$AH$18,Attributs!$CP$2:$CP$18)+SUMPRODUCT(Attributs!$AI$2:$AI$18,Attributs!$CQ$2:$CQ$18))/((SQRT(SUMSQ(Attributs!$AH$2:$AH$18)+SUMSQ(Attributs!$AI$2:$AI$18)))*(SQRT(SUMSQ(Attributs!$CP$2:$CP$18)+SUMSQ(Attributs!$CQ$2:$CQ$18)))),0)</f>
        <v/>
      </c>
      <c r="AW18" s="2">
        <f>IFERROR((SUMPRODUCT(Attributs!$AH$2:$AH$18,Attributs!$CR$2:$CR$18)+SUMPRODUCT(Attributs!$AI$2:$AI$18,Attributs!$CS$2:$CS$18))/((SQRT(SUMSQ(Attributs!$AH$2:$AH$18)+SUMSQ(Attributs!$AI$2:$AI$18)))*(SQRT(SUMSQ(Attributs!$CR$2:$CR$18)+SUMSQ(Attributs!$CS$2:$CS$18)))),0)</f>
        <v/>
      </c>
      <c r="AX18" s="2">
        <f>IFERROR((SUMPRODUCT(Attributs!$AH$2:$AH$18,Attributs!$CT$2:$CT$18)+SUMPRODUCT(Attributs!$AI$2:$AI$18,Attributs!$CU$2:$CU$18))/((SQRT(SUMSQ(Attributs!$AH$2:$AH$18)+SUMSQ(Attributs!$AI$2:$AI$18)))*(SQRT(SUMSQ(Attributs!$CT$2:$CT$18)+SUMSQ(Attributs!$CU$2:$CU$18)))),0)</f>
        <v/>
      </c>
      <c r="AY18" s="2">
        <f>IFERROR((SUMPRODUCT(Attributs!$AH$2:$AH$18,Attributs!$CV$2:$CV$18)+SUMPRODUCT(Attributs!$AI$2:$AI$18,Attributs!$CW$2:$CW$18))/((SQRT(SUMSQ(Attributs!$AH$2:$AH$18)+SUMSQ(Attributs!$AI$2:$AI$18)))*(SQRT(SUMSQ(Attributs!$CV$2:$CV$18)+SUMSQ(Attributs!$CW$2:$CW$18)))),0)</f>
        <v/>
      </c>
      <c r="AZ18" s="2">
        <f>IFERROR((SUMPRODUCT(Attributs!$AH$2:$AH$18,Attributs!$CX$2:$CX$18)+SUMPRODUCT(Attributs!$AI$2:$AI$18,Attributs!$CY$2:$CY$18))/((SQRT(SUMSQ(Attributs!$AH$2:$AH$18)+SUMSQ(Attributs!$AI$2:$AI$18)))*(SQRT(SUMSQ(Attributs!$CX$2:$CX$18)+SUMSQ(Attributs!$CY$2:$CY$18)))),0)</f>
        <v/>
      </c>
      <c r="BA18" s="2">
        <f>IFERROR((SUMPRODUCT(Attributs!$AH$2:$AH$18,Attributs!$CZ$2:$CZ$18)+SUMPRODUCT(Attributs!$AI$2:$AI$18,Attributs!$DA$2:$DA$18))/((SQRT(SUMSQ(Attributs!$AH$2:$AH$18)+SUMSQ(Attributs!$AI$2:$AI$18)))*(SQRT(SUMSQ(Attributs!$CZ$2:$CZ$18)+SUMSQ(Attributs!$DA$2:$DA$18)))),0)</f>
        <v/>
      </c>
      <c r="BB18" s="2">
        <f>IFERROR((SUMPRODUCT(Attributs!$AH$2:$AH$18,Attributs!$DB$2:$DB$18)+SUMPRODUCT(Attributs!$AI$2:$AI$18,Attributs!$DC$2:$DC$18))/((SQRT(SUMSQ(Attributs!$AH$2:$AH$18)+SUMSQ(Attributs!$AI$2:$AI$18)))*(SQRT(SUMSQ(Attributs!$DB$2:$DB$18)+SUMSQ(Attributs!$DC$2:$DC$18)))),0)</f>
        <v/>
      </c>
      <c r="BC18" s="2">
        <f>IFERROR((SUMPRODUCT(Attributs!$AH$2:$AH$18,Attributs!$DD$2:$DD$18)+SUMPRODUCT(Attributs!$AI$2:$AI$18,Attributs!$DE$2:$DE$18))/((SQRT(SUMSQ(Attributs!$AH$2:$AH$18)+SUMSQ(Attributs!$AI$2:$AI$18)))*(SQRT(SUMSQ(Attributs!$DD$2:$DD$18)+SUMSQ(Attributs!$DE$2:$DE$18)))),0)</f>
        <v/>
      </c>
      <c r="BD18" s="2">
        <f>IFERROR((SUMPRODUCT(Attributs!$AH$2:$AH$18,Attributs!$DF$2:$DF$18)+SUMPRODUCT(Attributs!$AI$2:$AI$18,Attributs!$DG$2:$DG$18))/((SQRT(SUMSQ(Attributs!$AH$2:$AH$18)+SUMSQ(Attributs!$AI$2:$AI$18)))*(SQRT(SUMSQ(Attributs!$DF$2:$DF$18)+SUMSQ(Attributs!$DG$2:$DG$18)))),0)</f>
        <v/>
      </c>
      <c r="BE18" s="2">
        <f>IFERROR((SUMPRODUCT(Attributs!$AH$2:$AH$18,Attributs!$DH$2:$DH$18)+SUMPRODUCT(Attributs!$AI$2:$AI$18,Attributs!$DI$2:$DI$18))/((SQRT(SUMSQ(Attributs!$AH$2:$AH$18)+SUMSQ(Attributs!$AI$2:$AI$18)))*(SQRT(SUMSQ(Attributs!$DH$2:$DH$18)+SUMSQ(Attributs!$DI$2:$DI$18)))),0)</f>
        <v/>
      </c>
      <c r="BF18" s="2">
        <f>IFERROR((SUMPRODUCT(Attributs!$AH$2:$AH$18,Attributs!$DJ$2:$DJ$18)+SUMPRODUCT(Attributs!$AI$2:$AI$18,Attributs!$DK$2:$DK$18))/((SQRT(SUMSQ(Attributs!$AH$2:$AH$18)+SUMSQ(Attributs!$AI$2:$AI$18)))*(SQRT(SUMSQ(Attributs!$DJ$2:$DJ$18)+SUMSQ(Attributs!$DK$2:$DK$18)))),0)</f>
        <v/>
      </c>
      <c r="BG18" s="2">
        <f>IFERROR((SUMPRODUCT(Attributs!$AH$2:$AH$18,Attributs!$DL$2:$DL$18)+SUMPRODUCT(Attributs!$AI$2:$AI$18,Attributs!$DM$2:$DM$18))/((SQRT(SUMSQ(Attributs!$AH$2:$AH$18)+SUMSQ(Attributs!$AI$2:$AI$18)))*(SQRT(SUMSQ(Attributs!$DL$2:$DL$18)+SUMSQ(Attributs!$DM$2:$DM$18)))),0)</f>
        <v/>
      </c>
      <c r="BH18" s="2">
        <f>IFERROR((SUMPRODUCT(Attributs!$AH$2:$AH$18,Attributs!$DN$2:$DN$18)+SUMPRODUCT(Attributs!$AI$2:$AI$18,Attributs!$DO$2:$DO$18))/((SQRT(SUMSQ(Attributs!$AH$2:$AH$18)+SUMSQ(Attributs!$AI$2:$AI$18)))*(SQRT(SUMSQ(Attributs!$DN$2:$DN$18)+SUMSQ(Attributs!$DO$2:$DO$18)))),0)</f>
        <v/>
      </c>
      <c r="BI18" s="2">
        <f>IFERROR((SUMPRODUCT(Attributs!$AH$2:$AH$18,Attributs!$DP$2:$DP$18)+SUMPRODUCT(Attributs!$AI$2:$AI$18,Attributs!$DQ$2:$DQ$18))/((SQRT(SUMSQ(Attributs!$AH$2:$AH$18)+SUMSQ(Attributs!$AI$2:$AI$18)))*(SQRT(SUMSQ(Attributs!$DP$2:$DP$18)+SUMSQ(Attributs!$DQ$2:$DQ$18)))),0)</f>
        <v/>
      </c>
      <c r="BJ18" s="2">
        <f>IFERROR((SUMPRODUCT(Attributs!$AH$2:$AH$18,Attributs!$DR$2:$DR$18)+SUMPRODUCT(Attributs!$AI$2:$AI$18,Attributs!$DS$2:$DS$18))/((SQRT(SUMSQ(Attributs!$AH$2:$AH$18)+SUMSQ(Attributs!$AI$2:$AI$18)))*(SQRT(SUMSQ(Attributs!$DR$2:$DR$18)+SUMSQ(Attributs!$DS$2:$DS$18)))),0)</f>
        <v/>
      </c>
      <c r="BK18" s="2">
        <f>IFERROR((SUMPRODUCT(Attributs!$AH$2:$AH$18,Attributs!$DT$2:$DT$18)+SUMPRODUCT(Attributs!$AI$2:$AI$18,Attributs!$DU$2:$DU$18))/((SQRT(SUMSQ(Attributs!$AH$2:$AH$18)+SUMSQ(Attributs!$AI$2:$AI$18)))*(SQRT(SUMSQ(Attributs!$DT$2:$DT$18)+SUMSQ(Attributs!$DU$2:$DU$18)))),0)</f>
        <v/>
      </c>
      <c r="BL18" s="2">
        <f>IFERROR((SUMPRODUCT(Attributs!$AH$2:$AH$18,Attributs!$DV$2:$DV$18)+SUMPRODUCT(Attributs!$AI$2:$AI$18,Attributs!$DW$2:$DW$18))/((SQRT(SUMSQ(Attributs!$AH$2:$AH$18)+SUMSQ(Attributs!$AI$2:$AI$18)))*(SQRT(SUMSQ(Attributs!$DV$2:$DV$18)+SUMSQ(Attributs!$DW$2:$DW$18)))),0)</f>
        <v/>
      </c>
    </row>
    <row r="19">
      <c r="A19" s="3" t="inlineStr">
        <is>
          <t>SE_mysql.Flagtypes.Id</t>
        </is>
      </c>
      <c r="B19" s="2">
        <f>IFERROR((SUMPRODUCT(Attributs!$AJ$2:$AJ$18,Attributs!$B$2:$B$18)+SUMPRODUCT(Attributs!$AK$2:$AK$18,Attributs!$C$2:$C$18))/((SQRT(SUMSQ(Attributs!$AJ$2:$AJ$18)+SUMSQ(Attributs!$AK$2:$AK$18)))*(SQRT(SUMSQ(Attributs!$B$2:$B$18)+SUMSQ(Attributs!$C$2:$C$18)))),0)</f>
        <v/>
      </c>
      <c r="C19" s="2">
        <f>IFERROR((SUMPRODUCT(Attributs!$AJ$2:$AJ$18,Attributs!$D$2:$D$18)+SUMPRODUCT(Attributs!$AK$2:$AK$18,Attributs!$E$2:$E$18))/((SQRT(SUMSQ(Attributs!$AJ$2:$AJ$18)+SUMSQ(Attributs!$AK$2:$AK$18)))*(SQRT(SUMSQ(Attributs!$D$2:$D$18)+SUMSQ(Attributs!$E$2:$E$18)))),0)</f>
        <v/>
      </c>
      <c r="D19" s="2">
        <f>IFERROR((SUMPRODUCT(Attributs!$AJ$2:$AJ$18,Attributs!$F$2:$F$18)+SUMPRODUCT(Attributs!$AK$2:$AK$18,Attributs!$G$2:$G$18))/((SQRT(SUMSQ(Attributs!$AJ$2:$AJ$18)+SUMSQ(Attributs!$AK$2:$AK$18)))*(SQRT(SUMSQ(Attributs!$F$2:$F$18)+SUMSQ(Attributs!$G$2:$G$18)))),0)</f>
        <v/>
      </c>
      <c r="E19" s="2">
        <f>IFERROR((SUMPRODUCT(Attributs!$AJ$2:$AJ$18,Attributs!$H$2:$H$18)+SUMPRODUCT(Attributs!$AK$2:$AK$18,Attributs!$I$2:$I$18))/((SQRT(SUMSQ(Attributs!$AJ$2:$AJ$18)+SUMSQ(Attributs!$AK$2:$AK$18)))*(SQRT(SUMSQ(Attributs!$H$2:$H$18)+SUMSQ(Attributs!$I$2:$I$18)))),0)</f>
        <v/>
      </c>
      <c r="F19" s="2">
        <f>IFERROR((SUMPRODUCT(Attributs!$AJ$2:$AJ$18,Attributs!$J$2:$J$18)+SUMPRODUCT(Attributs!$AK$2:$AK$18,Attributs!$K$2:$K$18))/((SQRT(SUMSQ(Attributs!$AJ$2:$AJ$18)+SUMSQ(Attributs!$AK$2:$AK$18)))*(SQRT(SUMSQ(Attributs!$J$2:$J$18)+SUMSQ(Attributs!$K$2:$K$18)))),0)</f>
        <v/>
      </c>
      <c r="G19" s="2">
        <f>IFERROR((SUMPRODUCT(Attributs!$AJ$2:$AJ$18,Attributs!$L$2:$L$18)+SUMPRODUCT(Attributs!$AK$2:$AK$18,Attributs!$M$2:$M$18))/((SQRT(SUMSQ(Attributs!$AJ$2:$AJ$18)+SUMSQ(Attributs!$AK$2:$AK$18)))*(SQRT(SUMSQ(Attributs!$L$2:$L$18)+SUMSQ(Attributs!$M$2:$M$18)))),0)</f>
        <v/>
      </c>
      <c r="H19" s="2">
        <f>IFERROR((SUMPRODUCT(Attributs!$AJ$2:$AJ$18,Attributs!$N$2:$N$18)+SUMPRODUCT(Attributs!$AK$2:$AK$18,Attributs!$O$2:$O$18))/((SQRT(SUMSQ(Attributs!$AJ$2:$AJ$18)+SUMSQ(Attributs!$AK$2:$AK$18)))*(SQRT(SUMSQ(Attributs!$N$2:$N$18)+SUMSQ(Attributs!$O$2:$O$18)))),0)</f>
        <v/>
      </c>
      <c r="I19" s="2">
        <f>IFERROR((SUMPRODUCT(Attributs!$AJ$2:$AJ$18,Attributs!$P$2:$P$18)+SUMPRODUCT(Attributs!$AK$2:$AK$18,Attributs!$Q$2:$Q$18))/((SQRT(SUMSQ(Attributs!$AJ$2:$AJ$18)+SUMSQ(Attributs!$AK$2:$AK$18)))*(SQRT(SUMSQ(Attributs!$P$2:$P$18)+SUMSQ(Attributs!$Q$2:$Q$18)))),0)</f>
        <v/>
      </c>
      <c r="J19" s="2">
        <f>IFERROR((SUMPRODUCT(Attributs!$AJ$2:$AJ$18,Attributs!$R$2:$R$18)+SUMPRODUCT(Attributs!$AK$2:$AK$18,Attributs!$S$2:$S$18))/((SQRT(SUMSQ(Attributs!$AJ$2:$AJ$18)+SUMSQ(Attributs!$AK$2:$AK$18)))*(SQRT(SUMSQ(Attributs!$R$2:$R$18)+SUMSQ(Attributs!$S$2:$S$18)))),0)</f>
        <v/>
      </c>
      <c r="K19" s="2">
        <f>IFERROR((SUMPRODUCT(Attributs!$AJ$2:$AJ$18,Attributs!$T$2:$T$18)+SUMPRODUCT(Attributs!$AK$2:$AK$18,Attributs!$U$2:$U$18))/((SQRT(SUMSQ(Attributs!$AJ$2:$AJ$18)+SUMSQ(Attributs!$AK$2:$AK$18)))*(SQRT(SUMSQ(Attributs!$T$2:$T$18)+SUMSQ(Attributs!$U$2:$U$18)))),0)</f>
        <v/>
      </c>
      <c r="L19" s="2">
        <f>IFERROR((SUMPRODUCT(Attributs!$AJ$2:$AJ$18,Attributs!$V$2:$V$18)+SUMPRODUCT(Attributs!$AK$2:$AK$18,Attributs!$W$2:$W$18))/((SQRT(SUMSQ(Attributs!$AJ$2:$AJ$18)+SUMSQ(Attributs!$AK$2:$AK$18)))*(SQRT(SUMSQ(Attributs!$V$2:$V$18)+SUMSQ(Attributs!$W$2:$W$18)))),0)</f>
        <v/>
      </c>
      <c r="M19" s="2">
        <f>IFERROR((SUMPRODUCT(Attributs!$AJ$2:$AJ$18,Attributs!$X$2:$X$18)+SUMPRODUCT(Attributs!$AK$2:$AK$18,Attributs!$Y$2:$Y$18))/((SQRT(SUMSQ(Attributs!$AJ$2:$AJ$18)+SUMSQ(Attributs!$AK$2:$AK$18)))*(SQRT(SUMSQ(Attributs!$X$2:$X$18)+SUMSQ(Attributs!$Y$2:$Y$18)))),0)</f>
        <v/>
      </c>
      <c r="N19" s="2">
        <f>IFERROR((SUMPRODUCT(Attributs!$AJ$2:$AJ$18,Attributs!$Z$2:$Z$18)+SUMPRODUCT(Attributs!$AK$2:$AK$18,Attributs!$AA$2:$AA$18))/((SQRT(SUMSQ(Attributs!$AJ$2:$AJ$18)+SUMSQ(Attributs!$AK$2:$AK$18)))*(SQRT(SUMSQ(Attributs!$Z$2:$Z$18)+SUMSQ(Attributs!$AA$2:$AA$18)))),0)</f>
        <v/>
      </c>
      <c r="O19" s="2">
        <f>IFERROR((SUMPRODUCT(Attributs!$AJ$2:$AJ$18,Attributs!$AB$2:$AB$18)+SUMPRODUCT(Attributs!$AK$2:$AK$18,Attributs!$AC$2:$AC$18))/((SQRT(SUMSQ(Attributs!$AJ$2:$AJ$18)+SUMSQ(Attributs!$AK$2:$AK$18)))*(SQRT(SUMSQ(Attributs!$AB$2:$AB$18)+SUMSQ(Attributs!$AC$2:$AC$18)))),0)</f>
        <v/>
      </c>
      <c r="P19" s="2">
        <f>IFERROR((SUMPRODUCT(Attributs!$AJ$2:$AJ$18,Attributs!$AD$2:$AD$18)+SUMPRODUCT(Attributs!$AK$2:$AK$18,Attributs!$AE$2:$AE$18))/((SQRT(SUMSQ(Attributs!$AJ$2:$AJ$18)+SUMSQ(Attributs!$AK$2:$AK$18)))*(SQRT(SUMSQ(Attributs!$AD$2:$AD$18)+SUMSQ(Attributs!$AE$2:$AE$18)))),0)</f>
        <v/>
      </c>
      <c r="Q19" s="2">
        <f>IFERROR((SUMPRODUCT(Attributs!$AJ$2:$AJ$18,Attributs!$AF$2:$AF$18)+SUMPRODUCT(Attributs!$AK$2:$AK$18,Attributs!$AG$2:$AG$18))/((SQRT(SUMSQ(Attributs!$AJ$2:$AJ$18)+SUMSQ(Attributs!$AK$2:$AK$18)))*(SQRT(SUMSQ(Attributs!$AF$2:$AF$18)+SUMSQ(Attributs!$AG$2:$AG$18)))),0)</f>
        <v/>
      </c>
      <c r="R19" s="2">
        <f>IFERROR((SUMPRODUCT(Attributs!$AJ$2:$AJ$18,Attributs!$AH$2:$AH$18)+SUMPRODUCT(Attributs!$AK$2:$AK$18,Attributs!$AI$2:$AI$18))/((SQRT(SUMSQ(Attributs!$AJ$2:$AJ$18)+SUMSQ(Attributs!$AK$2:$AK$18)))*(SQRT(SUMSQ(Attributs!$AH$2:$AH$18)+SUMSQ(Attributs!$AI$2:$AI$18)))),0)</f>
        <v/>
      </c>
      <c r="S19" s="2">
        <f>IFERROR((SUMPRODUCT(Attributs!$AJ$2:$AJ$18,Attributs!$AJ$2:$AJ$18)+SUMPRODUCT(Attributs!$AK$2:$AK$18,Attributs!$AK$2:$AK$18))/((SQRT(SUMSQ(Attributs!$AJ$2:$AJ$18)+SUMSQ(Attributs!$AK$2:$AK$18)))*(SQRT(SUMSQ(Attributs!$AJ$2:$AJ$18)+SUMSQ(Attributs!$AK$2:$AK$18)))),0)</f>
        <v/>
      </c>
      <c r="T19" s="2">
        <f>IFERROR((SUMPRODUCT(Attributs!$AJ$2:$AJ$18,Attributs!$AL$2:$AL$18)+SUMPRODUCT(Attributs!$AK$2:$AK$18,Attributs!$AM$2:$AM$18))/((SQRT(SUMSQ(Attributs!$AJ$2:$AJ$18)+SUMSQ(Attributs!$AK$2:$AK$18)))*(SQRT(SUMSQ(Attributs!$AL$2:$AL$18)+SUMSQ(Attributs!$AM$2:$AM$18)))),0)</f>
        <v/>
      </c>
      <c r="U19" s="2">
        <f>IFERROR((SUMPRODUCT(Attributs!$AJ$2:$AJ$18,Attributs!$AN$2:$AN$18)+SUMPRODUCT(Attributs!$AK$2:$AK$18,Attributs!$AO$2:$AO$18))/((SQRT(SUMSQ(Attributs!$AJ$2:$AJ$18)+SUMSQ(Attributs!$AK$2:$AK$18)))*(SQRT(SUMSQ(Attributs!$AN$2:$AN$18)+SUMSQ(Attributs!$AO$2:$AO$18)))),0)</f>
        <v/>
      </c>
      <c r="V19" s="2">
        <f>IFERROR((SUMPRODUCT(Attributs!$AJ$2:$AJ$18,Attributs!$AP$2:$AP$18)+SUMPRODUCT(Attributs!$AK$2:$AK$18,Attributs!$AQ$2:$AQ$18))/((SQRT(SUMSQ(Attributs!$AJ$2:$AJ$18)+SUMSQ(Attributs!$AK$2:$AK$18)))*(SQRT(SUMSQ(Attributs!$AP$2:$AP$18)+SUMSQ(Attributs!$AQ$2:$AQ$18)))),0)</f>
        <v/>
      </c>
      <c r="W19" s="2">
        <f>IFERROR((SUMPRODUCT(Attributs!$AJ$2:$AJ$18,Attributs!$AR$2:$AR$18)+SUMPRODUCT(Attributs!$AK$2:$AK$18,Attributs!$AS$2:$AS$18))/((SQRT(SUMSQ(Attributs!$AJ$2:$AJ$18)+SUMSQ(Attributs!$AK$2:$AK$18)))*(SQRT(SUMSQ(Attributs!$AR$2:$AR$18)+SUMSQ(Attributs!$AS$2:$AS$18)))),0)</f>
        <v/>
      </c>
      <c r="X19" s="2">
        <f>IFERROR((SUMPRODUCT(Attributs!$AJ$2:$AJ$18,Attributs!$AT$2:$AT$18)+SUMPRODUCT(Attributs!$AK$2:$AK$18,Attributs!$AU$2:$AU$18))/((SQRT(SUMSQ(Attributs!$AJ$2:$AJ$18)+SUMSQ(Attributs!$AK$2:$AK$18)))*(SQRT(SUMSQ(Attributs!$AT$2:$AT$18)+SUMSQ(Attributs!$AU$2:$AU$18)))),0)</f>
        <v/>
      </c>
      <c r="Y19" s="2">
        <f>IFERROR((SUMPRODUCT(Attributs!$AJ$2:$AJ$18,Attributs!$AV$2:$AV$18)+SUMPRODUCT(Attributs!$AK$2:$AK$18,Attributs!$AW$2:$AW$18))/((SQRT(SUMSQ(Attributs!$AJ$2:$AJ$18)+SUMSQ(Attributs!$AK$2:$AK$18)))*(SQRT(SUMSQ(Attributs!$AV$2:$AV$18)+SUMSQ(Attributs!$AW$2:$AW$18)))),0)</f>
        <v/>
      </c>
      <c r="Z19" s="2">
        <f>IFERROR((SUMPRODUCT(Attributs!$AJ$2:$AJ$18,Attributs!$AX$2:$AX$18)+SUMPRODUCT(Attributs!$AK$2:$AK$18,Attributs!$AY$2:$AY$18))/((SQRT(SUMSQ(Attributs!$AJ$2:$AJ$18)+SUMSQ(Attributs!$AK$2:$AK$18)))*(SQRT(SUMSQ(Attributs!$AX$2:$AX$18)+SUMSQ(Attributs!$AY$2:$AY$18)))),0)</f>
        <v/>
      </c>
      <c r="AA19" s="2">
        <f>IFERROR((SUMPRODUCT(Attributs!$AJ$2:$AJ$18,Attributs!$AZ$2:$AZ$18)+SUMPRODUCT(Attributs!$AK$2:$AK$18,Attributs!$BA$2:$BA$18))/((SQRT(SUMSQ(Attributs!$AJ$2:$AJ$18)+SUMSQ(Attributs!$AK$2:$AK$18)))*(SQRT(SUMSQ(Attributs!$AZ$2:$AZ$18)+SUMSQ(Attributs!$BA$2:$BA$18)))),0)</f>
        <v/>
      </c>
      <c r="AB19" s="2">
        <f>IFERROR((SUMPRODUCT(Attributs!$AJ$2:$AJ$18,Attributs!$BB$2:$BB$18)+SUMPRODUCT(Attributs!$AK$2:$AK$18,Attributs!$BC$2:$BC$18))/((SQRT(SUMSQ(Attributs!$AJ$2:$AJ$18)+SUMSQ(Attributs!$AK$2:$AK$18)))*(SQRT(SUMSQ(Attributs!$BB$2:$BB$18)+SUMSQ(Attributs!$BC$2:$BC$18)))),0)</f>
        <v/>
      </c>
      <c r="AC19" s="2">
        <f>IFERROR((SUMPRODUCT(Attributs!$AJ$2:$AJ$18,Attributs!$BD$2:$BD$18)+SUMPRODUCT(Attributs!$AK$2:$AK$18,Attributs!$BE$2:$BE$18))/((SQRT(SUMSQ(Attributs!$AJ$2:$AJ$18)+SUMSQ(Attributs!$AK$2:$AK$18)))*(SQRT(SUMSQ(Attributs!$BD$2:$BD$18)+SUMSQ(Attributs!$BE$2:$BE$18)))),0)</f>
        <v/>
      </c>
      <c r="AD19" s="2">
        <f>IFERROR((SUMPRODUCT(Attributs!$AJ$2:$AJ$18,Attributs!$BF$2:$BF$18)+SUMPRODUCT(Attributs!$AK$2:$AK$18,Attributs!$BG$2:$BG$18))/((SQRT(SUMSQ(Attributs!$AJ$2:$AJ$18)+SUMSQ(Attributs!$AK$2:$AK$18)))*(SQRT(SUMSQ(Attributs!$BF$2:$BF$18)+SUMSQ(Attributs!$BG$2:$BG$18)))),0)</f>
        <v/>
      </c>
      <c r="AE19" s="2">
        <f>IFERROR((SUMPRODUCT(Attributs!$AJ$2:$AJ$18,Attributs!$BH$2:$BH$18)+SUMPRODUCT(Attributs!$AK$2:$AK$18,Attributs!$BI$2:$BI$18))/((SQRT(SUMSQ(Attributs!$AJ$2:$AJ$18)+SUMSQ(Attributs!$AK$2:$AK$18)))*(SQRT(SUMSQ(Attributs!$BH$2:$BH$18)+SUMSQ(Attributs!$BI$2:$BI$18)))),0)</f>
        <v/>
      </c>
      <c r="AF19" s="2">
        <f>IFERROR((SUMPRODUCT(Attributs!$AJ$2:$AJ$18,Attributs!$BJ$2:$BJ$18)+SUMPRODUCT(Attributs!$AK$2:$AK$18,Attributs!$BK$2:$BK$18))/((SQRT(SUMSQ(Attributs!$AJ$2:$AJ$18)+SUMSQ(Attributs!$AK$2:$AK$18)))*(SQRT(SUMSQ(Attributs!$BJ$2:$BJ$18)+SUMSQ(Attributs!$BK$2:$BK$18)))),0)</f>
        <v/>
      </c>
      <c r="AG19" s="2">
        <f>IFERROR((SUMPRODUCT(Attributs!$AJ$2:$AJ$18,Attributs!$BL$2:$BL$18)+SUMPRODUCT(Attributs!$AK$2:$AK$18,Attributs!$BM$2:$BM$18))/((SQRT(SUMSQ(Attributs!$AJ$2:$AJ$18)+SUMSQ(Attributs!$AK$2:$AK$18)))*(SQRT(SUMSQ(Attributs!$BL$2:$BL$18)+SUMSQ(Attributs!$BM$2:$BM$18)))),0)</f>
        <v/>
      </c>
      <c r="AH19" s="2">
        <f>IFERROR((SUMPRODUCT(Attributs!$AJ$2:$AJ$18,Attributs!$BN$2:$BN$18)+SUMPRODUCT(Attributs!$AK$2:$AK$18,Attributs!$BO$2:$BO$18))/((SQRT(SUMSQ(Attributs!$AJ$2:$AJ$18)+SUMSQ(Attributs!$AK$2:$AK$18)))*(SQRT(SUMSQ(Attributs!$BN$2:$BN$18)+SUMSQ(Attributs!$BO$2:$BO$18)))),0)</f>
        <v/>
      </c>
      <c r="AI19" s="2">
        <f>IFERROR((SUMPRODUCT(Attributs!$AJ$2:$AJ$18,Attributs!$BP$2:$BP$18)+SUMPRODUCT(Attributs!$AK$2:$AK$18,Attributs!$BQ$2:$BQ$18))/((SQRT(SUMSQ(Attributs!$AJ$2:$AJ$18)+SUMSQ(Attributs!$AK$2:$AK$18)))*(SQRT(SUMSQ(Attributs!$BP$2:$BP$18)+SUMSQ(Attributs!$BQ$2:$BQ$18)))),0)</f>
        <v/>
      </c>
      <c r="AJ19" s="2">
        <f>IFERROR((SUMPRODUCT(Attributs!$AJ$2:$AJ$18,Attributs!$BR$2:$BR$18)+SUMPRODUCT(Attributs!$AK$2:$AK$18,Attributs!$BS$2:$BS$18))/((SQRT(SUMSQ(Attributs!$AJ$2:$AJ$18)+SUMSQ(Attributs!$AK$2:$AK$18)))*(SQRT(SUMSQ(Attributs!$BR$2:$BR$18)+SUMSQ(Attributs!$BS$2:$BS$18)))),0)</f>
        <v/>
      </c>
      <c r="AK19" s="2">
        <f>IFERROR((SUMPRODUCT(Attributs!$AJ$2:$AJ$18,Attributs!$BT$2:$BT$18)+SUMPRODUCT(Attributs!$AK$2:$AK$18,Attributs!$BU$2:$BU$18))/((SQRT(SUMSQ(Attributs!$AJ$2:$AJ$18)+SUMSQ(Attributs!$AK$2:$AK$18)))*(SQRT(SUMSQ(Attributs!$BT$2:$BT$18)+SUMSQ(Attributs!$BU$2:$BU$18)))),0)</f>
        <v/>
      </c>
      <c r="AL19" s="2">
        <f>IFERROR((SUMPRODUCT(Attributs!$AJ$2:$AJ$18,Attributs!$BV$2:$BV$18)+SUMPRODUCT(Attributs!$AK$2:$AK$18,Attributs!$BW$2:$BW$18))/((SQRT(SUMSQ(Attributs!$AJ$2:$AJ$18)+SUMSQ(Attributs!$AK$2:$AK$18)))*(SQRT(SUMSQ(Attributs!$BV$2:$BV$18)+SUMSQ(Attributs!$BW$2:$BW$18)))),0)</f>
        <v/>
      </c>
      <c r="AM19" s="2">
        <f>IFERROR((SUMPRODUCT(Attributs!$AJ$2:$AJ$18,Attributs!$BX$2:$BX$18)+SUMPRODUCT(Attributs!$AK$2:$AK$18,Attributs!$BY$2:$BY$18))/((SQRT(SUMSQ(Attributs!$AJ$2:$AJ$18)+SUMSQ(Attributs!$AK$2:$AK$18)))*(SQRT(SUMSQ(Attributs!$BX$2:$BX$18)+SUMSQ(Attributs!$BY$2:$BY$18)))),0)</f>
        <v/>
      </c>
      <c r="AN19" s="2">
        <f>IFERROR((SUMPRODUCT(Attributs!$AJ$2:$AJ$18,Attributs!$BZ$2:$BZ$18)+SUMPRODUCT(Attributs!$AK$2:$AK$18,Attributs!$CA$2:$CA$18))/((SQRT(SUMSQ(Attributs!$AJ$2:$AJ$18)+SUMSQ(Attributs!$AK$2:$AK$18)))*(SQRT(SUMSQ(Attributs!$BZ$2:$BZ$18)+SUMSQ(Attributs!$CA$2:$CA$18)))),0)</f>
        <v/>
      </c>
      <c r="AO19" s="2">
        <f>IFERROR((SUMPRODUCT(Attributs!$AJ$2:$AJ$18,Attributs!$CB$2:$CB$18)+SUMPRODUCT(Attributs!$AK$2:$AK$18,Attributs!$CC$2:$CC$18))/((SQRT(SUMSQ(Attributs!$AJ$2:$AJ$18)+SUMSQ(Attributs!$AK$2:$AK$18)))*(SQRT(SUMSQ(Attributs!$CB$2:$CB$18)+SUMSQ(Attributs!$CC$2:$CC$18)))),0)</f>
        <v/>
      </c>
      <c r="AP19" s="2">
        <f>IFERROR((SUMPRODUCT(Attributs!$AJ$2:$AJ$18,Attributs!$CD$2:$CD$18)+SUMPRODUCT(Attributs!$AK$2:$AK$18,Attributs!$CE$2:$CE$18))/((SQRT(SUMSQ(Attributs!$AJ$2:$AJ$18)+SUMSQ(Attributs!$AK$2:$AK$18)))*(SQRT(SUMSQ(Attributs!$CD$2:$CD$18)+SUMSQ(Attributs!$CE$2:$CE$18)))),0)</f>
        <v/>
      </c>
      <c r="AQ19" s="2">
        <f>IFERROR((SUMPRODUCT(Attributs!$AJ$2:$AJ$18,Attributs!$CF$2:$CF$18)+SUMPRODUCT(Attributs!$AK$2:$AK$18,Attributs!$CG$2:$CG$18))/((SQRT(SUMSQ(Attributs!$AJ$2:$AJ$18)+SUMSQ(Attributs!$AK$2:$AK$18)))*(SQRT(SUMSQ(Attributs!$CF$2:$CF$18)+SUMSQ(Attributs!$CG$2:$CG$18)))),0)</f>
        <v/>
      </c>
      <c r="AR19" s="2">
        <f>IFERROR((SUMPRODUCT(Attributs!$AJ$2:$AJ$18,Attributs!$CH$2:$CH$18)+SUMPRODUCT(Attributs!$AK$2:$AK$18,Attributs!$CI$2:$CI$18))/((SQRT(SUMSQ(Attributs!$AJ$2:$AJ$18)+SUMSQ(Attributs!$AK$2:$AK$18)))*(SQRT(SUMSQ(Attributs!$CH$2:$CH$18)+SUMSQ(Attributs!$CI$2:$CI$18)))),0)</f>
        <v/>
      </c>
      <c r="AS19" s="2">
        <f>IFERROR((SUMPRODUCT(Attributs!$AJ$2:$AJ$18,Attributs!$CJ$2:$CJ$18)+SUMPRODUCT(Attributs!$AK$2:$AK$18,Attributs!$CK$2:$CK$18))/((SQRT(SUMSQ(Attributs!$AJ$2:$AJ$18)+SUMSQ(Attributs!$AK$2:$AK$18)))*(SQRT(SUMSQ(Attributs!$CJ$2:$CJ$18)+SUMSQ(Attributs!$CK$2:$CK$18)))),0)</f>
        <v/>
      </c>
      <c r="AT19" s="2">
        <f>IFERROR((SUMPRODUCT(Attributs!$AJ$2:$AJ$18,Attributs!$CL$2:$CL$18)+SUMPRODUCT(Attributs!$AK$2:$AK$18,Attributs!$CM$2:$CM$18))/((SQRT(SUMSQ(Attributs!$AJ$2:$AJ$18)+SUMSQ(Attributs!$AK$2:$AK$18)))*(SQRT(SUMSQ(Attributs!$CL$2:$CL$18)+SUMSQ(Attributs!$CM$2:$CM$18)))),0)</f>
        <v/>
      </c>
      <c r="AU19" s="2">
        <f>IFERROR((SUMPRODUCT(Attributs!$AJ$2:$AJ$18,Attributs!$CN$2:$CN$18)+SUMPRODUCT(Attributs!$AK$2:$AK$18,Attributs!$CO$2:$CO$18))/((SQRT(SUMSQ(Attributs!$AJ$2:$AJ$18)+SUMSQ(Attributs!$AK$2:$AK$18)))*(SQRT(SUMSQ(Attributs!$CN$2:$CN$18)+SUMSQ(Attributs!$CO$2:$CO$18)))),0)</f>
        <v/>
      </c>
      <c r="AV19" s="2">
        <f>IFERROR((SUMPRODUCT(Attributs!$AJ$2:$AJ$18,Attributs!$CP$2:$CP$18)+SUMPRODUCT(Attributs!$AK$2:$AK$18,Attributs!$CQ$2:$CQ$18))/((SQRT(SUMSQ(Attributs!$AJ$2:$AJ$18)+SUMSQ(Attributs!$AK$2:$AK$18)))*(SQRT(SUMSQ(Attributs!$CP$2:$CP$18)+SUMSQ(Attributs!$CQ$2:$CQ$18)))),0)</f>
        <v/>
      </c>
      <c r="AW19" s="2">
        <f>IFERROR((SUMPRODUCT(Attributs!$AJ$2:$AJ$18,Attributs!$CR$2:$CR$18)+SUMPRODUCT(Attributs!$AK$2:$AK$18,Attributs!$CS$2:$CS$18))/((SQRT(SUMSQ(Attributs!$AJ$2:$AJ$18)+SUMSQ(Attributs!$AK$2:$AK$18)))*(SQRT(SUMSQ(Attributs!$CR$2:$CR$18)+SUMSQ(Attributs!$CS$2:$CS$18)))),0)</f>
        <v/>
      </c>
      <c r="AX19" s="2">
        <f>IFERROR((SUMPRODUCT(Attributs!$AJ$2:$AJ$18,Attributs!$CT$2:$CT$18)+SUMPRODUCT(Attributs!$AK$2:$AK$18,Attributs!$CU$2:$CU$18))/((SQRT(SUMSQ(Attributs!$AJ$2:$AJ$18)+SUMSQ(Attributs!$AK$2:$AK$18)))*(SQRT(SUMSQ(Attributs!$CT$2:$CT$18)+SUMSQ(Attributs!$CU$2:$CU$18)))),0)</f>
        <v/>
      </c>
      <c r="AY19" s="2">
        <f>IFERROR((SUMPRODUCT(Attributs!$AJ$2:$AJ$18,Attributs!$CV$2:$CV$18)+SUMPRODUCT(Attributs!$AK$2:$AK$18,Attributs!$CW$2:$CW$18))/((SQRT(SUMSQ(Attributs!$AJ$2:$AJ$18)+SUMSQ(Attributs!$AK$2:$AK$18)))*(SQRT(SUMSQ(Attributs!$CV$2:$CV$18)+SUMSQ(Attributs!$CW$2:$CW$18)))),0)</f>
        <v/>
      </c>
      <c r="AZ19" s="2">
        <f>IFERROR((SUMPRODUCT(Attributs!$AJ$2:$AJ$18,Attributs!$CX$2:$CX$18)+SUMPRODUCT(Attributs!$AK$2:$AK$18,Attributs!$CY$2:$CY$18))/((SQRT(SUMSQ(Attributs!$AJ$2:$AJ$18)+SUMSQ(Attributs!$AK$2:$AK$18)))*(SQRT(SUMSQ(Attributs!$CX$2:$CX$18)+SUMSQ(Attributs!$CY$2:$CY$18)))),0)</f>
        <v/>
      </c>
      <c r="BA19" s="2">
        <f>IFERROR((SUMPRODUCT(Attributs!$AJ$2:$AJ$18,Attributs!$CZ$2:$CZ$18)+SUMPRODUCT(Attributs!$AK$2:$AK$18,Attributs!$DA$2:$DA$18))/((SQRT(SUMSQ(Attributs!$AJ$2:$AJ$18)+SUMSQ(Attributs!$AK$2:$AK$18)))*(SQRT(SUMSQ(Attributs!$CZ$2:$CZ$18)+SUMSQ(Attributs!$DA$2:$DA$18)))),0)</f>
        <v/>
      </c>
      <c r="BB19" s="2">
        <f>IFERROR((SUMPRODUCT(Attributs!$AJ$2:$AJ$18,Attributs!$DB$2:$DB$18)+SUMPRODUCT(Attributs!$AK$2:$AK$18,Attributs!$DC$2:$DC$18))/((SQRT(SUMSQ(Attributs!$AJ$2:$AJ$18)+SUMSQ(Attributs!$AK$2:$AK$18)))*(SQRT(SUMSQ(Attributs!$DB$2:$DB$18)+SUMSQ(Attributs!$DC$2:$DC$18)))),0)</f>
        <v/>
      </c>
      <c r="BC19" s="2">
        <f>IFERROR((SUMPRODUCT(Attributs!$AJ$2:$AJ$18,Attributs!$DD$2:$DD$18)+SUMPRODUCT(Attributs!$AK$2:$AK$18,Attributs!$DE$2:$DE$18))/((SQRT(SUMSQ(Attributs!$AJ$2:$AJ$18)+SUMSQ(Attributs!$AK$2:$AK$18)))*(SQRT(SUMSQ(Attributs!$DD$2:$DD$18)+SUMSQ(Attributs!$DE$2:$DE$18)))),0)</f>
        <v/>
      </c>
      <c r="BD19" s="2">
        <f>IFERROR((SUMPRODUCT(Attributs!$AJ$2:$AJ$18,Attributs!$DF$2:$DF$18)+SUMPRODUCT(Attributs!$AK$2:$AK$18,Attributs!$DG$2:$DG$18))/((SQRT(SUMSQ(Attributs!$AJ$2:$AJ$18)+SUMSQ(Attributs!$AK$2:$AK$18)))*(SQRT(SUMSQ(Attributs!$DF$2:$DF$18)+SUMSQ(Attributs!$DG$2:$DG$18)))),0)</f>
        <v/>
      </c>
      <c r="BE19" s="2">
        <f>IFERROR((SUMPRODUCT(Attributs!$AJ$2:$AJ$18,Attributs!$DH$2:$DH$18)+SUMPRODUCT(Attributs!$AK$2:$AK$18,Attributs!$DI$2:$DI$18))/((SQRT(SUMSQ(Attributs!$AJ$2:$AJ$18)+SUMSQ(Attributs!$AK$2:$AK$18)))*(SQRT(SUMSQ(Attributs!$DH$2:$DH$18)+SUMSQ(Attributs!$DI$2:$DI$18)))),0)</f>
        <v/>
      </c>
      <c r="BF19" s="2">
        <f>IFERROR((SUMPRODUCT(Attributs!$AJ$2:$AJ$18,Attributs!$DJ$2:$DJ$18)+SUMPRODUCT(Attributs!$AK$2:$AK$18,Attributs!$DK$2:$DK$18))/((SQRT(SUMSQ(Attributs!$AJ$2:$AJ$18)+SUMSQ(Attributs!$AK$2:$AK$18)))*(SQRT(SUMSQ(Attributs!$DJ$2:$DJ$18)+SUMSQ(Attributs!$DK$2:$DK$18)))),0)</f>
        <v/>
      </c>
      <c r="BG19" s="2">
        <f>IFERROR((SUMPRODUCT(Attributs!$AJ$2:$AJ$18,Attributs!$DL$2:$DL$18)+SUMPRODUCT(Attributs!$AK$2:$AK$18,Attributs!$DM$2:$DM$18))/((SQRT(SUMSQ(Attributs!$AJ$2:$AJ$18)+SUMSQ(Attributs!$AK$2:$AK$18)))*(SQRT(SUMSQ(Attributs!$DL$2:$DL$18)+SUMSQ(Attributs!$DM$2:$DM$18)))),0)</f>
        <v/>
      </c>
      <c r="BH19" s="2">
        <f>IFERROR((SUMPRODUCT(Attributs!$AJ$2:$AJ$18,Attributs!$DN$2:$DN$18)+SUMPRODUCT(Attributs!$AK$2:$AK$18,Attributs!$DO$2:$DO$18))/((SQRT(SUMSQ(Attributs!$AJ$2:$AJ$18)+SUMSQ(Attributs!$AK$2:$AK$18)))*(SQRT(SUMSQ(Attributs!$DN$2:$DN$18)+SUMSQ(Attributs!$DO$2:$DO$18)))),0)</f>
        <v/>
      </c>
      <c r="BI19" s="2">
        <f>IFERROR((SUMPRODUCT(Attributs!$AJ$2:$AJ$18,Attributs!$DP$2:$DP$18)+SUMPRODUCT(Attributs!$AK$2:$AK$18,Attributs!$DQ$2:$DQ$18))/((SQRT(SUMSQ(Attributs!$AJ$2:$AJ$18)+SUMSQ(Attributs!$AK$2:$AK$18)))*(SQRT(SUMSQ(Attributs!$DP$2:$DP$18)+SUMSQ(Attributs!$DQ$2:$DQ$18)))),0)</f>
        <v/>
      </c>
      <c r="BJ19" s="2">
        <f>IFERROR((SUMPRODUCT(Attributs!$AJ$2:$AJ$18,Attributs!$DR$2:$DR$18)+SUMPRODUCT(Attributs!$AK$2:$AK$18,Attributs!$DS$2:$DS$18))/((SQRT(SUMSQ(Attributs!$AJ$2:$AJ$18)+SUMSQ(Attributs!$AK$2:$AK$18)))*(SQRT(SUMSQ(Attributs!$DR$2:$DR$18)+SUMSQ(Attributs!$DS$2:$DS$18)))),0)</f>
        <v/>
      </c>
      <c r="BK19" s="2">
        <f>IFERROR((SUMPRODUCT(Attributs!$AJ$2:$AJ$18,Attributs!$DT$2:$DT$18)+SUMPRODUCT(Attributs!$AK$2:$AK$18,Attributs!$DU$2:$DU$18))/((SQRT(SUMSQ(Attributs!$AJ$2:$AJ$18)+SUMSQ(Attributs!$AK$2:$AK$18)))*(SQRT(SUMSQ(Attributs!$DT$2:$DT$18)+SUMSQ(Attributs!$DU$2:$DU$18)))),0)</f>
        <v/>
      </c>
      <c r="BL19" s="2">
        <f>IFERROR((SUMPRODUCT(Attributs!$AJ$2:$AJ$18,Attributs!$DV$2:$DV$18)+SUMPRODUCT(Attributs!$AK$2:$AK$18,Attributs!$DW$2:$DW$18))/((SQRT(SUMSQ(Attributs!$AJ$2:$AJ$18)+SUMSQ(Attributs!$AK$2:$AK$18)))*(SQRT(SUMSQ(Attributs!$DV$2:$DV$18)+SUMSQ(Attributs!$DW$2:$DW$18)))),0)</f>
        <v/>
      </c>
    </row>
    <row r="20">
      <c r="A20" s="3" t="inlineStr">
        <is>
          <t>SE_mysql.Flagtypes.Name</t>
        </is>
      </c>
      <c r="B20" s="2">
        <f>IFERROR((SUMPRODUCT(Attributs!$AL$2:$AL$18,Attributs!$B$2:$B$18)+SUMPRODUCT(Attributs!$AM$2:$AM$18,Attributs!$C$2:$C$18))/((SQRT(SUMSQ(Attributs!$AL$2:$AL$18)+SUMSQ(Attributs!$AM$2:$AM$18)))*(SQRT(SUMSQ(Attributs!$B$2:$B$18)+SUMSQ(Attributs!$C$2:$C$18)))),0)</f>
        <v/>
      </c>
      <c r="C20" s="2">
        <f>IFERROR((SUMPRODUCT(Attributs!$AL$2:$AL$18,Attributs!$D$2:$D$18)+SUMPRODUCT(Attributs!$AM$2:$AM$18,Attributs!$E$2:$E$18))/((SQRT(SUMSQ(Attributs!$AL$2:$AL$18)+SUMSQ(Attributs!$AM$2:$AM$18)))*(SQRT(SUMSQ(Attributs!$D$2:$D$18)+SUMSQ(Attributs!$E$2:$E$18)))),0)</f>
        <v/>
      </c>
      <c r="D20" s="2">
        <f>IFERROR((SUMPRODUCT(Attributs!$AL$2:$AL$18,Attributs!$F$2:$F$18)+SUMPRODUCT(Attributs!$AM$2:$AM$18,Attributs!$G$2:$G$18))/((SQRT(SUMSQ(Attributs!$AL$2:$AL$18)+SUMSQ(Attributs!$AM$2:$AM$18)))*(SQRT(SUMSQ(Attributs!$F$2:$F$18)+SUMSQ(Attributs!$G$2:$G$18)))),0)</f>
        <v/>
      </c>
      <c r="E20" s="2">
        <f>IFERROR((SUMPRODUCT(Attributs!$AL$2:$AL$18,Attributs!$H$2:$H$18)+SUMPRODUCT(Attributs!$AM$2:$AM$18,Attributs!$I$2:$I$18))/((SQRT(SUMSQ(Attributs!$AL$2:$AL$18)+SUMSQ(Attributs!$AM$2:$AM$18)))*(SQRT(SUMSQ(Attributs!$H$2:$H$18)+SUMSQ(Attributs!$I$2:$I$18)))),0)</f>
        <v/>
      </c>
      <c r="F20" s="2">
        <f>IFERROR((SUMPRODUCT(Attributs!$AL$2:$AL$18,Attributs!$J$2:$J$18)+SUMPRODUCT(Attributs!$AM$2:$AM$18,Attributs!$K$2:$K$18))/((SQRT(SUMSQ(Attributs!$AL$2:$AL$18)+SUMSQ(Attributs!$AM$2:$AM$18)))*(SQRT(SUMSQ(Attributs!$J$2:$J$18)+SUMSQ(Attributs!$K$2:$K$18)))),0)</f>
        <v/>
      </c>
      <c r="G20" s="2">
        <f>IFERROR((SUMPRODUCT(Attributs!$AL$2:$AL$18,Attributs!$L$2:$L$18)+SUMPRODUCT(Attributs!$AM$2:$AM$18,Attributs!$M$2:$M$18))/((SQRT(SUMSQ(Attributs!$AL$2:$AL$18)+SUMSQ(Attributs!$AM$2:$AM$18)))*(SQRT(SUMSQ(Attributs!$L$2:$L$18)+SUMSQ(Attributs!$M$2:$M$18)))),0)</f>
        <v/>
      </c>
      <c r="H20" s="2">
        <f>IFERROR((SUMPRODUCT(Attributs!$AL$2:$AL$18,Attributs!$N$2:$N$18)+SUMPRODUCT(Attributs!$AM$2:$AM$18,Attributs!$O$2:$O$18))/((SQRT(SUMSQ(Attributs!$AL$2:$AL$18)+SUMSQ(Attributs!$AM$2:$AM$18)))*(SQRT(SUMSQ(Attributs!$N$2:$N$18)+SUMSQ(Attributs!$O$2:$O$18)))),0)</f>
        <v/>
      </c>
      <c r="I20" s="2">
        <f>IFERROR((SUMPRODUCT(Attributs!$AL$2:$AL$18,Attributs!$P$2:$P$18)+SUMPRODUCT(Attributs!$AM$2:$AM$18,Attributs!$Q$2:$Q$18))/((SQRT(SUMSQ(Attributs!$AL$2:$AL$18)+SUMSQ(Attributs!$AM$2:$AM$18)))*(SQRT(SUMSQ(Attributs!$P$2:$P$18)+SUMSQ(Attributs!$Q$2:$Q$18)))),0)</f>
        <v/>
      </c>
      <c r="J20" s="2">
        <f>IFERROR((SUMPRODUCT(Attributs!$AL$2:$AL$18,Attributs!$R$2:$R$18)+SUMPRODUCT(Attributs!$AM$2:$AM$18,Attributs!$S$2:$S$18))/((SQRT(SUMSQ(Attributs!$AL$2:$AL$18)+SUMSQ(Attributs!$AM$2:$AM$18)))*(SQRT(SUMSQ(Attributs!$R$2:$R$18)+SUMSQ(Attributs!$S$2:$S$18)))),0)</f>
        <v/>
      </c>
      <c r="K20" s="2">
        <f>IFERROR((SUMPRODUCT(Attributs!$AL$2:$AL$18,Attributs!$T$2:$T$18)+SUMPRODUCT(Attributs!$AM$2:$AM$18,Attributs!$U$2:$U$18))/((SQRT(SUMSQ(Attributs!$AL$2:$AL$18)+SUMSQ(Attributs!$AM$2:$AM$18)))*(SQRT(SUMSQ(Attributs!$T$2:$T$18)+SUMSQ(Attributs!$U$2:$U$18)))),0)</f>
        <v/>
      </c>
      <c r="L20" s="2">
        <f>IFERROR((SUMPRODUCT(Attributs!$AL$2:$AL$18,Attributs!$V$2:$V$18)+SUMPRODUCT(Attributs!$AM$2:$AM$18,Attributs!$W$2:$W$18))/((SQRT(SUMSQ(Attributs!$AL$2:$AL$18)+SUMSQ(Attributs!$AM$2:$AM$18)))*(SQRT(SUMSQ(Attributs!$V$2:$V$18)+SUMSQ(Attributs!$W$2:$W$18)))),0)</f>
        <v/>
      </c>
      <c r="M20" s="2">
        <f>IFERROR((SUMPRODUCT(Attributs!$AL$2:$AL$18,Attributs!$X$2:$X$18)+SUMPRODUCT(Attributs!$AM$2:$AM$18,Attributs!$Y$2:$Y$18))/((SQRT(SUMSQ(Attributs!$AL$2:$AL$18)+SUMSQ(Attributs!$AM$2:$AM$18)))*(SQRT(SUMSQ(Attributs!$X$2:$X$18)+SUMSQ(Attributs!$Y$2:$Y$18)))),0)</f>
        <v/>
      </c>
      <c r="N20" s="2">
        <f>IFERROR((SUMPRODUCT(Attributs!$AL$2:$AL$18,Attributs!$Z$2:$Z$18)+SUMPRODUCT(Attributs!$AM$2:$AM$18,Attributs!$AA$2:$AA$18))/((SQRT(SUMSQ(Attributs!$AL$2:$AL$18)+SUMSQ(Attributs!$AM$2:$AM$18)))*(SQRT(SUMSQ(Attributs!$Z$2:$Z$18)+SUMSQ(Attributs!$AA$2:$AA$18)))),0)</f>
        <v/>
      </c>
      <c r="O20" s="2">
        <f>IFERROR((SUMPRODUCT(Attributs!$AL$2:$AL$18,Attributs!$AB$2:$AB$18)+SUMPRODUCT(Attributs!$AM$2:$AM$18,Attributs!$AC$2:$AC$18))/((SQRT(SUMSQ(Attributs!$AL$2:$AL$18)+SUMSQ(Attributs!$AM$2:$AM$18)))*(SQRT(SUMSQ(Attributs!$AB$2:$AB$18)+SUMSQ(Attributs!$AC$2:$AC$18)))),0)</f>
        <v/>
      </c>
      <c r="P20" s="2">
        <f>IFERROR((SUMPRODUCT(Attributs!$AL$2:$AL$18,Attributs!$AD$2:$AD$18)+SUMPRODUCT(Attributs!$AM$2:$AM$18,Attributs!$AE$2:$AE$18))/((SQRT(SUMSQ(Attributs!$AL$2:$AL$18)+SUMSQ(Attributs!$AM$2:$AM$18)))*(SQRT(SUMSQ(Attributs!$AD$2:$AD$18)+SUMSQ(Attributs!$AE$2:$AE$18)))),0)</f>
        <v/>
      </c>
      <c r="Q20" s="2">
        <f>IFERROR((SUMPRODUCT(Attributs!$AL$2:$AL$18,Attributs!$AF$2:$AF$18)+SUMPRODUCT(Attributs!$AM$2:$AM$18,Attributs!$AG$2:$AG$18))/((SQRT(SUMSQ(Attributs!$AL$2:$AL$18)+SUMSQ(Attributs!$AM$2:$AM$18)))*(SQRT(SUMSQ(Attributs!$AF$2:$AF$18)+SUMSQ(Attributs!$AG$2:$AG$18)))),0)</f>
        <v/>
      </c>
      <c r="R20" s="2">
        <f>IFERROR((SUMPRODUCT(Attributs!$AL$2:$AL$18,Attributs!$AH$2:$AH$18)+SUMPRODUCT(Attributs!$AM$2:$AM$18,Attributs!$AI$2:$AI$18))/((SQRT(SUMSQ(Attributs!$AL$2:$AL$18)+SUMSQ(Attributs!$AM$2:$AM$18)))*(SQRT(SUMSQ(Attributs!$AH$2:$AH$18)+SUMSQ(Attributs!$AI$2:$AI$18)))),0)</f>
        <v/>
      </c>
      <c r="S20" s="2">
        <f>IFERROR((SUMPRODUCT(Attributs!$AL$2:$AL$18,Attributs!$AJ$2:$AJ$18)+SUMPRODUCT(Attributs!$AM$2:$AM$18,Attributs!$AK$2:$AK$18))/((SQRT(SUMSQ(Attributs!$AL$2:$AL$18)+SUMSQ(Attributs!$AM$2:$AM$18)))*(SQRT(SUMSQ(Attributs!$AJ$2:$AJ$18)+SUMSQ(Attributs!$AK$2:$AK$18)))),0)</f>
        <v/>
      </c>
      <c r="T20" s="2">
        <f>IFERROR((SUMPRODUCT(Attributs!$AL$2:$AL$18,Attributs!$AL$2:$AL$18)+SUMPRODUCT(Attributs!$AM$2:$AM$18,Attributs!$AM$2:$AM$18))/((SQRT(SUMSQ(Attributs!$AL$2:$AL$18)+SUMSQ(Attributs!$AM$2:$AM$18)))*(SQRT(SUMSQ(Attributs!$AL$2:$AL$18)+SUMSQ(Attributs!$AM$2:$AM$18)))),0)</f>
        <v/>
      </c>
      <c r="U20" s="2">
        <f>IFERROR((SUMPRODUCT(Attributs!$AL$2:$AL$18,Attributs!$AN$2:$AN$18)+SUMPRODUCT(Attributs!$AM$2:$AM$18,Attributs!$AO$2:$AO$18))/((SQRT(SUMSQ(Attributs!$AL$2:$AL$18)+SUMSQ(Attributs!$AM$2:$AM$18)))*(SQRT(SUMSQ(Attributs!$AN$2:$AN$18)+SUMSQ(Attributs!$AO$2:$AO$18)))),0)</f>
        <v/>
      </c>
      <c r="V20" s="2">
        <f>IFERROR((SUMPRODUCT(Attributs!$AL$2:$AL$18,Attributs!$AP$2:$AP$18)+SUMPRODUCT(Attributs!$AM$2:$AM$18,Attributs!$AQ$2:$AQ$18))/((SQRT(SUMSQ(Attributs!$AL$2:$AL$18)+SUMSQ(Attributs!$AM$2:$AM$18)))*(SQRT(SUMSQ(Attributs!$AP$2:$AP$18)+SUMSQ(Attributs!$AQ$2:$AQ$18)))),0)</f>
        <v/>
      </c>
      <c r="W20" s="2">
        <f>IFERROR((SUMPRODUCT(Attributs!$AL$2:$AL$18,Attributs!$AR$2:$AR$18)+SUMPRODUCT(Attributs!$AM$2:$AM$18,Attributs!$AS$2:$AS$18))/((SQRT(SUMSQ(Attributs!$AL$2:$AL$18)+SUMSQ(Attributs!$AM$2:$AM$18)))*(SQRT(SUMSQ(Attributs!$AR$2:$AR$18)+SUMSQ(Attributs!$AS$2:$AS$18)))),0)</f>
        <v/>
      </c>
      <c r="X20" s="2">
        <f>IFERROR((SUMPRODUCT(Attributs!$AL$2:$AL$18,Attributs!$AT$2:$AT$18)+SUMPRODUCT(Attributs!$AM$2:$AM$18,Attributs!$AU$2:$AU$18))/((SQRT(SUMSQ(Attributs!$AL$2:$AL$18)+SUMSQ(Attributs!$AM$2:$AM$18)))*(SQRT(SUMSQ(Attributs!$AT$2:$AT$18)+SUMSQ(Attributs!$AU$2:$AU$18)))),0)</f>
        <v/>
      </c>
      <c r="Y20" s="2">
        <f>IFERROR((SUMPRODUCT(Attributs!$AL$2:$AL$18,Attributs!$AV$2:$AV$18)+SUMPRODUCT(Attributs!$AM$2:$AM$18,Attributs!$AW$2:$AW$18))/((SQRT(SUMSQ(Attributs!$AL$2:$AL$18)+SUMSQ(Attributs!$AM$2:$AM$18)))*(SQRT(SUMSQ(Attributs!$AV$2:$AV$18)+SUMSQ(Attributs!$AW$2:$AW$18)))),0)</f>
        <v/>
      </c>
      <c r="Z20" s="2">
        <f>IFERROR((SUMPRODUCT(Attributs!$AL$2:$AL$18,Attributs!$AX$2:$AX$18)+SUMPRODUCT(Attributs!$AM$2:$AM$18,Attributs!$AY$2:$AY$18))/((SQRT(SUMSQ(Attributs!$AL$2:$AL$18)+SUMSQ(Attributs!$AM$2:$AM$18)))*(SQRT(SUMSQ(Attributs!$AX$2:$AX$18)+SUMSQ(Attributs!$AY$2:$AY$18)))),0)</f>
        <v/>
      </c>
      <c r="AA20" s="2">
        <f>IFERROR((SUMPRODUCT(Attributs!$AL$2:$AL$18,Attributs!$AZ$2:$AZ$18)+SUMPRODUCT(Attributs!$AM$2:$AM$18,Attributs!$BA$2:$BA$18))/((SQRT(SUMSQ(Attributs!$AL$2:$AL$18)+SUMSQ(Attributs!$AM$2:$AM$18)))*(SQRT(SUMSQ(Attributs!$AZ$2:$AZ$18)+SUMSQ(Attributs!$BA$2:$BA$18)))),0)</f>
        <v/>
      </c>
      <c r="AB20" s="2">
        <f>IFERROR((SUMPRODUCT(Attributs!$AL$2:$AL$18,Attributs!$BB$2:$BB$18)+SUMPRODUCT(Attributs!$AM$2:$AM$18,Attributs!$BC$2:$BC$18))/((SQRT(SUMSQ(Attributs!$AL$2:$AL$18)+SUMSQ(Attributs!$AM$2:$AM$18)))*(SQRT(SUMSQ(Attributs!$BB$2:$BB$18)+SUMSQ(Attributs!$BC$2:$BC$18)))),0)</f>
        <v/>
      </c>
      <c r="AC20" s="2">
        <f>IFERROR((SUMPRODUCT(Attributs!$AL$2:$AL$18,Attributs!$BD$2:$BD$18)+SUMPRODUCT(Attributs!$AM$2:$AM$18,Attributs!$BE$2:$BE$18))/((SQRT(SUMSQ(Attributs!$AL$2:$AL$18)+SUMSQ(Attributs!$AM$2:$AM$18)))*(SQRT(SUMSQ(Attributs!$BD$2:$BD$18)+SUMSQ(Attributs!$BE$2:$BE$18)))),0)</f>
        <v/>
      </c>
      <c r="AD20" s="2">
        <f>IFERROR((SUMPRODUCT(Attributs!$AL$2:$AL$18,Attributs!$BF$2:$BF$18)+SUMPRODUCT(Attributs!$AM$2:$AM$18,Attributs!$BG$2:$BG$18))/((SQRT(SUMSQ(Attributs!$AL$2:$AL$18)+SUMSQ(Attributs!$AM$2:$AM$18)))*(SQRT(SUMSQ(Attributs!$BF$2:$BF$18)+SUMSQ(Attributs!$BG$2:$BG$18)))),0)</f>
        <v/>
      </c>
      <c r="AE20" s="2">
        <f>IFERROR((SUMPRODUCT(Attributs!$AL$2:$AL$18,Attributs!$BH$2:$BH$18)+SUMPRODUCT(Attributs!$AM$2:$AM$18,Attributs!$BI$2:$BI$18))/((SQRT(SUMSQ(Attributs!$AL$2:$AL$18)+SUMSQ(Attributs!$AM$2:$AM$18)))*(SQRT(SUMSQ(Attributs!$BH$2:$BH$18)+SUMSQ(Attributs!$BI$2:$BI$18)))),0)</f>
        <v/>
      </c>
      <c r="AF20" s="2">
        <f>IFERROR((SUMPRODUCT(Attributs!$AL$2:$AL$18,Attributs!$BJ$2:$BJ$18)+SUMPRODUCT(Attributs!$AM$2:$AM$18,Attributs!$BK$2:$BK$18))/((SQRT(SUMSQ(Attributs!$AL$2:$AL$18)+SUMSQ(Attributs!$AM$2:$AM$18)))*(SQRT(SUMSQ(Attributs!$BJ$2:$BJ$18)+SUMSQ(Attributs!$BK$2:$BK$18)))),0)</f>
        <v/>
      </c>
      <c r="AG20" s="2">
        <f>IFERROR((SUMPRODUCT(Attributs!$AL$2:$AL$18,Attributs!$BL$2:$BL$18)+SUMPRODUCT(Attributs!$AM$2:$AM$18,Attributs!$BM$2:$BM$18))/((SQRT(SUMSQ(Attributs!$AL$2:$AL$18)+SUMSQ(Attributs!$AM$2:$AM$18)))*(SQRT(SUMSQ(Attributs!$BL$2:$BL$18)+SUMSQ(Attributs!$BM$2:$BM$18)))),0)</f>
        <v/>
      </c>
      <c r="AH20" s="2">
        <f>IFERROR((SUMPRODUCT(Attributs!$AL$2:$AL$18,Attributs!$BN$2:$BN$18)+SUMPRODUCT(Attributs!$AM$2:$AM$18,Attributs!$BO$2:$BO$18))/((SQRT(SUMSQ(Attributs!$AL$2:$AL$18)+SUMSQ(Attributs!$AM$2:$AM$18)))*(SQRT(SUMSQ(Attributs!$BN$2:$BN$18)+SUMSQ(Attributs!$BO$2:$BO$18)))),0)</f>
        <v/>
      </c>
      <c r="AI20" s="2">
        <f>IFERROR((SUMPRODUCT(Attributs!$AL$2:$AL$18,Attributs!$BP$2:$BP$18)+SUMPRODUCT(Attributs!$AM$2:$AM$18,Attributs!$BQ$2:$BQ$18))/((SQRT(SUMSQ(Attributs!$AL$2:$AL$18)+SUMSQ(Attributs!$AM$2:$AM$18)))*(SQRT(SUMSQ(Attributs!$BP$2:$BP$18)+SUMSQ(Attributs!$BQ$2:$BQ$18)))),0)</f>
        <v/>
      </c>
      <c r="AJ20" s="2">
        <f>IFERROR((SUMPRODUCT(Attributs!$AL$2:$AL$18,Attributs!$BR$2:$BR$18)+SUMPRODUCT(Attributs!$AM$2:$AM$18,Attributs!$BS$2:$BS$18))/((SQRT(SUMSQ(Attributs!$AL$2:$AL$18)+SUMSQ(Attributs!$AM$2:$AM$18)))*(SQRT(SUMSQ(Attributs!$BR$2:$BR$18)+SUMSQ(Attributs!$BS$2:$BS$18)))),0)</f>
        <v/>
      </c>
      <c r="AK20" s="2">
        <f>IFERROR((SUMPRODUCT(Attributs!$AL$2:$AL$18,Attributs!$BT$2:$BT$18)+SUMPRODUCT(Attributs!$AM$2:$AM$18,Attributs!$BU$2:$BU$18))/((SQRT(SUMSQ(Attributs!$AL$2:$AL$18)+SUMSQ(Attributs!$AM$2:$AM$18)))*(SQRT(SUMSQ(Attributs!$BT$2:$BT$18)+SUMSQ(Attributs!$BU$2:$BU$18)))),0)</f>
        <v/>
      </c>
      <c r="AL20" s="2">
        <f>IFERROR((SUMPRODUCT(Attributs!$AL$2:$AL$18,Attributs!$BV$2:$BV$18)+SUMPRODUCT(Attributs!$AM$2:$AM$18,Attributs!$BW$2:$BW$18))/((SQRT(SUMSQ(Attributs!$AL$2:$AL$18)+SUMSQ(Attributs!$AM$2:$AM$18)))*(SQRT(SUMSQ(Attributs!$BV$2:$BV$18)+SUMSQ(Attributs!$BW$2:$BW$18)))),0)</f>
        <v/>
      </c>
      <c r="AM20" s="2">
        <f>IFERROR((SUMPRODUCT(Attributs!$AL$2:$AL$18,Attributs!$BX$2:$BX$18)+SUMPRODUCT(Attributs!$AM$2:$AM$18,Attributs!$BY$2:$BY$18))/((SQRT(SUMSQ(Attributs!$AL$2:$AL$18)+SUMSQ(Attributs!$AM$2:$AM$18)))*(SQRT(SUMSQ(Attributs!$BX$2:$BX$18)+SUMSQ(Attributs!$BY$2:$BY$18)))),0)</f>
        <v/>
      </c>
      <c r="AN20" s="2">
        <f>IFERROR((SUMPRODUCT(Attributs!$AL$2:$AL$18,Attributs!$BZ$2:$BZ$18)+SUMPRODUCT(Attributs!$AM$2:$AM$18,Attributs!$CA$2:$CA$18))/((SQRT(SUMSQ(Attributs!$AL$2:$AL$18)+SUMSQ(Attributs!$AM$2:$AM$18)))*(SQRT(SUMSQ(Attributs!$BZ$2:$BZ$18)+SUMSQ(Attributs!$CA$2:$CA$18)))),0)</f>
        <v/>
      </c>
      <c r="AO20" s="2">
        <f>IFERROR((SUMPRODUCT(Attributs!$AL$2:$AL$18,Attributs!$CB$2:$CB$18)+SUMPRODUCT(Attributs!$AM$2:$AM$18,Attributs!$CC$2:$CC$18))/((SQRT(SUMSQ(Attributs!$AL$2:$AL$18)+SUMSQ(Attributs!$AM$2:$AM$18)))*(SQRT(SUMSQ(Attributs!$CB$2:$CB$18)+SUMSQ(Attributs!$CC$2:$CC$18)))),0)</f>
        <v/>
      </c>
      <c r="AP20" s="2">
        <f>IFERROR((SUMPRODUCT(Attributs!$AL$2:$AL$18,Attributs!$CD$2:$CD$18)+SUMPRODUCT(Attributs!$AM$2:$AM$18,Attributs!$CE$2:$CE$18))/((SQRT(SUMSQ(Attributs!$AL$2:$AL$18)+SUMSQ(Attributs!$AM$2:$AM$18)))*(SQRT(SUMSQ(Attributs!$CD$2:$CD$18)+SUMSQ(Attributs!$CE$2:$CE$18)))),0)</f>
        <v/>
      </c>
      <c r="AQ20" s="2">
        <f>IFERROR((SUMPRODUCT(Attributs!$AL$2:$AL$18,Attributs!$CF$2:$CF$18)+SUMPRODUCT(Attributs!$AM$2:$AM$18,Attributs!$CG$2:$CG$18))/((SQRT(SUMSQ(Attributs!$AL$2:$AL$18)+SUMSQ(Attributs!$AM$2:$AM$18)))*(SQRT(SUMSQ(Attributs!$CF$2:$CF$18)+SUMSQ(Attributs!$CG$2:$CG$18)))),0)</f>
        <v/>
      </c>
      <c r="AR20" s="2">
        <f>IFERROR((SUMPRODUCT(Attributs!$AL$2:$AL$18,Attributs!$CH$2:$CH$18)+SUMPRODUCT(Attributs!$AM$2:$AM$18,Attributs!$CI$2:$CI$18))/((SQRT(SUMSQ(Attributs!$AL$2:$AL$18)+SUMSQ(Attributs!$AM$2:$AM$18)))*(SQRT(SUMSQ(Attributs!$CH$2:$CH$18)+SUMSQ(Attributs!$CI$2:$CI$18)))),0)</f>
        <v/>
      </c>
      <c r="AS20" s="2">
        <f>IFERROR((SUMPRODUCT(Attributs!$AL$2:$AL$18,Attributs!$CJ$2:$CJ$18)+SUMPRODUCT(Attributs!$AM$2:$AM$18,Attributs!$CK$2:$CK$18))/((SQRT(SUMSQ(Attributs!$AL$2:$AL$18)+SUMSQ(Attributs!$AM$2:$AM$18)))*(SQRT(SUMSQ(Attributs!$CJ$2:$CJ$18)+SUMSQ(Attributs!$CK$2:$CK$18)))),0)</f>
        <v/>
      </c>
      <c r="AT20" s="2">
        <f>IFERROR((SUMPRODUCT(Attributs!$AL$2:$AL$18,Attributs!$CL$2:$CL$18)+SUMPRODUCT(Attributs!$AM$2:$AM$18,Attributs!$CM$2:$CM$18))/((SQRT(SUMSQ(Attributs!$AL$2:$AL$18)+SUMSQ(Attributs!$AM$2:$AM$18)))*(SQRT(SUMSQ(Attributs!$CL$2:$CL$18)+SUMSQ(Attributs!$CM$2:$CM$18)))),0)</f>
        <v/>
      </c>
      <c r="AU20" s="2">
        <f>IFERROR((SUMPRODUCT(Attributs!$AL$2:$AL$18,Attributs!$CN$2:$CN$18)+SUMPRODUCT(Attributs!$AM$2:$AM$18,Attributs!$CO$2:$CO$18))/((SQRT(SUMSQ(Attributs!$AL$2:$AL$18)+SUMSQ(Attributs!$AM$2:$AM$18)))*(SQRT(SUMSQ(Attributs!$CN$2:$CN$18)+SUMSQ(Attributs!$CO$2:$CO$18)))),0)</f>
        <v/>
      </c>
      <c r="AV20" s="2">
        <f>IFERROR((SUMPRODUCT(Attributs!$AL$2:$AL$18,Attributs!$CP$2:$CP$18)+SUMPRODUCT(Attributs!$AM$2:$AM$18,Attributs!$CQ$2:$CQ$18))/((SQRT(SUMSQ(Attributs!$AL$2:$AL$18)+SUMSQ(Attributs!$AM$2:$AM$18)))*(SQRT(SUMSQ(Attributs!$CP$2:$CP$18)+SUMSQ(Attributs!$CQ$2:$CQ$18)))),0)</f>
        <v/>
      </c>
      <c r="AW20" s="2">
        <f>IFERROR((SUMPRODUCT(Attributs!$AL$2:$AL$18,Attributs!$CR$2:$CR$18)+SUMPRODUCT(Attributs!$AM$2:$AM$18,Attributs!$CS$2:$CS$18))/((SQRT(SUMSQ(Attributs!$AL$2:$AL$18)+SUMSQ(Attributs!$AM$2:$AM$18)))*(SQRT(SUMSQ(Attributs!$CR$2:$CR$18)+SUMSQ(Attributs!$CS$2:$CS$18)))),0)</f>
        <v/>
      </c>
      <c r="AX20" s="2">
        <f>IFERROR((SUMPRODUCT(Attributs!$AL$2:$AL$18,Attributs!$CT$2:$CT$18)+SUMPRODUCT(Attributs!$AM$2:$AM$18,Attributs!$CU$2:$CU$18))/((SQRT(SUMSQ(Attributs!$AL$2:$AL$18)+SUMSQ(Attributs!$AM$2:$AM$18)))*(SQRT(SUMSQ(Attributs!$CT$2:$CT$18)+SUMSQ(Attributs!$CU$2:$CU$18)))),0)</f>
        <v/>
      </c>
      <c r="AY20" s="2">
        <f>IFERROR((SUMPRODUCT(Attributs!$AL$2:$AL$18,Attributs!$CV$2:$CV$18)+SUMPRODUCT(Attributs!$AM$2:$AM$18,Attributs!$CW$2:$CW$18))/((SQRT(SUMSQ(Attributs!$AL$2:$AL$18)+SUMSQ(Attributs!$AM$2:$AM$18)))*(SQRT(SUMSQ(Attributs!$CV$2:$CV$18)+SUMSQ(Attributs!$CW$2:$CW$18)))),0)</f>
        <v/>
      </c>
      <c r="AZ20" s="2">
        <f>IFERROR((SUMPRODUCT(Attributs!$AL$2:$AL$18,Attributs!$CX$2:$CX$18)+SUMPRODUCT(Attributs!$AM$2:$AM$18,Attributs!$CY$2:$CY$18))/((SQRT(SUMSQ(Attributs!$AL$2:$AL$18)+SUMSQ(Attributs!$AM$2:$AM$18)))*(SQRT(SUMSQ(Attributs!$CX$2:$CX$18)+SUMSQ(Attributs!$CY$2:$CY$18)))),0)</f>
        <v/>
      </c>
      <c r="BA20" s="2">
        <f>IFERROR((SUMPRODUCT(Attributs!$AL$2:$AL$18,Attributs!$CZ$2:$CZ$18)+SUMPRODUCT(Attributs!$AM$2:$AM$18,Attributs!$DA$2:$DA$18))/((SQRT(SUMSQ(Attributs!$AL$2:$AL$18)+SUMSQ(Attributs!$AM$2:$AM$18)))*(SQRT(SUMSQ(Attributs!$CZ$2:$CZ$18)+SUMSQ(Attributs!$DA$2:$DA$18)))),0)</f>
        <v/>
      </c>
      <c r="BB20" s="2">
        <f>IFERROR((SUMPRODUCT(Attributs!$AL$2:$AL$18,Attributs!$DB$2:$DB$18)+SUMPRODUCT(Attributs!$AM$2:$AM$18,Attributs!$DC$2:$DC$18))/((SQRT(SUMSQ(Attributs!$AL$2:$AL$18)+SUMSQ(Attributs!$AM$2:$AM$18)))*(SQRT(SUMSQ(Attributs!$DB$2:$DB$18)+SUMSQ(Attributs!$DC$2:$DC$18)))),0)</f>
        <v/>
      </c>
      <c r="BC20" s="2">
        <f>IFERROR((SUMPRODUCT(Attributs!$AL$2:$AL$18,Attributs!$DD$2:$DD$18)+SUMPRODUCT(Attributs!$AM$2:$AM$18,Attributs!$DE$2:$DE$18))/((SQRT(SUMSQ(Attributs!$AL$2:$AL$18)+SUMSQ(Attributs!$AM$2:$AM$18)))*(SQRT(SUMSQ(Attributs!$DD$2:$DD$18)+SUMSQ(Attributs!$DE$2:$DE$18)))),0)</f>
        <v/>
      </c>
      <c r="BD20" s="2">
        <f>IFERROR((SUMPRODUCT(Attributs!$AL$2:$AL$18,Attributs!$DF$2:$DF$18)+SUMPRODUCT(Attributs!$AM$2:$AM$18,Attributs!$DG$2:$DG$18))/((SQRT(SUMSQ(Attributs!$AL$2:$AL$18)+SUMSQ(Attributs!$AM$2:$AM$18)))*(SQRT(SUMSQ(Attributs!$DF$2:$DF$18)+SUMSQ(Attributs!$DG$2:$DG$18)))),0)</f>
        <v/>
      </c>
      <c r="BE20" s="2">
        <f>IFERROR((SUMPRODUCT(Attributs!$AL$2:$AL$18,Attributs!$DH$2:$DH$18)+SUMPRODUCT(Attributs!$AM$2:$AM$18,Attributs!$DI$2:$DI$18))/((SQRT(SUMSQ(Attributs!$AL$2:$AL$18)+SUMSQ(Attributs!$AM$2:$AM$18)))*(SQRT(SUMSQ(Attributs!$DH$2:$DH$18)+SUMSQ(Attributs!$DI$2:$DI$18)))),0)</f>
        <v/>
      </c>
      <c r="BF20" s="2">
        <f>IFERROR((SUMPRODUCT(Attributs!$AL$2:$AL$18,Attributs!$DJ$2:$DJ$18)+SUMPRODUCT(Attributs!$AM$2:$AM$18,Attributs!$DK$2:$DK$18))/((SQRT(SUMSQ(Attributs!$AL$2:$AL$18)+SUMSQ(Attributs!$AM$2:$AM$18)))*(SQRT(SUMSQ(Attributs!$DJ$2:$DJ$18)+SUMSQ(Attributs!$DK$2:$DK$18)))),0)</f>
        <v/>
      </c>
      <c r="BG20" s="2">
        <f>IFERROR((SUMPRODUCT(Attributs!$AL$2:$AL$18,Attributs!$DL$2:$DL$18)+SUMPRODUCT(Attributs!$AM$2:$AM$18,Attributs!$DM$2:$DM$18))/((SQRT(SUMSQ(Attributs!$AL$2:$AL$18)+SUMSQ(Attributs!$AM$2:$AM$18)))*(SQRT(SUMSQ(Attributs!$DL$2:$DL$18)+SUMSQ(Attributs!$DM$2:$DM$18)))),0)</f>
        <v/>
      </c>
      <c r="BH20" s="2">
        <f>IFERROR((SUMPRODUCT(Attributs!$AL$2:$AL$18,Attributs!$DN$2:$DN$18)+SUMPRODUCT(Attributs!$AM$2:$AM$18,Attributs!$DO$2:$DO$18))/((SQRT(SUMSQ(Attributs!$AL$2:$AL$18)+SUMSQ(Attributs!$AM$2:$AM$18)))*(SQRT(SUMSQ(Attributs!$DN$2:$DN$18)+SUMSQ(Attributs!$DO$2:$DO$18)))),0)</f>
        <v/>
      </c>
      <c r="BI20" s="2">
        <f>IFERROR((SUMPRODUCT(Attributs!$AL$2:$AL$18,Attributs!$DP$2:$DP$18)+SUMPRODUCT(Attributs!$AM$2:$AM$18,Attributs!$DQ$2:$DQ$18))/((SQRT(SUMSQ(Attributs!$AL$2:$AL$18)+SUMSQ(Attributs!$AM$2:$AM$18)))*(SQRT(SUMSQ(Attributs!$DP$2:$DP$18)+SUMSQ(Attributs!$DQ$2:$DQ$18)))),0)</f>
        <v/>
      </c>
      <c r="BJ20" s="2">
        <f>IFERROR((SUMPRODUCT(Attributs!$AL$2:$AL$18,Attributs!$DR$2:$DR$18)+SUMPRODUCT(Attributs!$AM$2:$AM$18,Attributs!$DS$2:$DS$18))/((SQRT(SUMSQ(Attributs!$AL$2:$AL$18)+SUMSQ(Attributs!$AM$2:$AM$18)))*(SQRT(SUMSQ(Attributs!$DR$2:$DR$18)+SUMSQ(Attributs!$DS$2:$DS$18)))),0)</f>
        <v/>
      </c>
      <c r="BK20" s="2">
        <f>IFERROR((SUMPRODUCT(Attributs!$AL$2:$AL$18,Attributs!$DT$2:$DT$18)+SUMPRODUCT(Attributs!$AM$2:$AM$18,Attributs!$DU$2:$DU$18))/((SQRT(SUMSQ(Attributs!$AL$2:$AL$18)+SUMSQ(Attributs!$AM$2:$AM$18)))*(SQRT(SUMSQ(Attributs!$DT$2:$DT$18)+SUMSQ(Attributs!$DU$2:$DU$18)))),0)</f>
        <v/>
      </c>
      <c r="BL20" s="2">
        <f>IFERROR((SUMPRODUCT(Attributs!$AL$2:$AL$18,Attributs!$DV$2:$DV$18)+SUMPRODUCT(Attributs!$AM$2:$AM$18,Attributs!$DW$2:$DW$18))/((SQRT(SUMSQ(Attributs!$AL$2:$AL$18)+SUMSQ(Attributs!$AM$2:$AM$18)))*(SQRT(SUMSQ(Attributs!$DV$2:$DV$18)+SUMSQ(Attributs!$DW$2:$DW$18)))),0)</f>
        <v/>
      </c>
    </row>
    <row r="21">
      <c r="A21" s="3" t="inlineStr">
        <is>
          <t>SE_mysql.Votes.Id</t>
        </is>
      </c>
      <c r="B21" s="2">
        <f>IFERROR((SUMPRODUCT(Attributs!$AN$2:$AN$18,Attributs!$B$2:$B$18)+SUMPRODUCT(Attributs!$AO$2:$AO$18,Attributs!$C$2:$C$18))/((SQRT(SUMSQ(Attributs!$AN$2:$AN$18)+SUMSQ(Attributs!$AO$2:$AO$18)))*(SQRT(SUMSQ(Attributs!$B$2:$B$18)+SUMSQ(Attributs!$C$2:$C$18)))),0)</f>
        <v/>
      </c>
      <c r="C21" s="2">
        <f>IFERROR((SUMPRODUCT(Attributs!$AN$2:$AN$18,Attributs!$D$2:$D$18)+SUMPRODUCT(Attributs!$AO$2:$AO$18,Attributs!$E$2:$E$18))/((SQRT(SUMSQ(Attributs!$AN$2:$AN$18)+SUMSQ(Attributs!$AO$2:$AO$18)))*(SQRT(SUMSQ(Attributs!$D$2:$D$18)+SUMSQ(Attributs!$E$2:$E$18)))),0)</f>
        <v/>
      </c>
      <c r="D21" s="2">
        <f>IFERROR((SUMPRODUCT(Attributs!$AN$2:$AN$18,Attributs!$F$2:$F$18)+SUMPRODUCT(Attributs!$AO$2:$AO$18,Attributs!$G$2:$G$18))/((SQRT(SUMSQ(Attributs!$AN$2:$AN$18)+SUMSQ(Attributs!$AO$2:$AO$18)))*(SQRT(SUMSQ(Attributs!$F$2:$F$18)+SUMSQ(Attributs!$G$2:$G$18)))),0)</f>
        <v/>
      </c>
      <c r="E21" s="2">
        <f>IFERROR((SUMPRODUCT(Attributs!$AN$2:$AN$18,Attributs!$H$2:$H$18)+SUMPRODUCT(Attributs!$AO$2:$AO$18,Attributs!$I$2:$I$18))/((SQRT(SUMSQ(Attributs!$AN$2:$AN$18)+SUMSQ(Attributs!$AO$2:$AO$18)))*(SQRT(SUMSQ(Attributs!$H$2:$H$18)+SUMSQ(Attributs!$I$2:$I$18)))),0)</f>
        <v/>
      </c>
      <c r="F21" s="2">
        <f>IFERROR((SUMPRODUCT(Attributs!$AN$2:$AN$18,Attributs!$J$2:$J$18)+SUMPRODUCT(Attributs!$AO$2:$AO$18,Attributs!$K$2:$K$18))/((SQRT(SUMSQ(Attributs!$AN$2:$AN$18)+SUMSQ(Attributs!$AO$2:$AO$18)))*(SQRT(SUMSQ(Attributs!$J$2:$J$18)+SUMSQ(Attributs!$K$2:$K$18)))),0)</f>
        <v/>
      </c>
      <c r="G21" s="2">
        <f>IFERROR((SUMPRODUCT(Attributs!$AN$2:$AN$18,Attributs!$L$2:$L$18)+SUMPRODUCT(Attributs!$AO$2:$AO$18,Attributs!$M$2:$M$18))/((SQRT(SUMSQ(Attributs!$AN$2:$AN$18)+SUMSQ(Attributs!$AO$2:$AO$18)))*(SQRT(SUMSQ(Attributs!$L$2:$L$18)+SUMSQ(Attributs!$M$2:$M$18)))),0)</f>
        <v/>
      </c>
      <c r="H21" s="2">
        <f>IFERROR((SUMPRODUCT(Attributs!$AN$2:$AN$18,Attributs!$N$2:$N$18)+SUMPRODUCT(Attributs!$AO$2:$AO$18,Attributs!$O$2:$O$18))/((SQRT(SUMSQ(Attributs!$AN$2:$AN$18)+SUMSQ(Attributs!$AO$2:$AO$18)))*(SQRT(SUMSQ(Attributs!$N$2:$N$18)+SUMSQ(Attributs!$O$2:$O$18)))),0)</f>
        <v/>
      </c>
      <c r="I21" s="2">
        <f>IFERROR((SUMPRODUCT(Attributs!$AN$2:$AN$18,Attributs!$P$2:$P$18)+SUMPRODUCT(Attributs!$AO$2:$AO$18,Attributs!$Q$2:$Q$18))/((SQRT(SUMSQ(Attributs!$AN$2:$AN$18)+SUMSQ(Attributs!$AO$2:$AO$18)))*(SQRT(SUMSQ(Attributs!$P$2:$P$18)+SUMSQ(Attributs!$Q$2:$Q$18)))),0)</f>
        <v/>
      </c>
      <c r="J21" s="2">
        <f>IFERROR((SUMPRODUCT(Attributs!$AN$2:$AN$18,Attributs!$R$2:$R$18)+SUMPRODUCT(Attributs!$AO$2:$AO$18,Attributs!$S$2:$S$18))/((SQRT(SUMSQ(Attributs!$AN$2:$AN$18)+SUMSQ(Attributs!$AO$2:$AO$18)))*(SQRT(SUMSQ(Attributs!$R$2:$R$18)+SUMSQ(Attributs!$S$2:$S$18)))),0)</f>
        <v/>
      </c>
      <c r="K21" s="2">
        <f>IFERROR((SUMPRODUCT(Attributs!$AN$2:$AN$18,Attributs!$T$2:$T$18)+SUMPRODUCT(Attributs!$AO$2:$AO$18,Attributs!$U$2:$U$18))/((SQRT(SUMSQ(Attributs!$AN$2:$AN$18)+SUMSQ(Attributs!$AO$2:$AO$18)))*(SQRT(SUMSQ(Attributs!$T$2:$T$18)+SUMSQ(Attributs!$U$2:$U$18)))),0)</f>
        <v/>
      </c>
      <c r="L21" s="2">
        <f>IFERROR((SUMPRODUCT(Attributs!$AN$2:$AN$18,Attributs!$V$2:$V$18)+SUMPRODUCT(Attributs!$AO$2:$AO$18,Attributs!$W$2:$W$18))/((SQRT(SUMSQ(Attributs!$AN$2:$AN$18)+SUMSQ(Attributs!$AO$2:$AO$18)))*(SQRT(SUMSQ(Attributs!$V$2:$V$18)+SUMSQ(Attributs!$W$2:$W$18)))),0)</f>
        <v/>
      </c>
      <c r="M21" s="2">
        <f>IFERROR((SUMPRODUCT(Attributs!$AN$2:$AN$18,Attributs!$X$2:$X$18)+SUMPRODUCT(Attributs!$AO$2:$AO$18,Attributs!$Y$2:$Y$18))/((SQRT(SUMSQ(Attributs!$AN$2:$AN$18)+SUMSQ(Attributs!$AO$2:$AO$18)))*(SQRT(SUMSQ(Attributs!$X$2:$X$18)+SUMSQ(Attributs!$Y$2:$Y$18)))),0)</f>
        <v/>
      </c>
      <c r="N21" s="2">
        <f>IFERROR((SUMPRODUCT(Attributs!$AN$2:$AN$18,Attributs!$Z$2:$Z$18)+SUMPRODUCT(Attributs!$AO$2:$AO$18,Attributs!$AA$2:$AA$18))/((SQRT(SUMSQ(Attributs!$AN$2:$AN$18)+SUMSQ(Attributs!$AO$2:$AO$18)))*(SQRT(SUMSQ(Attributs!$Z$2:$Z$18)+SUMSQ(Attributs!$AA$2:$AA$18)))),0)</f>
        <v/>
      </c>
      <c r="O21" s="2">
        <f>IFERROR((SUMPRODUCT(Attributs!$AN$2:$AN$18,Attributs!$AB$2:$AB$18)+SUMPRODUCT(Attributs!$AO$2:$AO$18,Attributs!$AC$2:$AC$18))/((SQRT(SUMSQ(Attributs!$AN$2:$AN$18)+SUMSQ(Attributs!$AO$2:$AO$18)))*(SQRT(SUMSQ(Attributs!$AB$2:$AB$18)+SUMSQ(Attributs!$AC$2:$AC$18)))),0)</f>
        <v/>
      </c>
      <c r="P21" s="2">
        <f>IFERROR((SUMPRODUCT(Attributs!$AN$2:$AN$18,Attributs!$AD$2:$AD$18)+SUMPRODUCT(Attributs!$AO$2:$AO$18,Attributs!$AE$2:$AE$18))/((SQRT(SUMSQ(Attributs!$AN$2:$AN$18)+SUMSQ(Attributs!$AO$2:$AO$18)))*(SQRT(SUMSQ(Attributs!$AD$2:$AD$18)+SUMSQ(Attributs!$AE$2:$AE$18)))),0)</f>
        <v/>
      </c>
      <c r="Q21" s="2">
        <f>IFERROR((SUMPRODUCT(Attributs!$AN$2:$AN$18,Attributs!$AF$2:$AF$18)+SUMPRODUCT(Attributs!$AO$2:$AO$18,Attributs!$AG$2:$AG$18))/((SQRT(SUMSQ(Attributs!$AN$2:$AN$18)+SUMSQ(Attributs!$AO$2:$AO$18)))*(SQRT(SUMSQ(Attributs!$AF$2:$AF$18)+SUMSQ(Attributs!$AG$2:$AG$18)))),0)</f>
        <v/>
      </c>
      <c r="R21" s="2">
        <f>IFERROR((SUMPRODUCT(Attributs!$AN$2:$AN$18,Attributs!$AH$2:$AH$18)+SUMPRODUCT(Attributs!$AO$2:$AO$18,Attributs!$AI$2:$AI$18))/((SQRT(SUMSQ(Attributs!$AN$2:$AN$18)+SUMSQ(Attributs!$AO$2:$AO$18)))*(SQRT(SUMSQ(Attributs!$AH$2:$AH$18)+SUMSQ(Attributs!$AI$2:$AI$18)))),0)</f>
        <v/>
      </c>
      <c r="S21" s="2">
        <f>IFERROR((SUMPRODUCT(Attributs!$AN$2:$AN$18,Attributs!$AJ$2:$AJ$18)+SUMPRODUCT(Attributs!$AO$2:$AO$18,Attributs!$AK$2:$AK$18))/((SQRT(SUMSQ(Attributs!$AN$2:$AN$18)+SUMSQ(Attributs!$AO$2:$AO$18)))*(SQRT(SUMSQ(Attributs!$AJ$2:$AJ$18)+SUMSQ(Attributs!$AK$2:$AK$18)))),0)</f>
        <v/>
      </c>
      <c r="T21" s="2">
        <f>IFERROR((SUMPRODUCT(Attributs!$AN$2:$AN$18,Attributs!$AL$2:$AL$18)+SUMPRODUCT(Attributs!$AO$2:$AO$18,Attributs!$AM$2:$AM$18))/((SQRT(SUMSQ(Attributs!$AN$2:$AN$18)+SUMSQ(Attributs!$AO$2:$AO$18)))*(SQRT(SUMSQ(Attributs!$AL$2:$AL$18)+SUMSQ(Attributs!$AM$2:$AM$18)))),0)</f>
        <v/>
      </c>
      <c r="U21" s="2">
        <f>IFERROR((SUMPRODUCT(Attributs!$AN$2:$AN$18,Attributs!$AN$2:$AN$18)+SUMPRODUCT(Attributs!$AO$2:$AO$18,Attributs!$AO$2:$AO$18))/((SQRT(SUMSQ(Attributs!$AN$2:$AN$18)+SUMSQ(Attributs!$AO$2:$AO$18)))*(SQRT(SUMSQ(Attributs!$AN$2:$AN$18)+SUMSQ(Attributs!$AO$2:$AO$18)))),0)</f>
        <v/>
      </c>
      <c r="V21" s="2">
        <f>IFERROR((SUMPRODUCT(Attributs!$AN$2:$AN$18,Attributs!$AP$2:$AP$18)+SUMPRODUCT(Attributs!$AO$2:$AO$18,Attributs!$AQ$2:$AQ$18))/((SQRT(SUMSQ(Attributs!$AN$2:$AN$18)+SUMSQ(Attributs!$AO$2:$AO$18)))*(SQRT(SUMSQ(Attributs!$AP$2:$AP$18)+SUMSQ(Attributs!$AQ$2:$AQ$18)))),0)</f>
        <v/>
      </c>
      <c r="W21" s="2">
        <f>IFERROR((SUMPRODUCT(Attributs!$AN$2:$AN$18,Attributs!$AR$2:$AR$18)+SUMPRODUCT(Attributs!$AO$2:$AO$18,Attributs!$AS$2:$AS$18))/((SQRT(SUMSQ(Attributs!$AN$2:$AN$18)+SUMSQ(Attributs!$AO$2:$AO$18)))*(SQRT(SUMSQ(Attributs!$AR$2:$AR$18)+SUMSQ(Attributs!$AS$2:$AS$18)))),0)</f>
        <v/>
      </c>
      <c r="X21" s="2">
        <f>IFERROR((SUMPRODUCT(Attributs!$AN$2:$AN$18,Attributs!$AT$2:$AT$18)+SUMPRODUCT(Attributs!$AO$2:$AO$18,Attributs!$AU$2:$AU$18))/((SQRT(SUMSQ(Attributs!$AN$2:$AN$18)+SUMSQ(Attributs!$AO$2:$AO$18)))*(SQRT(SUMSQ(Attributs!$AT$2:$AT$18)+SUMSQ(Attributs!$AU$2:$AU$18)))),0)</f>
        <v/>
      </c>
      <c r="Y21" s="2">
        <f>IFERROR((SUMPRODUCT(Attributs!$AN$2:$AN$18,Attributs!$AV$2:$AV$18)+SUMPRODUCT(Attributs!$AO$2:$AO$18,Attributs!$AW$2:$AW$18))/((SQRT(SUMSQ(Attributs!$AN$2:$AN$18)+SUMSQ(Attributs!$AO$2:$AO$18)))*(SQRT(SUMSQ(Attributs!$AV$2:$AV$18)+SUMSQ(Attributs!$AW$2:$AW$18)))),0)</f>
        <v/>
      </c>
      <c r="Z21" s="2">
        <f>IFERROR((SUMPRODUCT(Attributs!$AN$2:$AN$18,Attributs!$AX$2:$AX$18)+SUMPRODUCT(Attributs!$AO$2:$AO$18,Attributs!$AY$2:$AY$18))/((SQRT(SUMSQ(Attributs!$AN$2:$AN$18)+SUMSQ(Attributs!$AO$2:$AO$18)))*(SQRT(SUMSQ(Attributs!$AX$2:$AX$18)+SUMSQ(Attributs!$AY$2:$AY$18)))),0)</f>
        <v/>
      </c>
      <c r="AA21" s="2">
        <f>IFERROR((SUMPRODUCT(Attributs!$AN$2:$AN$18,Attributs!$AZ$2:$AZ$18)+SUMPRODUCT(Attributs!$AO$2:$AO$18,Attributs!$BA$2:$BA$18))/((SQRT(SUMSQ(Attributs!$AN$2:$AN$18)+SUMSQ(Attributs!$AO$2:$AO$18)))*(SQRT(SUMSQ(Attributs!$AZ$2:$AZ$18)+SUMSQ(Attributs!$BA$2:$BA$18)))),0)</f>
        <v/>
      </c>
      <c r="AB21" s="2">
        <f>IFERROR((SUMPRODUCT(Attributs!$AN$2:$AN$18,Attributs!$BB$2:$BB$18)+SUMPRODUCT(Attributs!$AO$2:$AO$18,Attributs!$BC$2:$BC$18))/((SQRT(SUMSQ(Attributs!$AN$2:$AN$18)+SUMSQ(Attributs!$AO$2:$AO$18)))*(SQRT(SUMSQ(Attributs!$BB$2:$BB$18)+SUMSQ(Attributs!$BC$2:$BC$18)))),0)</f>
        <v/>
      </c>
      <c r="AC21" s="2">
        <f>IFERROR((SUMPRODUCT(Attributs!$AN$2:$AN$18,Attributs!$BD$2:$BD$18)+SUMPRODUCT(Attributs!$AO$2:$AO$18,Attributs!$BE$2:$BE$18))/((SQRT(SUMSQ(Attributs!$AN$2:$AN$18)+SUMSQ(Attributs!$AO$2:$AO$18)))*(SQRT(SUMSQ(Attributs!$BD$2:$BD$18)+SUMSQ(Attributs!$BE$2:$BE$18)))),0)</f>
        <v/>
      </c>
      <c r="AD21" s="2">
        <f>IFERROR((SUMPRODUCT(Attributs!$AN$2:$AN$18,Attributs!$BF$2:$BF$18)+SUMPRODUCT(Attributs!$AO$2:$AO$18,Attributs!$BG$2:$BG$18))/((SQRT(SUMSQ(Attributs!$AN$2:$AN$18)+SUMSQ(Attributs!$AO$2:$AO$18)))*(SQRT(SUMSQ(Attributs!$BF$2:$BF$18)+SUMSQ(Attributs!$BG$2:$BG$18)))),0)</f>
        <v/>
      </c>
      <c r="AE21" s="2">
        <f>IFERROR((SUMPRODUCT(Attributs!$AN$2:$AN$18,Attributs!$BH$2:$BH$18)+SUMPRODUCT(Attributs!$AO$2:$AO$18,Attributs!$BI$2:$BI$18))/((SQRT(SUMSQ(Attributs!$AN$2:$AN$18)+SUMSQ(Attributs!$AO$2:$AO$18)))*(SQRT(SUMSQ(Attributs!$BH$2:$BH$18)+SUMSQ(Attributs!$BI$2:$BI$18)))),0)</f>
        <v/>
      </c>
      <c r="AF21" s="2">
        <f>IFERROR((SUMPRODUCT(Attributs!$AN$2:$AN$18,Attributs!$BJ$2:$BJ$18)+SUMPRODUCT(Attributs!$AO$2:$AO$18,Attributs!$BK$2:$BK$18))/((SQRT(SUMSQ(Attributs!$AN$2:$AN$18)+SUMSQ(Attributs!$AO$2:$AO$18)))*(SQRT(SUMSQ(Attributs!$BJ$2:$BJ$18)+SUMSQ(Attributs!$BK$2:$BK$18)))),0)</f>
        <v/>
      </c>
      <c r="AG21" s="2">
        <f>IFERROR((SUMPRODUCT(Attributs!$AN$2:$AN$18,Attributs!$BL$2:$BL$18)+SUMPRODUCT(Attributs!$AO$2:$AO$18,Attributs!$BM$2:$BM$18))/((SQRT(SUMSQ(Attributs!$AN$2:$AN$18)+SUMSQ(Attributs!$AO$2:$AO$18)))*(SQRT(SUMSQ(Attributs!$BL$2:$BL$18)+SUMSQ(Attributs!$BM$2:$BM$18)))),0)</f>
        <v/>
      </c>
      <c r="AH21" s="2">
        <f>IFERROR((SUMPRODUCT(Attributs!$AN$2:$AN$18,Attributs!$BN$2:$BN$18)+SUMPRODUCT(Attributs!$AO$2:$AO$18,Attributs!$BO$2:$BO$18))/((SQRT(SUMSQ(Attributs!$AN$2:$AN$18)+SUMSQ(Attributs!$AO$2:$AO$18)))*(SQRT(SUMSQ(Attributs!$BN$2:$BN$18)+SUMSQ(Attributs!$BO$2:$BO$18)))),0)</f>
        <v/>
      </c>
      <c r="AI21" s="2">
        <f>IFERROR((SUMPRODUCT(Attributs!$AN$2:$AN$18,Attributs!$BP$2:$BP$18)+SUMPRODUCT(Attributs!$AO$2:$AO$18,Attributs!$BQ$2:$BQ$18))/((SQRT(SUMSQ(Attributs!$AN$2:$AN$18)+SUMSQ(Attributs!$AO$2:$AO$18)))*(SQRT(SUMSQ(Attributs!$BP$2:$BP$18)+SUMSQ(Attributs!$BQ$2:$BQ$18)))),0)</f>
        <v/>
      </c>
      <c r="AJ21" s="2">
        <f>IFERROR((SUMPRODUCT(Attributs!$AN$2:$AN$18,Attributs!$BR$2:$BR$18)+SUMPRODUCT(Attributs!$AO$2:$AO$18,Attributs!$BS$2:$BS$18))/((SQRT(SUMSQ(Attributs!$AN$2:$AN$18)+SUMSQ(Attributs!$AO$2:$AO$18)))*(SQRT(SUMSQ(Attributs!$BR$2:$BR$18)+SUMSQ(Attributs!$BS$2:$BS$18)))),0)</f>
        <v/>
      </c>
      <c r="AK21" s="2">
        <f>IFERROR((SUMPRODUCT(Attributs!$AN$2:$AN$18,Attributs!$BT$2:$BT$18)+SUMPRODUCT(Attributs!$AO$2:$AO$18,Attributs!$BU$2:$BU$18))/((SQRT(SUMSQ(Attributs!$AN$2:$AN$18)+SUMSQ(Attributs!$AO$2:$AO$18)))*(SQRT(SUMSQ(Attributs!$BT$2:$BT$18)+SUMSQ(Attributs!$BU$2:$BU$18)))),0)</f>
        <v/>
      </c>
      <c r="AL21" s="2">
        <f>IFERROR((SUMPRODUCT(Attributs!$AN$2:$AN$18,Attributs!$BV$2:$BV$18)+SUMPRODUCT(Attributs!$AO$2:$AO$18,Attributs!$BW$2:$BW$18))/((SQRT(SUMSQ(Attributs!$AN$2:$AN$18)+SUMSQ(Attributs!$AO$2:$AO$18)))*(SQRT(SUMSQ(Attributs!$BV$2:$BV$18)+SUMSQ(Attributs!$BW$2:$BW$18)))),0)</f>
        <v/>
      </c>
      <c r="AM21" s="2">
        <f>IFERROR((SUMPRODUCT(Attributs!$AN$2:$AN$18,Attributs!$BX$2:$BX$18)+SUMPRODUCT(Attributs!$AO$2:$AO$18,Attributs!$BY$2:$BY$18))/((SQRT(SUMSQ(Attributs!$AN$2:$AN$18)+SUMSQ(Attributs!$AO$2:$AO$18)))*(SQRT(SUMSQ(Attributs!$BX$2:$BX$18)+SUMSQ(Attributs!$BY$2:$BY$18)))),0)</f>
        <v/>
      </c>
      <c r="AN21" s="2">
        <f>IFERROR((SUMPRODUCT(Attributs!$AN$2:$AN$18,Attributs!$BZ$2:$BZ$18)+SUMPRODUCT(Attributs!$AO$2:$AO$18,Attributs!$CA$2:$CA$18))/((SQRT(SUMSQ(Attributs!$AN$2:$AN$18)+SUMSQ(Attributs!$AO$2:$AO$18)))*(SQRT(SUMSQ(Attributs!$BZ$2:$BZ$18)+SUMSQ(Attributs!$CA$2:$CA$18)))),0)</f>
        <v/>
      </c>
      <c r="AO21" s="2">
        <f>IFERROR((SUMPRODUCT(Attributs!$AN$2:$AN$18,Attributs!$CB$2:$CB$18)+SUMPRODUCT(Attributs!$AO$2:$AO$18,Attributs!$CC$2:$CC$18))/((SQRT(SUMSQ(Attributs!$AN$2:$AN$18)+SUMSQ(Attributs!$AO$2:$AO$18)))*(SQRT(SUMSQ(Attributs!$CB$2:$CB$18)+SUMSQ(Attributs!$CC$2:$CC$18)))),0)</f>
        <v/>
      </c>
      <c r="AP21" s="2">
        <f>IFERROR((SUMPRODUCT(Attributs!$AN$2:$AN$18,Attributs!$CD$2:$CD$18)+SUMPRODUCT(Attributs!$AO$2:$AO$18,Attributs!$CE$2:$CE$18))/((SQRT(SUMSQ(Attributs!$AN$2:$AN$18)+SUMSQ(Attributs!$AO$2:$AO$18)))*(SQRT(SUMSQ(Attributs!$CD$2:$CD$18)+SUMSQ(Attributs!$CE$2:$CE$18)))),0)</f>
        <v/>
      </c>
      <c r="AQ21" s="2">
        <f>IFERROR((SUMPRODUCT(Attributs!$AN$2:$AN$18,Attributs!$CF$2:$CF$18)+SUMPRODUCT(Attributs!$AO$2:$AO$18,Attributs!$CG$2:$CG$18))/((SQRT(SUMSQ(Attributs!$AN$2:$AN$18)+SUMSQ(Attributs!$AO$2:$AO$18)))*(SQRT(SUMSQ(Attributs!$CF$2:$CF$18)+SUMSQ(Attributs!$CG$2:$CG$18)))),0)</f>
        <v/>
      </c>
      <c r="AR21" s="2">
        <f>IFERROR((SUMPRODUCT(Attributs!$AN$2:$AN$18,Attributs!$CH$2:$CH$18)+SUMPRODUCT(Attributs!$AO$2:$AO$18,Attributs!$CI$2:$CI$18))/((SQRT(SUMSQ(Attributs!$AN$2:$AN$18)+SUMSQ(Attributs!$AO$2:$AO$18)))*(SQRT(SUMSQ(Attributs!$CH$2:$CH$18)+SUMSQ(Attributs!$CI$2:$CI$18)))),0)</f>
        <v/>
      </c>
      <c r="AS21" s="2">
        <f>IFERROR((SUMPRODUCT(Attributs!$AN$2:$AN$18,Attributs!$CJ$2:$CJ$18)+SUMPRODUCT(Attributs!$AO$2:$AO$18,Attributs!$CK$2:$CK$18))/((SQRT(SUMSQ(Attributs!$AN$2:$AN$18)+SUMSQ(Attributs!$AO$2:$AO$18)))*(SQRT(SUMSQ(Attributs!$CJ$2:$CJ$18)+SUMSQ(Attributs!$CK$2:$CK$18)))),0)</f>
        <v/>
      </c>
      <c r="AT21" s="2">
        <f>IFERROR((SUMPRODUCT(Attributs!$AN$2:$AN$18,Attributs!$CL$2:$CL$18)+SUMPRODUCT(Attributs!$AO$2:$AO$18,Attributs!$CM$2:$CM$18))/((SQRT(SUMSQ(Attributs!$AN$2:$AN$18)+SUMSQ(Attributs!$AO$2:$AO$18)))*(SQRT(SUMSQ(Attributs!$CL$2:$CL$18)+SUMSQ(Attributs!$CM$2:$CM$18)))),0)</f>
        <v/>
      </c>
      <c r="AU21" s="2">
        <f>IFERROR((SUMPRODUCT(Attributs!$AN$2:$AN$18,Attributs!$CN$2:$CN$18)+SUMPRODUCT(Attributs!$AO$2:$AO$18,Attributs!$CO$2:$CO$18))/((SQRT(SUMSQ(Attributs!$AN$2:$AN$18)+SUMSQ(Attributs!$AO$2:$AO$18)))*(SQRT(SUMSQ(Attributs!$CN$2:$CN$18)+SUMSQ(Attributs!$CO$2:$CO$18)))),0)</f>
        <v/>
      </c>
      <c r="AV21" s="2">
        <f>IFERROR((SUMPRODUCT(Attributs!$AN$2:$AN$18,Attributs!$CP$2:$CP$18)+SUMPRODUCT(Attributs!$AO$2:$AO$18,Attributs!$CQ$2:$CQ$18))/((SQRT(SUMSQ(Attributs!$AN$2:$AN$18)+SUMSQ(Attributs!$AO$2:$AO$18)))*(SQRT(SUMSQ(Attributs!$CP$2:$CP$18)+SUMSQ(Attributs!$CQ$2:$CQ$18)))),0)</f>
        <v/>
      </c>
      <c r="AW21" s="2">
        <f>IFERROR((SUMPRODUCT(Attributs!$AN$2:$AN$18,Attributs!$CR$2:$CR$18)+SUMPRODUCT(Attributs!$AO$2:$AO$18,Attributs!$CS$2:$CS$18))/((SQRT(SUMSQ(Attributs!$AN$2:$AN$18)+SUMSQ(Attributs!$AO$2:$AO$18)))*(SQRT(SUMSQ(Attributs!$CR$2:$CR$18)+SUMSQ(Attributs!$CS$2:$CS$18)))),0)</f>
        <v/>
      </c>
      <c r="AX21" s="2">
        <f>IFERROR((SUMPRODUCT(Attributs!$AN$2:$AN$18,Attributs!$CT$2:$CT$18)+SUMPRODUCT(Attributs!$AO$2:$AO$18,Attributs!$CU$2:$CU$18))/((SQRT(SUMSQ(Attributs!$AN$2:$AN$18)+SUMSQ(Attributs!$AO$2:$AO$18)))*(SQRT(SUMSQ(Attributs!$CT$2:$CT$18)+SUMSQ(Attributs!$CU$2:$CU$18)))),0)</f>
        <v/>
      </c>
      <c r="AY21" s="2">
        <f>IFERROR((SUMPRODUCT(Attributs!$AN$2:$AN$18,Attributs!$CV$2:$CV$18)+SUMPRODUCT(Attributs!$AO$2:$AO$18,Attributs!$CW$2:$CW$18))/((SQRT(SUMSQ(Attributs!$AN$2:$AN$18)+SUMSQ(Attributs!$AO$2:$AO$18)))*(SQRT(SUMSQ(Attributs!$CV$2:$CV$18)+SUMSQ(Attributs!$CW$2:$CW$18)))),0)</f>
        <v/>
      </c>
      <c r="AZ21" s="2">
        <f>IFERROR((SUMPRODUCT(Attributs!$AN$2:$AN$18,Attributs!$CX$2:$CX$18)+SUMPRODUCT(Attributs!$AO$2:$AO$18,Attributs!$CY$2:$CY$18))/((SQRT(SUMSQ(Attributs!$AN$2:$AN$18)+SUMSQ(Attributs!$AO$2:$AO$18)))*(SQRT(SUMSQ(Attributs!$CX$2:$CX$18)+SUMSQ(Attributs!$CY$2:$CY$18)))),0)</f>
        <v/>
      </c>
      <c r="BA21" s="2">
        <f>IFERROR((SUMPRODUCT(Attributs!$AN$2:$AN$18,Attributs!$CZ$2:$CZ$18)+SUMPRODUCT(Attributs!$AO$2:$AO$18,Attributs!$DA$2:$DA$18))/((SQRT(SUMSQ(Attributs!$AN$2:$AN$18)+SUMSQ(Attributs!$AO$2:$AO$18)))*(SQRT(SUMSQ(Attributs!$CZ$2:$CZ$18)+SUMSQ(Attributs!$DA$2:$DA$18)))),0)</f>
        <v/>
      </c>
      <c r="BB21" s="2">
        <f>IFERROR((SUMPRODUCT(Attributs!$AN$2:$AN$18,Attributs!$DB$2:$DB$18)+SUMPRODUCT(Attributs!$AO$2:$AO$18,Attributs!$DC$2:$DC$18))/((SQRT(SUMSQ(Attributs!$AN$2:$AN$18)+SUMSQ(Attributs!$AO$2:$AO$18)))*(SQRT(SUMSQ(Attributs!$DB$2:$DB$18)+SUMSQ(Attributs!$DC$2:$DC$18)))),0)</f>
        <v/>
      </c>
      <c r="BC21" s="2">
        <f>IFERROR((SUMPRODUCT(Attributs!$AN$2:$AN$18,Attributs!$DD$2:$DD$18)+SUMPRODUCT(Attributs!$AO$2:$AO$18,Attributs!$DE$2:$DE$18))/((SQRT(SUMSQ(Attributs!$AN$2:$AN$18)+SUMSQ(Attributs!$AO$2:$AO$18)))*(SQRT(SUMSQ(Attributs!$DD$2:$DD$18)+SUMSQ(Attributs!$DE$2:$DE$18)))),0)</f>
        <v/>
      </c>
      <c r="BD21" s="2">
        <f>IFERROR((SUMPRODUCT(Attributs!$AN$2:$AN$18,Attributs!$DF$2:$DF$18)+SUMPRODUCT(Attributs!$AO$2:$AO$18,Attributs!$DG$2:$DG$18))/((SQRT(SUMSQ(Attributs!$AN$2:$AN$18)+SUMSQ(Attributs!$AO$2:$AO$18)))*(SQRT(SUMSQ(Attributs!$DF$2:$DF$18)+SUMSQ(Attributs!$DG$2:$DG$18)))),0)</f>
        <v/>
      </c>
      <c r="BE21" s="2">
        <f>IFERROR((SUMPRODUCT(Attributs!$AN$2:$AN$18,Attributs!$DH$2:$DH$18)+SUMPRODUCT(Attributs!$AO$2:$AO$18,Attributs!$DI$2:$DI$18))/((SQRT(SUMSQ(Attributs!$AN$2:$AN$18)+SUMSQ(Attributs!$AO$2:$AO$18)))*(SQRT(SUMSQ(Attributs!$DH$2:$DH$18)+SUMSQ(Attributs!$DI$2:$DI$18)))),0)</f>
        <v/>
      </c>
      <c r="BF21" s="2">
        <f>IFERROR((SUMPRODUCT(Attributs!$AN$2:$AN$18,Attributs!$DJ$2:$DJ$18)+SUMPRODUCT(Attributs!$AO$2:$AO$18,Attributs!$DK$2:$DK$18))/((SQRT(SUMSQ(Attributs!$AN$2:$AN$18)+SUMSQ(Attributs!$AO$2:$AO$18)))*(SQRT(SUMSQ(Attributs!$DJ$2:$DJ$18)+SUMSQ(Attributs!$DK$2:$DK$18)))),0)</f>
        <v/>
      </c>
      <c r="BG21" s="2">
        <f>IFERROR((SUMPRODUCT(Attributs!$AN$2:$AN$18,Attributs!$DL$2:$DL$18)+SUMPRODUCT(Attributs!$AO$2:$AO$18,Attributs!$DM$2:$DM$18))/((SQRT(SUMSQ(Attributs!$AN$2:$AN$18)+SUMSQ(Attributs!$AO$2:$AO$18)))*(SQRT(SUMSQ(Attributs!$DL$2:$DL$18)+SUMSQ(Attributs!$DM$2:$DM$18)))),0)</f>
        <v/>
      </c>
      <c r="BH21" s="2">
        <f>IFERROR((SUMPRODUCT(Attributs!$AN$2:$AN$18,Attributs!$DN$2:$DN$18)+SUMPRODUCT(Attributs!$AO$2:$AO$18,Attributs!$DO$2:$DO$18))/((SQRT(SUMSQ(Attributs!$AN$2:$AN$18)+SUMSQ(Attributs!$AO$2:$AO$18)))*(SQRT(SUMSQ(Attributs!$DN$2:$DN$18)+SUMSQ(Attributs!$DO$2:$DO$18)))),0)</f>
        <v/>
      </c>
      <c r="BI21" s="2">
        <f>IFERROR((SUMPRODUCT(Attributs!$AN$2:$AN$18,Attributs!$DP$2:$DP$18)+SUMPRODUCT(Attributs!$AO$2:$AO$18,Attributs!$DQ$2:$DQ$18))/((SQRT(SUMSQ(Attributs!$AN$2:$AN$18)+SUMSQ(Attributs!$AO$2:$AO$18)))*(SQRT(SUMSQ(Attributs!$DP$2:$DP$18)+SUMSQ(Attributs!$DQ$2:$DQ$18)))),0)</f>
        <v/>
      </c>
      <c r="BJ21" s="2">
        <f>IFERROR((SUMPRODUCT(Attributs!$AN$2:$AN$18,Attributs!$DR$2:$DR$18)+SUMPRODUCT(Attributs!$AO$2:$AO$18,Attributs!$DS$2:$DS$18))/((SQRT(SUMSQ(Attributs!$AN$2:$AN$18)+SUMSQ(Attributs!$AO$2:$AO$18)))*(SQRT(SUMSQ(Attributs!$DR$2:$DR$18)+SUMSQ(Attributs!$DS$2:$DS$18)))),0)</f>
        <v/>
      </c>
      <c r="BK21" s="2">
        <f>IFERROR((SUMPRODUCT(Attributs!$AN$2:$AN$18,Attributs!$DT$2:$DT$18)+SUMPRODUCT(Attributs!$AO$2:$AO$18,Attributs!$DU$2:$DU$18))/((SQRT(SUMSQ(Attributs!$AN$2:$AN$18)+SUMSQ(Attributs!$AO$2:$AO$18)))*(SQRT(SUMSQ(Attributs!$DT$2:$DT$18)+SUMSQ(Attributs!$DU$2:$DU$18)))),0)</f>
        <v/>
      </c>
      <c r="BL21" s="2">
        <f>IFERROR((SUMPRODUCT(Attributs!$AN$2:$AN$18,Attributs!$DV$2:$DV$18)+SUMPRODUCT(Attributs!$AO$2:$AO$18,Attributs!$DW$2:$DW$18))/((SQRT(SUMSQ(Attributs!$AN$2:$AN$18)+SUMSQ(Attributs!$AO$2:$AO$18)))*(SQRT(SUMSQ(Attributs!$DV$2:$DV$18)+SUMSQ(Attributs!$DW$2:$DW$18)))),0)</f>
        <v/>
      </c>
    </row>
    <row r="22">
      <c r="A22" s="3" t="inlineStr">
        <is>
          <t>SE_mysql.Votes.UserId</t>
        </is>
      </c>
      <c r="B22" s="2">
        <f>IFERROR((SUMPRODUCT(Attributs!$AP$2:$AP$18,Attributs!$B$2:$B$18)+SUMPRODUCT(Attributs!$AQ$2:$AQ$18,Attributs!$C$2:$C$18))/((SQRT(SUMSQ(Attributs!$AP$2:$AP$18)+SUMSQ(Attributs!$AQ$2:$AQ$18)))*(SQRT(SUMSQ(Attributs!$B$2:$B$18)+SUMSQ(Attributs!$C$2:$C$18)))),0)</f>
        <v/>
      </c>
      <c r="C22" s="2">
        <f>IFERROR((SUMPRODUCT(Attributs!$AP$2:$AP$18,Attributs!$D$2:$D$18)+SUMPRODUCT(Attributs!$AQ$2:$AQ$18,Attributs!$E$2:$E$18))/((SQRT(SUMSQ(Attributs!$AP$2:$AP$18)+SUMSQ(Attributs!$AQ$2:$AQ$18)))*(SQRT(SUMSQ(Attributs!$D$2:$D$18)+SUMSQ(Attributs!$E$2:$E$18)))),0)</f>
        <v/>
      </c>
      <c r="D22" s="2">
        <f>IFERROR((SUMPRODUCT(Attributs!$AP$2:$AP$18,Attributs!$F$2:$F$18)+SUMPRODUCT(Attributs!$AQ$2:$AQ$18,Attributs!$G$2:$G$18))/((SQRT(SUMSQ(Attributs!$AP$2:$AP$18)+SUMSQ(Attributs!$AQ$2:$AQ$18)))*(SQRT(SUMSQ(Attributs!$F$2:$F$18)+SUMSQ(Attributs!$G$2:$G$18)))),0)</f>
        <v/>
      </c>
      <c r="E22" s="2">
        <f>IFERROR((SUMPRODUCT(Attributs!$AP$2:$AP$18,Attributs!$H$2:$H$18)+SUMPRODUCT(Attributs!$AQ$2:$AQ$18,Attributs!$I$2:$I$18))/((SQRT(SUMSQ(Attributs!$AP$2:$AP$18)+SUMSQ(Attributs!$AQ$2:$AQ$18)))*(SQRT(SUMSQ(Attributs!$H$2:$H$18)+SUMSQ(Attributs!$I$2:$I$18)))),0)</f>
        <v/>
      </c>
      <c r="F22" s="2">
        <f>IFERROR((SUMPRODUCT(Attributs!$AP$2:$AP$18,Attributs!$J$2:$J$18)+SUMPRODUCT(Attributs!$AQ$2:$AQ$18,Attributs!$K$2:$K$18))/((SQRT(SUMSQ(Attributs!$AP$2:$AP$18)+SUMSQ(Attributs!$AQ$2:$AQ$18)))*(SQRT(SUMSQ(Attributs!$J$2:$J$18)+SUMSQ(Attributs!$K$2:$K$18)))),0)</f>
        <v/>
      </c>
      <c r="G22" s="2">
        <f>IFERROR((SUMPRODUCT(Attributs!$AP$2:$AP$18,Attributs!$L$2:$L$18)+SUMPRODUCT(Attributs!$AQ$2:$AQ$18,Attributs!$M$2:$M$18))/((SQRT(SUMSQ(Attributs!$AP$2:$AP$18)+SUMSQ(Attributs!$AQ$2:$AQ$18)))*(SQRT(SUMSQ(Attributs!$L$2:$L$18)+SUMSQ(Attributs!$M$2:$M$18)))),0)</f>
        <v/>
      </c>
      <c r="H22" s="2">
        <f>IFERROR((SUMPRODUCT(Attributs!$AP$2:$AP$18,Attributs!$N$2:$N$18)+SUMPRODUCT(Attributs!$AQ$2:$AQ$18,Attributs!$O$2:$O$18))/((SQRT(SUMSQ(Attributs!$AP$2:$AP$18)+SUMSQ(Attributs!$AQ$2:$AQ$18)))*(SQRT(SUMSQ(Attributs!$N$2:$N$18)+SUMSQ(Attributs!$O$2:$O$18)))),0)</f>
        <v/>
      </c>
      <c r="I22" s="2">
        <f>IFERROR((SUMPRODUCT(Attributs!$AP$2:$AP$18,Attributs!$P$2:$P$18)+SUMPRODUCT(Attributs!$AQ$2:$AQ$18,Attributs!$Q$2:$Q$18))/((SQRT(SUMSQ(Attributs!$AP$2:$AP$18)+SUMSQ(Attributs!$AQ$2:$AQ$18)))*(SQRT(SUMSQ(Attributs!$P$2:$P$18)+SUMSQ(Attributs!$Q$2:$Q$18)))),0)</f>
        <v/>
      </c>
      <c r="J22" s="2">
        <f>IFERROR((SUMPRODUCT(Attributs!$AP$2:$AP$18,Attributs!$R$2:$R$18)+SUMPRODUCT(Attributs!$AQ$2:$AQ$18,Attributs!$S$2:$S$18))/((SQRT(SUMSQ(Attributs!$AP$2:$AP$18)+SUMSQ(Attributs!$AQ$2:$AQ$18)))*(SQRT(SUMSQ(Attributs!$R$2:$R$18)+SUMSQ(Attributs!$S$2:$S$18)))),0)</f>
        <v/>
      </c>
      <c r="K22" s="2">
        <f>IFERROR((SUMPRODUCT(Attributs!$AP$2:$AP$18,Attributs!$T$2:$T$18)+SUMPRODUCT(Attributs!$AQ$2:$AQ$18,Attributs!$U$2:$U$18))/((SQRT(SUMSQ(Attributs!$AP$2:$AP$18)+SUMSQ(Attributs!$AQ$2:$AQ$18)))*(SQRT(SUMSQ(Attributs!$T$2:$T$18)+SUMSQ(Attributs!$U$2:$U$18)))),0)</f>
        <v/>
      </c>
      <c r="L22" s="2">
        <f>IFERROR((SUMPRODUCT(Attributs!$AP$2:$AP$18,Attributs!$V$2:$V$18)+SUMPRODUCT(Attributs!$AQ$2:$AQ$18,Attributs!$W$2:$W$18))/((SQRT(SUMSQ(Attributs!$AP$2:$AP$18)+SUMSQ(Attributs!$AQ$2:$AQ$18)))*(SQRT(SUMSQ(Attributs!$V$2:$V$18)+SUMSQ(Attributs!$W$2:$W$18)))),0)</f>
        <v/>
      </c>
      <c r="M22" s="2">
        <f>IFERROR((SUMPRODUCT(Attributs!$AP$2:$AP$18,Attributs!$X$2:$X$18)+SUMPRODUCT(Attributs!$AQ$2:$AQ$18,Attributs!$Y$2:$Y$18))/((SQRT(SUMSQ(Attributs!$AP$2:$AP$18)+SUMSQ(Attributs!$AQ$2:$AQ$18)))*(SQRT(SUMSQ(Attributs!$X$2:$X$18)+SUMSQ(Attributs!$Y$2:$Y$18)))),0)</f>
        <v/>
      </c>
      <c r="N22" s="2">
        <f>IFERROR((SUMPRODUCT(Attributs!$AP$2:$AP$18,Attributs!$Z$2:$Z$18)+SUMPRODUCT(Attributs!$AQ$2:$AQ$18,Attributs!$AA$2:$AA$18))/((SQRT(SUMSQ(Attributs!$AP$2:$AP$18)+SUMSQ(Attributs!$AQ$2:$AQ$18)))*(SQRT(SUMSQ(Attributs!$Z$2:$Z$18)+SUMSQ(Attributs!$AA$2:$AA$18)))),0)</f>
        <v/>
      </c>
      <c r="O22" s="2">
        <f>IFERROR((SUMPRODUCT(Attributs!$AP$2:$AP$18,Attributs!$AB$2:$AB$18)+SUMPRODUCT(Attributs!$AQ$2:$AQ$18,Attributs!$AC$2:$AC$18))/((SQRT(SUMSQ(Attributs!$AP$2:$AP$18)+SUMSQ(Attributs!$AQ$2:$AQ$18)))*(SQRT(SUMSQ(Attributs!$AB$2:$AB$18)+SUMSQ(Attributs!$AC$2:$AC$18)))),0)</f>
        <v/>
      </c>
      <c r="P22" s="2">
        <f>IFERROR((SUMPRODUCT(Attributs!$AP$2:$AP$18,Attributs!$AD$2:$AD$18)+SUMPRODUCT(Attributs!$AQ$2:$AQ$18,Attributs!$AE$2:$AE$18))/((SQRT(SUMSQ(Attributs!$AP$2:$AP$18)+SUMSQ(Attributs!$AQ$2:$AQ$18)))*(SQRT(SUMSQ(Attributs!$AD$2:$AD$18)+SUMSQ(Attributs!$AE$2:$AE$18)))),0)</f>
        <v/>
      </c>
      <c r="Q22" s="2">
        <f>IFERROR((SUMPRODUCT(Attributs!$AP$2:$AP$18,Attributs!$AF$2:$AF$18)+SUMPRODUCT(Attributs!$AQ$2:$AQ$18,Attributs!$AG$2:$AG$18))/((SQRT(SUMSQ(Attributs!$AP$2:$AP$18)+SUMSQ(Attributs!$AQ$2:$AQ$18)))*(SQRT(SUMSQ(Attributs!$AF$2:$AF$18)+SUMSQ(Attributs!$AG$2:$AG$18)))),0)</f>
        <v/>
      </c>
      <c r="R22" s="2">
        <f>IFERROR((SUMPRODUCT(Attributs!$AP$2:$AP$18,Attributs!$AH$2:$AH$18)+SUMPRODUCT(Attributs!$AQ$2:$AQ$18,Attributs!$AI$2:$AI$18))/((SQRT(SUMSQ(Attributs!$AP$2:$AP$18)+SUMSQ(Attributs!$AQ$2:$AQ$18)))*(SQRT(SUMSQ(Attributs!$AH$2:$AH$18)+SUMSQ(Attributs!$AI$2:$AI$18)))),0)</f>
        <v/>
      </c>
      <c r="S22" s="2">
        <f>IFERROR((SUMPRODUCT(Attributs!$AP$2:$AP$18,Attributs!$AJ$2:$AJ$18)+SUMPRODUCT(Attributs!$AQ$2:$AQ$18,Attributs!$AK$2:$AK$18))/((SQRT(SUMSQ(Attributs!$AP$2:$AP$18)+SUMSQ(Attributs!$AQ$2:$AQ$18)))*(SQRT(SUMSQ(Attributs!$AJ$2:$AJ$18)+SUMSQ(Attributs!$AK$2:$AK$18)))),0)</f>
        <v/>
      </c>
      <c r="T22" s="2">
        <f>IFERROR((SUMPRODUCT(Attributs!$AP$2:$AP$18,Attributs!$AL$2:$AL$18)+SUMPRODUCT(Attributs!$AQ$2:$AQ$18,Attributs!$AM$2:$AM$18))/((SQRT(SUMSQ(Attributs!$AP$2:$AP$18)+SUMSQ(Attributs!$AQ$2:$AQ$18)))*(SQRT(SUMSQ(Attributs!$AL$2:$AL$18)+SUMSQ(Attributs!$AM$2:$AM$18)))),0)</f>
        <v/>
      </c>
      <c r="U22" s="2">
        <f>IFERROR((SUMPRODUCT(Attributs!$AP$2:$AP$18,Attributs!$AN$2:$AN$18)+SUMPRODUCT(Attributs!$AQ$2:$AQ$18,Attributs!$AO$2:$AO$18))/((SQRT(SUMSQ(Attributs!$AP$2:$AP$18)+SUMSQ(Attributs!$AQ$2:$AQ$18)))*(SQRT(SUMSQ(Attributs!$AN$2:$AN$18)+SUMSQ(Attributs!$AO$2:$AO$18)))),0)</f>
        <v/>
      </c>
      <c r="V22" s="2">
        <f>IFERROR((SUMPRODUCT(Attributs!$AP$2:$AP$18,Attributs!$AP$2:$AP$18)+SUMPRODUCT(Attributs!$AQ$2:$AQ$18,Attributs!$AQ$2:$AQ$18))/((SQRT(SUMSQ(Attributs!$AP$2:$AP$18)+SUMSQ(Attributs!$AQ$2:$AQ$18)))*(SQRT(SUMSQ(Attributs!$AP$2:$AP$18)+SUMSQ(Attributs!$AQ$2:$AQ$18)))),0)</f>
        <v/>
      </c>
      <c r="W22" s="2">
        <f>IFERROR((SUMPRODUCT(Attributs!$AP$2:$AP$18,Attributs!$AR$2:$AR$18)+SUMPRODUCT(Attributs!$AQ$2:$AQ$18,Attributs!$AS$2:$AS$18))/((SQRT(SUMSQ(Attributs!$AP$2:$AP$18)+SUMSQ(Attributs!$AQ$2:$AQ$18)))*(SQRT(SUMSQ(Attributs!$AR$2:$AR$18)+SUMSQ(Attributs!$AS$2:$AS$18)))),0)</f>
        <v/>
      </c>
      <c r="X22" s="2">
        <f>IFERROR((SUMPRODUCT(Attributs!$AP$2:$AP$18,Attributs!$AT$2:$AT$18)+SUMPRODUCT(Attributs!$AQ$2:$AQ$18,Attributs!$AU$2:$AU$18))/((SQRT(SUMSQ(Attributs!$AP$2:$AP$18)+SUMSQ(Attributs!$AQ$2:$AQ$18)))*(SQRT(SUMSQ(Attributs!$AT$2:$AT$18)+SUMSQ(Attributs!$AU$2:$AU$18)))),0)</f>
        <v/>
      </c>
      <c r="Y22" s="2">
        <f>IFERROR((SUMPRODUCT(Attributs!$AP$2:$AP$18,Attributs!$AV$2:$AV$18)+SUMPRODUCT(Attributs!$AQ$2:$AQ$18,Attributs!$AW$2:$AW$18))/((SQRT(SUMSQ(Attributs!$AP$2:$AP$18)+SUMSQ(Attributs!$AQ$2:$AQ$18)))*(SQRT(SUMSQ(Attributs!$AV$2:$AV$18)+SUMSQ(Attributs!$AW$2:$AW$18)))),0)</f>
        <v/>
      </c>
      <c r="Z22" s="2">
        <f>IFERROR((SUMPRODUCT(Attributs!$AP$2:$AP$18,Attributs!$AX$2:$AX$18)+SUMPRODUCT(Attributs!$AQ$2:$AQ$18,Attributs!$AY$2:$AY$18))/((SQRT(SUMSQ(Attributs!$AP$2:$AP$18)+SUMSQ(Attributs!$AQ$2:$AQ$18)))*(SQRT(SUMSQ(Attributs!$AX$2:$AX$18)+SUMSQ(Attributs!$AY$2:$AY$18)))),0)</f>
        <v/>
      </c>
      <c r="AA22" s="2">
        <f>IFERROR((SUMPRODUCT(Attributs!$AP$2:$AP$18,Attributs!$AZ$2:$AZ$18)+SUMPRODUCT(Attributs!$AQ$2:$AQ$18,Attributs!$BA$2:$BA$18))/((SQRT(SUMSQ(Attributs!$AP$2:$AP$18)+SUMSQ(Attributs!$AQ$2:$AQ$18)))*(SQRT(SUMSQ(Attributs!$AZ$2:$AZ$18)+SUMSQ(Attributs!$BA$2:$BA$18)))),0)</f>
        <v/>
      </c>
      <c r="AB22" s="2">
        <f>IFERROR((SUMPRODUCT(Attributs!$AP$2:$AP$18,Attributs!$BB$2:$BB$18)+SUMPRODUCT(Attributs!$AQ$2:$AQ$18,Attributs!$BC$2:$BC$18))/((SQRT(SUMSQ(Attributs!$AP$2:$AP$18)+SUMSQ(Attributs!$AQ$2:$AQ$18)))*(SQRT(SUMSQ(Attributs!$BB$2:$BB$18)+SUMSQ(Attributs!$BC$2:$BC$18)))),0)</f>
        <v/>
      </c>
      <c r="AC22" s="2">
        <f>IFERROR((SUMPRODUCT(Attributs!$AP$2:$AP$18,Attributs!$BD$2:$BD$18)+SUMPRODUCT(Attributs!$AQ$2:$AQ$18,Attributs!$BE$2:$BE$18))/((SQRT(SUMSQ(Attributs!$AP$2:$AP$18)+SUMSQ(Attributs!$AQ$2:$AQ$18)))*(SQRT(SUMSQ(Attributs!$BD$2:$BD$18)+SUMSQ(Attributs!$BE$2:$BE$18)))),0)</f>
        <v/>
      </c>
      <c r="AD22" s="2">
        <f>IFERROR((SUMPRODUCT(Attributs!$AP$2:$AP$18,Attributs!$BF$2:$BF$18)+SUMPRODUCT(Attributs!$AQ$2:$AQ$18,Attributs!$BG$2:$BG$18))/((SQRT(SUMSQ(Attributs!$AP$2:$AP$18)+SUMSQ(Attributs!$AQ$2:$AQ$18)))*(SQRT(SUMSQ(Attributs!$BF$2:$BF$18)+SUMSQ(Attributs!$BG$2:$BG$18)))),0)</f>
        <v/>
      </c>
      <c r="AE22" s="2">
        <f>IFERROR((SUMPRODUCT(Attributs!$AP$2:$AP$18,Attributs!$BH$2:$BH$18)+SUMPRODUCT(Attributs!$AQ$2:$AQ$18,Attributs!$BI$2:$BI$18))/((SQRT(SUMSQ(Attributs!$AP$2:$AP$18)+SUMSQ(Attributs!$AQ$2:$AQ$18)))*(SQRT(SUMSQ(Attributs!$BH$2:$BH$18)+SUMSQ(Attributs!$BI$2:$BI$18)))),0)</f>
        <v/>
      </c>
      <c r="AF22" s="2">
        <f>IFERROR((SUMPRODUCT(Attributs!$AP$2:$AP$18,Attributs!$BJ$2:$BJ$18)+SUMPRODUCT(Attributs!$AQ$2:$AQ$18,Attributs!$BK$2:$BK$18))/((SQRT(SUMSQ(Attributs!$AP$2:$AP$18)+SUMSQ(Attributs!$AQ$2:$AQ$18)))*(SQRT(SUMSQ(Attributs!$BJ$2:$BJ$18)+SUMSQ(Attributs!$BK$2:$BK$18)))),0)</f>
        <v/>
      </c>
      <c r="AG22" s="2">
        <f>IFERROR((SUMPRODUCT(Attributs!$AP$2:$AP$18,Attributs!$BL$2:$BL$18)+SUMPRODUCT(Attributs!$AQ$2:$AQ$18,Attributs!$BM$2:$BM$18))/((SQRT(SUMSQ(Attributs!$AP$2:$AP$18)+SUMSQ(Attributs!$AQ$2:$AQ$18)))*(SQRT(SUMSQ(Attributs!$BL$2:$BL$18)+SUMSQ(Attributs!$BM$2:$BM$18)))),0)</f>
        <v/>
      </c>
      <c r="AH22" s="2">
        <f>IFERROR((SUMPRODUCT(Attributs!$AP$2:$AP$18,Attributs!$BN$2:$BN$18)+SUMPRODUCT(Attributs!$AQ$2:$AQ$18,Attributs!$BO$2:$BO$18))/((SQRT(SUMSQ(Attributs!$AP$2:$AP$18)+SUMSQ(Attributs!$AQ$2:$AQ$18)))*(SQRT(SUMSQ(Attributs!$BN$2:$BN$18)+SUMSQ(Attributs!$BO$2:$BO$18)))),0)</f>
        <v/>
      </c>
      <c r="AI22" s="2">
        <f>IFERROR((SUMPRODUCT(Attributs!$AP$2:$AP$18,Attributs!$BP$2:$BP$18)+SUMPRODUCT(Attributs!$AQ$2:$AQ$18,Attributs!$BQ$2:$BQ$18))/((SQRT(SUMSQ(Attributs!$AP$2:$AP$18)+SUMSQ(Attributs!$AQ$2:$AQ$18)))*(SQRT(SUMSQ(Attributs!$BP$2:$BP$18)+SUMSQ(Attributs!$BQ$2:$BQ$18)))),0)</f>
        <v/>
      </c>
      <c r="AJ22" s="2">
        <f>IFERROR((SUMPRODUCT(Attributs!$AP$2:$AP$18,Attributs!$BR$2:$BR$18)+SUMPRODUCT(Attributs!$AQ$2:$AQ$18,Attributs!$BS$2:$BS$18))/((SQRT(SUMSQ(Attributs!$AP$2:$AP$18)+SUMSQ(Attributs!$AQ$2:$AQ$18)))*(SQRT(SUMSQ(Attributs!$BR$2:$BR$18)+SUMSQ(Attributs!$BS$2:$BS$18)))),0)</f>
        <v/>
      </c>
      <c r="AK22" s="2">
        <f>IFERROR((SUMPRODUCT(Attributs!$AP$2:$AP$18,Attributs!$BT$2:$BT$18)+SUMPRODUCT(Attributs!$AQ$2:$AQ$18,Attributs!$BU$2:$BU$18))/((SQRT(SUMSQ(Attributs!$AP$2:$AP$18)+SUMSQ(Attributs!$AQ$2:$AQ$18)))*(SQRT(SUMSQ(Attributs!$BT$2:$BT$18)+SUMSQ(Attributs!$BU$2:$BU$18)))),0)</f>
        <v/>
      </c>
      <c r="AL22" s="2">
        <f>IFERROR((SUMPRODUCT(Attributs!$AP$2:$AP$18,Attributs!$BV$2:$BV$18)+SUMPRODUCT(Attributs!$AQ$2:$AQ$18,Attributs!$BW$2:$BW$18))/((SQRT(SUMSQ(Attributs!$AP$2:$AP$18)+SUMSQ(Attributs!$AQ$2:$AQ$18)))*(SQRT(SUMSQ(Attributs!$BV$2:$BV$18)+SUMSQ(Attributs!$BW$2:$BW$18)))),0)</f>
        <v/>
      </c>
      <c r="AM22" s="2">
        <f>IFERROR((SUMPRODUCT(Attributs!$AP$2:$AP$18,Attributs!$BX$2:$BX$18)+SUMPRODUCT(Attributs!$AQ$2:$AQ$18,Attributs!$BY$2:$BY$18))/((SQRT(SUMSQ(Attributs!$AP$2:$AP$18)+SUMSQ(Attributs!$AQ$2:$AQ$18)))*(SQRT(SUMSQ(Attributs!$BX$2:$BX$18)+SUMSQ(Attributs!$BY$2:$BY$18)))),0)</f>
        <v/>
      </c>
      <c r="AN22" s="2">
        <f>IFERROR((SUMPRODUCT(Attributs!$AP$2:$AP$18,Attributs!$BZ$2:$BZ$18)+SUMPRODUCT(Attributs!$AQ$2:$AQ$18,Attributs!$CA$2:$CA$18))/((SQRT(SUMSQ(Attributs!$AP$2:$AP$18)+SUMSQ(Attributs!$AQ$2:$AQ$18)))*(SQRT(SUMSQ(Attributs!$BZ$2:$BZ$18)+SUMSQ(Attributs!$CA$2:$CA$18)))),0)</f>
        <v/>
      </c>
      <c r="AO22" s="2">
        <f>IFERROR((SUMPRODUCT(Attributs!$AP$2:$AP$18,Attributs!$CB$2:$CB$18)+SUMPRODUCT(Attributs!$AQ$2:$AQ$18,Attributs!$CC$2:$CC$18))/((SQRT(SUMSQ(Attributs!$AP$2:$AP$18)+SUMSQ(Attributs!$AQ$2:$AQ$18)))*(SQRT(SUMSQ(Attributs!$CB$2:$CB$18)+SUMSQ(Attributs!$CC$2:$CC$18)))),0)</f>
        <v/>
      </c>
      <c r="AP22" s="2">
        <f>IFERROR((SUMPRODUCT(Attributs!$AP$2:$AP$18,Attributs!$CD$2:$CD$18)+SUMPRODUCT(Attributs!$AQ$2:$AQ$18,Attributs!$CE$2:$CE$18))/((SQRT(SUMSQ(Attributs!$AP$2:$AP$18)+SUMSQ(Attributs!$AQ$2:$AQ$18)))*(SQRT(SUMSQ(Attributs!$CD$2:$CD$18)+SUMSQ(Attributs!$CE$2:$CE$18)))),0)</f>
        <v/>
      </c>
      <c r="AQ22" s="2">
        <f>IFERROR((SUMPRODUCT(Attributs!$AP$2:$AP$18,Attributs!$CF$2:$CF$18)+SUMPRODUCT(Attributs!$AQ$2:$AQ$18,Attributs!$CG$2:$CG$18))/((SQRT(SUMSQ(Attributs!$AP$2:$AP$18)+SUMSQ(Attributs!$AQ$2:$AQ$18)))*(SQRT(SUMSQ(Attributs!$CF$2:$CF$18)+SUMSQ(Attributs!$CG$2:$CG$18)))),0)</f>
        <v/>
      </c>
      <c r="AR22" s="2">
        <f>IFERROR((SUMPRODUCT(Attributs!$AP$2:$AP$18,Attributs!$CH$2:$CH$18)+SUMPRODUCT(Attributs!$AQ$2:$AQ$18,Attributs!$CI$2:$CI$18))/((SQRT(SUMSQ(Attributs!$AP$2:$AP$18)+SUMSQ(Attributs!$AQ$2:$AQ$18)))*(SQRT(SUMSQ(Attributs!$CH$2:$CH$18)+SUMSQ(Attributs!$CI$2:$CI$18)))),0)</f>
        <v/>
      </c>
      <c r="AS22" s="2">
        <f>IFERROR((SUMPRODUCT(Attributs!$AP$2:$AP$18,Attributs!$CJ$2:$CJ$18)+SUMPRODUCT(Attributs!$AQ$2:$AQ$18,Attributs!$CK$2:$CK$18))/((SQRT(SUMSQ(Attributs!$AP$2:$AP$18)+SUMSQ(Attributs!$AQ$2:$AQ$18)))*(SQRT(SUMSQ(Attributs!$CJ$2:$CJ$18)+SUMSQ(Attributs!$CK$2:$CK$18)))),0)</f>
        <v/>
      </c>
      <c r="AT22" s="2">
        <f>IFERROR((SUMPRODUCT(Attributs!$AP$2:$AP$18,Attributs!$CL$2:$CL$18)+SUMPRODUCT(Attributs!$AQ$2:$AQ$18,Attributs!$CM$2:$CM$18))/((SQRT(SUMSQ(Attributs!$AP$2:$AP$18)+SUMSQ(Attributs!$AQ$2:$AQ$18)))*(SQRT(SUMSQ(Attributs!$CL$2:$CL$18)+SUMSQ(Attributs!$CM$2:$CM$18)))),0)</f>
        <v/>
      </c>
      <c r="AU22" s="2">
        <f>IFERROR((SUMPRODUCT(Attributs!$AP$2:$AP$18,Attributs!$CN$2:$CN$18)+SUMPRODUCT(Attributs!$AQ$2:$AQ$18,Attributs!$CO$2:$CO$18))/((SQRT(SUMSQ(Attributs!$AP$2:$AP$18)+SUMSQ(Attributs!$AQ$2:$AQ$18)))*(SQRT(SUMSQ(Attributs!$CN$2:$CN$18)+SUMSQ(Attributs!$CO$2:$CO$18)))),0)</f>
        <v/>
      </c>
      <c r="AV22" s="2">
        <f>IFERROR((SUMPRODUCT(Attributs!$AP$2:$AP$18,Attributs!$CP$2:$CP$18)+SUMPRODUCT(Attributs!$AQ$2:$AQ$18,Attributs!$CQ$2:$CQ$18))/((SQRT(SUMSQ(Attributs!$AP$2:$AP$18)+SUMSQ(Attributs!$AQ$2:$AQ$18)))*(SQRT(SUMSQ(Attributs!$CP$2:$CP$18)+SUMSQ(Attributs!$CQ$2:$CQ$18)))),0)</f>
        <v/>
      </c>
      <c r="AW22" s="2">
        <f>IFERROR((SUMPRODUCT(Attributs!$AP$2:$AP$18,Attributs!$CR$2:$CR$18)+SUMPRODUCT(Attributs!$AQ$2:$AQ$18,Attributs!$CS$2:$CS$18))/((SQRT(SUMSQ(Attributs!$AP$2:$AP$18)+SUMSQ(Attributs!$AQ$2:$AQ$18)))*(SQRT(SUMSQ(Attributs!$CR$2:$CR$18)+SUMSQ(Attributs!$CS$2:$CS$18)))),0)</f>
        <v/>
      </c>
      <c r="AX22" s="2">
        <f>IFERROR((SUMPRODUCT(Attributs!$AP$2:$AP$18,Attributs!$CT$2:$CT$18)+SUMPRODUCT(Attributs!$AQ$2:$AQ$18,Attributs!$CU$2:$CU$18))/((SQRT(SUMSQ(Attributs!$AP$2:$AP$18)+SUMSQ(Attributs!$AQ$2:$AQ$18)))*(SQRT(SUMSQ(Attributs!$CT$2:$CT$18)+SUMSQ(Attributs!$CU$2:$CU$18)))),0)</f>
        <v/>
      </c>
      <c r="AY22" s="2">
        <f>IFERROR((SUMPRODUCT(Attributs!$AP$2:$AP$18,Attributs!$CV$2:$CV$18)+SUMPRODUCT(Attributs!$AQ$2:$AQ$18,Attributs!$CW$2:$CW$18))/((SQRT(SUMSQ(Attributs!$AP$2:$AP$18)+SUMSQ(Attributs!$AQ$2:$AQ$18)))*(SQRT(SUMSQ(Attributs!$CV$2:$CV$18)+SUMSQ(Attributs!$CW$2:$CW$18)))),0)</f>
        <v/>
      </c>
      <c r="AZ22" s="2">
        <f>IFERROR((SUMPRODUCT(Attributs!$AP$2:$AP$18,Attributs!$CX$2:$CX$18)+SUMPRODUCT(Attributs!$AQ$2:$AQ$18,Attributs!$CY$2:$CY$18))/((SQRT(SUMSQ(Attributs!$AP$2:$AP$18)+SUMSQ(Attributs!$AQ$2:$AQ$18)))*(SQRT(SUMSQ(Attributs!$CX$2:$CX$18)+SUMSQ(Attributs!$CY$2:$CY$18)))),0)</f>
        <v/>
      </c>
      <c r="BA22" s="2">
        <f>IFERROR((SUMPRODUCT(Attributs!$AP$2:$AP$18,Attributs!$CZ$2:$CZ$18)+SUMPRODUCT(Attributs!$AQ$2:$AQ$18,Attributs!$DA$2:$DA$18))/((SQRT(SUMSQ(Attributs!$AP$2:$AP$18)+SUMSQ(Attributs!$AQ$2:$AQ$18)))*(SQRT(SUMSQ(Attributs!$CZ$2:$CZ$18)+SUMSQ(Attributs!$DA$2:$DA$18)))),0)</f>
        <v/>
      </c>
      <c r="BB22" s="2">
        <f>IFERROR((SUMPRODUCT(Attributs!$AP$2:$AP$18,Attributs!$DB$2:$DB$18)+SUMPRODUCT(Attributs!$AQ$2:$AQ$18,Attributs!$DC$2:$DC$18))/((SQRT(SUMSQ(Attributs!$AP$2:$AP$18)+SUMSQ(Attributs!$AQ$2:$AQ$18)))*(SQRT(SUMSQ(Attributs!$DB$2:$DB$18)+SUMSQ(Attributs!$DC$2:$DC$18)))),0)</f>
        <v/>
      </c>
      <c r="BC22" s="2">
        <f>IFERROR((SUMPRODUCT(Attributs!$AP$2:$AP$18,Attributs!$DD$2:$DD$18)+SUMPRODUCT(Attributs!$AQ$2:$AQ$18,Attributs!$DE$2:$DE$18))/((SQRT(SUMSQ(Attributs!$AP$2:$AP$18)+SUMSQ(Attributs!$AQ$2:$AQ$18)))*(SQRT(SUMSQ(Attributs!$DD$2:$DD$18)+SUMSQ(Attributs!$DE$2:$DE$18)))),0)</f>
        <v/>
      </c>
      <c r="BD22" s="2">
        <f>IFERROR((SUMPRODUCT(Attributs!$AP$2:$AP$18,Attributs!$DF$2:$DF$18)+SUMPRODUCT(Attributs!$AQ$2:$AQ$18,Attributs!$DG$2:$DG$18))/((SQRT(SUMSQ(Attributs!$AP$2:$AP$18)+SUMSQ(Attributs!$AQ$2:$AQ$18)))*(SQRT(SUMSQ(Attributs!$DF$2:$DF$18)+SUMSQ(Attributs!$DG$2:$DG$18)))),0)</f>
        <v/>
      </c>
      <c r="BE22" s="2">
        <f>IFERROR((SUMPRODUCT(Attributs!$AP$2:$AP$18,Attributs!$DH$2:$DH$18)+SUMPRODUCT(Attributs!$AQ$2:$AQ$18,Attributs!$DI$2:$DI$18))/((SQRT(SUMSQ(Attributs!$AP$2:$AP$18)+SUMSQ(Attributs!$AQ$2:$AQ$18)))*(SQRT(SUMSQ(Attributs!$DH$2:$DH$18)+SUMSQ(Attributs!$DI$2:$DI$18)))),0)</f>
        <v/>
      </c>
      <c r="BF22" s="2">
        <f>IFERROR((SUMPRODUCT(Attributs!$AP$2:$AP$18,Attributs!$DJ$2:$DJ$18)+SUMPRODUCT(Attributs!$AQ$2:$AQ$18,Attributs!$DK$2:$DK$18))/((SQRT(SUMSQ(Attributs!$AP$2:$AP$18)+SUMSQ(Attributs!$AQ$2:$AQ$18)))*(SQRT(SUMSQ(Attributs!$DJ$2:$DJ$18)+SUMSQ(Attributs!$DK$2:$DK$18)))),0)</f>
        <v/>
      </c>
      <c r="BG22" s="2">
        <f>IFERROR((SUMPRODUCT(Attributs!$AP$2:$AP$18,Attributs!$DL$2:$DL$18)+SUMPRODUCT(Attributs!$AQ$2:$AQ$18,Attributs!$DM$2:$DM$18))/((SQRT(SUMSQ(Attributs!$AP$2:$AP$18)+SUMSQ(Attributs!$AQ$2:$AQ$18)))*(SQRT(SUMSQ(Attributs!$DL$2:$DL$18)+SUMSQ(Attributs!$DM$2:$DM$18)))),0)</f>
        <v/>
      </c>
      <c r="BH22" s="2">
        <f>IFERROR((SUMPRODUCT(Attributs!$AP$2:$AP$18,Attributs!$DN$2:$DN$18)+SUMPRODUCT(Attributs!$AQ$2:$AQ$18,Attributs!$DO$2:$DO$18))/((SQRT(SUMSQ(Attributs!$AP$2:$AP$18)+SUMSQ(Attributs!$AQ$2:$AQ$18)))*(SQRT(SUMSQ(Attributs!$DN$2:$DN$18)+SUMSQ(Attributs!$DO$2:$DO$18)))),0)</f>
        <v/>
      </c>
      <c r="BI22" s="2">
        <f>IFERROR((SUMPRODUCT(Attributs!$AP$2:$AP$18,Attributs!$DP$2:$DP$18)+SUMPRODUCT(Attributs!$AQ$2:$AQ$18,Attributs!$DQ$2:$DQ$18))/((SQRT(SUMSQ(Attributs!$AP$2:$AP$18)+SUMSQ(Attributs!$AQ$2:$AQ$18)))*(SQRT(SUMSQ(Attributs!$DP$2:$DP$18)+SUMSQ(Attributs!$DQ$2:$DQ$18)))),0)</f>
        <v/>
      </c>
      <c r="BJ22" s="2">
        <f>IFERROR((SUMPRODUCT(Attributs!$AP$2:$AP$18,Attributs!$DR$2:$DR$18)+SUMPRODUCT(Attributs!$AQ$2:$AQ$18,Attributs!$DS$2:$DS$18))/((SQRT(SUMSQ(Attributs!$AP$2:$AP$18)+SUMSQ(Attributs!$AQ$2:$AQ$18)))*(SQRT(SUMSQ(Attributs!$DR$2:$DR$18)+SUMSQ(Attributs!$DS$2:$DS$18)))),0)</f>
        <v/>
      </c>
      <c r="BK22" s="2">
        <f>IFERROR((SUMPRODUCT(Attributs!$AP$2:$AP$18,Attributs!$DT$2:$DT$18)+SUMPRODUCT(Attributs!$AQ$2:$AQ$18,Attributs!$DU$2:$DU$18))/((SQRT(SUMSQ(Attributs!$AP$2:$AP$18)+SUMSQ(Attributs!$AQ$2:$AQ$18)))*(SQRT(SUMSQ(Attributs!$DT$2:$DT$18)+SUMSQ(Attributs!$DU$2:$DU$18)))),0)</f>
        <v/>
      </c>
      <c r="BL22" s="2">
        <f>IFERROR((SUMPRODUCT(Attributs!$AP$2:$AP$18,Attributs!$DV$2:$DV$18)+SUMPRODUCT(Attributs!$AQ$2:$AQ$18,Attributs!$DW$2:$DW$18))/((SQRT(SUMSQ(Attributs!$AP$2:$AP$18)+SUMSQ(Attributs!$AQ$2:$AQ$18)))*(SQRT(SUMSQ(Attributs!$DV$2:$DV$18)+SUMSQ(Attributs!$DW$2:$DW$18)))),0)</f>
        <v/>
      </c>
    </row>
    <row r="23">
      <c r="A23" s="3" t="inlineStr">
        <is>
          <t>SE_mysql.Votes.BountyAmount</t>
        </is>
      </c>
      <c r="B23" s="2">
        <f>IFERROR((SUMPRODUCT(Attributs!$AR$2:$AR$18,Attributs!$B$2:$B$18)+SUMPRODUCT(Attributs!$AS$2:$AS$18,Attributs!$C$2:$C$18))/((SQRT(SUMSQ(Attributs!$AR$2:$AR$18)+SUMSQ(Attributs!$AS$2:$AS$18)))*(SQRT(SUMSQ(Attributs!$B$2:$B$18)+SUMSQ(Attributs!$C$2:$C$18)))),0)</f>
        <v/>
      </c>
      <c r="C23" s="2">
        <f>IFERROR((SUMPRODUCT(Attributs!$AR$2:$AR$18,Attributs!$D$2:$D$18)+SUMPRODUCT(Attributs!$AS$2:$AS$18,Attributs!$E$2:$E$18))/((SQRT(SUMSQ(Attributs!$AR$2:$AR$18)+SUMSQ(Attributs!$AS$2:$AS$18)))*(SQRT(SUMSQ(Attributs!$D$2:$D$18)+SUMSQ(Attributs!$E$2:$E$18)))),0)</f>
        <v/>
      </c>
      <c r="D23" s="2">
        <f>IFERROR((SUMPRODUCT(Attributs!$AR$2:$AR$18,Attributs!$F$2:$F$18)+SUMPRODUCT(Attributs!$AS$2:$AS$18,Attributs!$G$2:$G$18))/((SQRT(SUMSQ(Attributs!$AR$2:$AR$18)+SUMSQ(Attributs!$AS$2:$AS$18)))*(SQRT(SUMSQ(Attributs!$F$2:$F$18)+SUMSQ(Attributs!$G$2:$G$18)))),0)</f>
        <v/>
      </c>
      <c r="E23" s="2">
        <f>IFERROR((SUMPRODUCT(Attributs!$AR$2:$AR$18,Attributs!$H$2:$H$18)+SUMPRODUCT(Attributs!$AS$2:$AS$18,Attributs!$I$2:$I$18))/((SQRT(SUMSQ(Attributs!$AR$2:$AR$18)+SUMSQ(Attributs!$AS$2:$AS$18)))*(SQRT(SUMSQ(Attributs!$H$2:$H$18)+SUMSQ(Attributs!$I$2:$I$18)))),0)</f>
        <v/>
      </c>
      <c r="F23" s="2">
        <f>IFERROR((SUMPRODUCT(Attributs!$AR$2:$AR$18,Attributs!$J$2:$J$18)+SUMPRODUCT(Attributs!$AS$2:$AS$18,Attributs!$K$2:$K$18))/((SQRT(SUMSQ(Attributs!$AR$2:$AR$18)+SUMSQ(Attributs!$AS$2:$AS$18)))*(SQRT(SUMSQ(Attributs!$J$2:$J$18)+SUMSQ(Attributs!$K$2:$K$18)))),0)</f>
        <v/>
      </c>
      <c r="G23" s="2">
        <f>IFERROR((SUMPRODUCT(Attributs!$AR$2:$AR$18,Attributs!$L$2:$L$18)+SUMPRODUCT(Attributs!$AS$2:$AS$18,Attributs!$M$2:$M$18))/((SQRT(SUMSQ(Attributs!$AR$2:$AR$18)+SUMSQ(Attributs!$AS$2:$AS$18)))*(SQRT(SUMSQ(Attributs!$L$2:$L$18)+SUMSQ(Attributs!$M$2:$M$18)))),0)</f>
        <v/>
      </c>
      <c r="H23" s="2">
        <f>IFERROR((SUMPRODUCT(Attributs!$AR$2:$AR$18,Attributs!$N$2:$N$18)+SUMPRODUCT(Attributs!$AS$2:$AS$18,Attributs!$O$2:$O$18))/((SQRT(SUMSQ(Attributs!$AR$2:$AR$18)+SUMSQ(Attributs!$AS$2:$AS$18)))*(SQRT(SUMSQ(Attributs!$N$2:$N$18)+SUMSQ(Attributs!$O$2:$O$18)))),0)</f>
        <v/>
      </c>
      <c r="I23" s="2">
        <f>IFERROR((SUMPRODUCT(Attributs!$AR$2:$AR$18,Attributs!$P$2:$P$18)+SUMPRODUCT(Attributs!$AS$2:$AS$18,Attributs!$Q$2:$Q$18))/((SQRT(SUMSQ(Attributs!$AR$2:$AR$18)+SUMSQ(Attributs!$AS$2:$AS$18)))*(SQRT(SUMSQ(Attributs!$P$2:$P$18)+SUMSQ(Attributs!$Q$2:$Q$18)))),0)</f>
        <v/>
      </c>
      <c r="J23" s="2">
        <f>IFERROR((SUMPRODUCT(Attributs!$AR$2:$AR$18,Attributs!$R$2:$R$18)+SUMPRODUCT(Attributs!$AS$2:$AS$18,Attributs!$S$2:$S$18))/((SQRT(SUMSQ(Attributs!$AR$2:$AR$18)+SUMSQ(Attributs!$AS$2:$AS$18)))*(SQRT(SUMSQ(Attributs!$R$2:$R$18)+SUMSQ(Attributs!$S$2:$S$18)))),0)</f>
        <v/>
      </c>
      <c r="K23" s="2">
        <f>IFERROR((SUMPRODUCT(Attributs!$AR$2:$AR$18,Attributs!$T$2:$T$18)+SUMPRODUCT(Attributs!$AS$2:$AS$18,Attributs!$U$2:$U$18))/((SQRT(SUMSQ(Attributs!$AR$2:$AR$18)+SUMSQ(Attributs!$AS$2:$AS$18)))*(SQRT(SUMSQ(Attributs!$T$2:$T$18)+SUMSQ(Attributs!$U$2:$U$18)))),0)</f>
        <v/>
      </c>
      <c r="L23" s="2">
        <f>IFERROR((SUMPRODUCT(Attributs!$AR$2:$AR$18,Attributs!$V$2:$V$18)+SUMPRODUCT(Attributs!$AS$2:$AS$18,Attributs!$W$2:$W$18))/((SQRT(SUMSQ(Attributs!$AR$2:$AR$18)+SUMSQ(Attributs!$AS$2:$AS$18)))*(SQRT(SUMSQ(Attributs!$V$2:$V$18)+SUMSQ(Attributs!$W$2:$W$18)))),0)</f>
        <v/>
      </c>
      <c r="M23" s="2">
        <f>IFERROR((SUMPRODUCT(Attributs!$AR$2:$AR$18,Attributs!$X$2:$X$18)+SUMPRODUCT(Attributs!$AS$2:$AS$18,Attributs!$Y$2:$Y$18))/((SQRT(SUMSQ(Attributs!$AR$2:$AR$18)+SUMSQ(Attributs!$AS$2:$AS$18)))*(SQRT(SUMSQ(Attributs!$X$2:$X$18)+SUMSQ(Attributs!$Y$2:$Y$18)))),0)</f>
        <v/>
      </c>
      <c r="N23" s="2">
        <f>IFERROR((SUMPRODUCT(Attributs!$AR$2:$AR$18,Attributs!$Z$2:$Z$18)+SUMPRODUCT(Attributs!$AS$2:$AS$18,Attributs!$AA$2:$AA$18))/((SQRT(SUMSQ(Attributs!$AR$2:$AR$18)+SUMSQ(Attributs!$AS$2:$AS$18)))*(SQRT(SUMSQ(Attributs!$Z$2:$Z$18)+SUMSQ(Attributs!$AA$2:$AA$18)))),0)</f>
        <v/>
      </c>
      <c r="O23" s="2">
        <f>IFERROR((SUMPRODUCT(Attributs!$AR$2:$AR$18,Attributs!$AB$2:$AB$18)+SUMPRODUCT(Attributs!$AS$2:$AS$18,Attributs!$AC$2:$AC$18))/((SQRT(SUMSQ(Attributs!$AR$2:$AR$18)+SUMSQ(Attributs!$AS$2:$AS$18)))*(SQRT(SUMSQ(Attributs!$AB$2:$AB$18)+SUMSQ(Attributs!$AC$2:$AC$18)))),0)</f>
        <v/>
      </c>
      <c r="P23" s="2">
        <f>IFERROR((SUMPRODUCT(Attributs!$AR$2:$AR$18,Attributs!$AD$2:$AD$18)+SUMPRODUCT(Attributs!$AS$2:$AS$18,Attributs!$AE$2:$AE$18))/((SQRT(SUMSQ(Attributs!$AR$2:$AR$18)+SUMSQ(Attributs!$AS$2:$AS$18)))*(SQRT(SUMSQ(Attributs!$AD$2:$AD$18)+SUMSQ(Attributs!$AE$2:$AE$18)))),0)</f>
        <v/>
      </c>
      <c r="Q23" s="2">
        <f>IFERROR((SUMPRODUCT(Attributs!$AR$2:$AR$18,Attributs!$AF$2:$AF$18)+SUMPRODUCT(Attributs!$AS$2:$AS$18,Attributs!$AG$2:$AG$18))/((SQRT(SUMSQ(Attributs!$AR$2:$AR$18)+SUMSQ(Attributs!$AS$2:$AS$18)))*(SQRT(SUMSQ(Attributs!$AF$2:$AF$18)+SUMSQ(Attributs!$AG$2:$AG$18)))),0)</f>
        <v/>
      </c>
      <c r="R23" s="2">
        <f>IFERROR((SUMPRODUCT(Attributs!$AR$2:$AR$18,Attributs!$AH$2:$AH$18)+SUMPRODUCT(Attributs!$AS$2:$AS$18,Attributs!$AI$2:$AI$18))/((SQRT(SUMSQ(Attributs!$AR$2:$AR$18)+SUMSQ(Attributs!$AS$2:$AS$18)))*(SQRT(SUMSQ(Attributs!$AH$2:$AH$18)+SUMSQ(Attributs!$AI$2:$AI$18)))),0)</f>
        <v/>
      </c>
      <c r="S23" s="2">
        <f>IFERROR((SUMPRODUCT(Attributs!$AR$2:$AR$18,Attributs!$AJ$2:$AJ$18)+SUMPRODUCT(Attributs!$AS$2:$AS$18,Attributs!$AK$2:$AK$18))/((SQRT(SUMSQ(Attributs!$AR$2:$AR$18)+SUMSQ(Attributs!$AS$2:$AS$18)))*(SQRT(SUMSQ(Attributs!$AJ$2:$AJ$18)+SUMSQ(Attributs!$AK$2:$AK$18)))),0)</f>
        <v/>
      </c>
      <c r="T23" s="2">
        <f>IFERROR((SUMPRODUCT(Attributs!$AR$2:$AR$18,Attributs!$AL$2:$AL$18)+SUMPRODUCT(Attributs!$AS$2:$AS$18,Attributs!$AM$2:$AM$18))/((SQRT(SUMSQ(Attributs!$AR$2:$AR$18)+SUMSQ(Attributs!$AS$2:$AS$18)))*(SQRT(SUMSQ(Attributs!$AL$2:$AL$18)+SUMSQ(Attributs!$AM$2:$AM$18)))),0)</f>
        <v/>
      </c>
      <c r="U23" s="2">
        <f>IFERROR((SUMPRODUCT(Attributs!$AR$2:$AR$18,Attributs!$AN$2:$AN$18)+SUMPRODUCT(Attributs!$AS$2:$AS$18,Attributs!$AO$2:$AO$18))/((SQRT(SUMSQ(Attributs!$AR$2:$AR$18)+SUMSQ(Attributs!$AS$2:$AS$18)))*(SQRT(SUMSQ(Attributs!$AN$2:$AN$18)+SUMSQ(Attributs!$AO$2:$AO$18)))),0)</f>
        <v/>
      </c>
      <c r="V23" s="2">
        <f>IFERROR((SUMPRODUCT(Attributs!$AR$2:$AR$18,Attributs!$AP$2:$AP$18)+SUMPRODUCT(Attributs!$AS$2:$AS$18,Attributs!$AQ$2:$AQ$18))/((SQRT(SUMSQ(Attributs!$AR$2:$AR$18)+SUMSQ(Attributs!$AS$2:$AS$18)))*(SQRT(SUMSQ(Attributs!$AP$2:$AP$18)+SUMSQ(Attributs!$AQ$2:$AQ$18)))),0)</f>
        <v/>
      </c>
      <c r="W23" s="2">
        <f>IFERROR((SUMPRODUCT(Attributs!$AR$2:$AR$18,Attributs!$AR$2:$AR$18)+SUMPRODUCT(Attributs!$AS$2:$AS$18,Attributs!$AS$2:$AS$18))/((SQRT(SUMSQ(Attributs!$AR$2:$AR$18)+SUMSQ(Attributs!$AS$2:$AS$18)))*(SQRT(SUMSQ(Attributs!$AR$2:$AR$18)+SUMSQ(Attributs!$AS$2:$AS$18)))),0)</f>
        <v/>
      </c>
      <c r="X23" s="2">
        <f>IFERROR((SUMPRODUCT(Attributs!$AR$2:$AR$18,Attributs!$AT$2:$AT$18)+SUMPRODUCT(Attributs!$AS$2:$AS$18,Attributs!$AU$2:$AU$18))/((SQRT(SUMSQ(Attributs!$AR$2:$AR$18)+SUMSQ(Attributs!$AS$2:$AS$18)))*(SQRT(SUMSQ(Attributs!$AT$2:$AT$18)+SUMSQ(Attributs!$AU$2:$AU$18)))),0)</f>
        <v/>
      </c>
      <c r="Y23" s="2">
        <f>IFERROR((SUMPRODUCT(Attributs!$AR$2:$AR$18,Attributs!$AV$2:$AV$18)+SUMPRODUCT(Attributs!$AS$2:$AS$18,Attributs!$AW$2:$AW$18))/((SQRT(SUMSQ(Attributs!$AR$2:$AR$18)+SUMSQ(Attributs!$AS$2:$AS$18)))*(SQRT(SUMSQ(Attributs!$AV$2:$AV$18)+SUMSQ(Attributs!$AW$2:$AW$18)))),0)</f>
        <v/>
      </c>
      <c r="Z23" s="2">
        <f>IFERROR((SUMPRODUCT(Attributs!$AR$2:$AR$18,Attributs!$AX$2:$AX$18)+SUMPRODUCT(Attributs!$AS$2:$AS$18,Attributs!$AY$2:$AY$18))/((SQRT(SUMSQ(Attributs!$AR$2:$AR$18)+SUMSQ(Attributs!$AS$2:$AS$18)))*(SQRT(SUMSQ(Attributs!$AX$2:$AX$18)+SUMSQ(Attributs!$AY$2:$AY$18)))),0)</f>
        <v/>
      </c>
      <c r="AA23" s="2">
        <f>IFERROR((SUMPRODUCT(Attributs!$AR$2:$AR$18,Attributs!$AZ$2:$AZ$18)+SUMPRODUCT(Attributs!$AS$2:$AS$18,Attributs!$BA$2:$BA$18))/((SQRT(SUMSQ(Attributs!$AR$2:$AR$18)+SUMSQ(Attributs!$AS$2:$AS$18)))*(SQRT(SUMSQ(Attributs!$AZ$2:$AZ$18)+SUMSQ(Attributs!$BA$2:$BA$18)))),0)</f>
        <v/>
      </c>
      <c r="AB23" s="2">
        <f>IFERROR((SUMPRODUCT(Attributs!$AR$2:$AR$18,Attributs!$BB$2:$BB$18)+SUMPRODUCT(Attributs!$AS$2:$AS$18,Attributs!$BC$2:$BC$18))/((SQRT(SUMSQ(Attributs!$AR$2:$AR$18)+SUMSQ(Attributs!$AS$2:$AS$18)))*(SQRT(SUMSQ(Attributs!$BB$2:$BB$18)+SUMSQ(Attributs!$BC$2:$BC$18)))),0)</f>
        <v/>
      </c>
      <c r="AC23" s="2">
        <f>IFERROR((SUMPRODUCT(Attributs!$AR$2:$AR$18,Attributs!$BD$2:$BD$18)+SUMPRODUCT(Attributs!$AS$2:$AS$18,Attributs!$BE$2:$BE$18))/((SQRT(SUMSQ(Attributs!$AR$2:$AR$18)+SUMSQ(Attributs!$AS$2:$AS$18)))*(SQRT(SUMSQ(Attributs!$BD$2:$BD$18)+SUMSQ(Attributs!$BE$2:$BE$18)))),0)</f>
        <v/>
      </c>
      <c r="AD23" s="2">
        <f>IFERROR((SUMPRODUCT(Attributs!$AR$2:$AR$18,Attributs!$BF$2:$BF$18)+SUMPRODUCT(Attributs!$AS$2:$AS$18,Attributs!$BG$2:$BG$18))/((SQRT(SUMSQ(Attributs!$AR$2:$AR$18)+SUMSQ(Attributs!$AS$2:$AS$18)))*(SQRT(SUMSQ(Attributs!$BF$2:$BF$18)+SUMSQ(Attributs!$BG$2:$BG$18)))),0)</f>
        <v/>
      </c>
      <c r="AE23" s="2">
        <f>IFERROR((SUMPRODUCT(Attributs!$AR$2:$AR$18,Attributs!$BH$2:$BH$18)+SUMPRODUCT(Attributs!$AS$2:$AS$18,Attributs!$BI$2:$BI$18))/((SQRT(SUMSQ(Attributs!$AR$2:$AR$18)+SUMSQ(Attributs!$AS$2:$AS$18)))*(SQRT(SUMSQ(Attributs!$BH$2:$BH$18)+SUMSQ(Attributs!$BI$2:$BI$18)))),0)</f>
        <v/>
      </c>
      <c r="AF23" s="2">
        <f>IFERROR((SUMPRODUCT(Attributs!$AR$2:$AR$18,Attributs!$BJ$2:$BJ$18)+SUMPRODUCT(Attributs!$AS$2:$AS$18,Attributs!$BK$2:$BK$18))/((SQRT(SUMSQ(Attributs!$AR$2:$AR$18)+SUMSQ(Attributs!$AS$2:$AS$18)))*(SQRT(SUMSQ(Attributs!$BJ$2:$BJ$18)+SUMSQ(Attributs!$BK$2:$BK$18)))),0)</f>
        <v/>
      </c>
      <c r="AG23" s="2">
        <f>IFERROR((SUMPRODUCT(Attributs!$AR$2:$AR$18,Attributs!$BL$2:$BL$18)+SUMPRODUCT(Attributs!$AS$2:$AS$18,Attributs!$BM$2:$BM$18))/((SQRT(SUMSQ(Attributs!$AR$2:$AR$18)+SUMSQ(Attributs!$AS$2:$AS$18)))*(SQRT(SUMSQ(Attributs!$BL$2:$BL$18)+SUMSQ(Attributs!$BM$2:$BM$18)))),0)</f>
        <v/>
      </c>
      <c r="AH23" s="2">
        <f>IFERROR((SUMPRODUCT(Attributs!$AR$2:$AR$18,Attributs!$BN$2:$BN$18)+SUMPRODUCT(Attributs!$AS$2:$AS$18,Attributs!$BO$2:$BO$18))/((SQRT(SUMSQ(Attributs!$AR$2:$AR$18)+SUMSQ(Attributs!$AS$2:$AS$18)))*(SQRT(SUMSQ(Attributs!$BN$2:$BN$18)+SUMSQ(Attributs!$BO$2:$BO$18)))),0)</f>
        <v/>
      </c>
      <c r="AI23" s="2">
        <f>IFERROR((SUMPRODUCT(Attributs!$AR$2:$AR$18,Attributs!$BP$2:$BP$18)+SUMPRODUCT(Attributs!$AS$2:$AS$18,Attributs!$BQ$2:$BQ$18))/((SQRT(SUMSQ(Attributs!$AR$2:$AR$18)+SUMSQ(Attributs!$AS$2:$AS$18)))*(SQRT(SUMSQ(Attributs!$BP$2:$BP$18)+SUMSQ(Attributs!$BQ$2:$BQ$18)))),0)</f>
        <v/>
      </c>
      <c r="AJ23" s="2">
        <f>IFERROR((SUMPRODUCT(Attributs!$AR$2:$AR$18,Attributs!$BR$2:$BR$18)+SUMPRODUCT(Attributs!$AS$2:$AS$18,Attributs!$BS$2:$BS$18))/((SQRT(SUMSQ(Attributs!$AR$2:$AR$18)+SUMSQ(Attributs!$AS$2:$AS$18)))*(SQRT(SUMSQ(Attributs!$BR$2:$BR$18)+SUMSQ(Attributs!$BS$2:$BS$18)))),0)</f>
        <v/>
      </c>
      <c r="AK23" s="2">
        <f>IFERROR((SUMPRODUCT(Attributs!$AR$2:$AR$18,Attributs!$BT$2:$BT$18)+SUMPRODUCT(Attributs!$AS$2:$AS$18,Attributs!$BU$2:$BU$18))/((SQRT(SUMSQ(Attributs!$AR$2:$AR$18)+SUMSQ(Attributs!$AS$2:$AS$18)))*(SQRT(SUMSQ(Attributs!$BT$2:$BT$18)+SUMSQ(Attributs!$BU$2:$BU$18)))),0)</f>
        <v/>
      </c>
      <c r="AL23" s="2">
        <f>IFERROR((SUMPRODUCT(Attributs!$AR$2:$AR$18,Attributs!$BV$2:$BV$18)+SUMPRODUCT(Attributs!$AS$2:$AS$18,Attributs!$BW$2:$BW$18))/((SQRT(SUMSQ(Attributs!$AR$2:$AR$18)+SUMSQ(Attributs!$AS$2:$AS$18)))*(SQRT(SUMSQ(Attributs!$BV$2:$BV$18)+SUMSQ(Attributs!$BW$2:$BW$18)))),0)</f>
        <v/>
      </c>
      <c r="AM23" s="2">
        <f>IFERROR((SUMPRODUCT(Attributs!$AR$2:$AR$18,Attributs!$BX$2:$BX$18)+SUMPRODUCT(Attributs!$AS$2:$AS$18,Attributs!$BY$2:$BY$18))/((SQRT(SUMSQ(Attributs!$AR$2:$AR$18)+SUMSQ(Attributs!$AS$2:$AS$18)))*(SQRT(SUMSQ(Attributs!$BX$2:$BX$18)+SUMSQ(Attributs!$BY$2:$BY$18)))),0)</f>
        <v/>
      </c>
      <c r="AN23" s="2">
        <f>IFERROR((SUMPRODUCT(Attributs!$AR$2:$AR$18,Attributs!$BZ$2:$BZ$18)+SUMPRODUCT(Attributs!$AS$2:$AS$18,Attributs!$CA$2:$CA$18))/((SQRT(SUMSQ(Attributs!$AR$2:$AR$18)+SUMSQ(Attributs!$AS$2:$AS$18)))*(SQRT(SUMSQ(Attributs!$BZ$2:$BZ$18)+SUMSQ(Attributs!$CA$2:$CA$18)))),0)</f>
        <v/>
      </c>
      <c r="AO23" s="2">
        <f>IFERROR((SUMPRODUCT(Attributs!$AR$2:$AR$18,Attributs!$CB$2:$CB$18)+SUMPRODUCT(Attributs!$AS$2:$AS$18,Attributs!$CC$2:$CC$18))/((SQRT(SUMSQ(Attributs!$AR$2:$AR$18)+SUMSQ(Attributs!$AS$2:$AS$18)))*(SQRT(SUMSQ(Attributs!$CB$2:$CB$18)+SUMSQ(Attributs!$CC$2:$CC$18)))),0)</f>
        <v/>
      </c>
      <c r="AP23" s="2">
        <f>IFERROR((SUMPRODUCT(Attributs!$AR$2:$AR$18,Attributs!$CD$2:$CD$18)+SUMPRODUCT(Attributs!$AS$2:$AS$18,Attributs!$CE$2:$CE$18))/((SQRT(SUMSQ(Attributs!$AR$2:$AR$18)+SUMSQ(Attributs!$AS$2:$AS$18)))*(SQRT(SUMSQ(Attributs!$CD$2:$CD$18)+SUMSQ(Attributs!$CE$2:$CE$18)))),0)</f>
        <v/>
      </c>
      <c r="AQ23" s="2">
        <f>IFERROR((SUMPRODUCT(Attributs!$AR$2:$AR$18,Attributs!$CF$2:$CF$18)+SUMPRODUCT(Attributs!$AS$2:$AS$18,Attributs!$CG$2:$CG$18))/((SQRT(SUMSQ(Attributs!$AR$2:$AR$18)+SUMSQ(Attributs!$AS$2:$AS$18)))*(SQRT(SUMSQ(Attributs!$CF$2:$CF$18)+SUMSQ(Attributs!$CG$2:$CG$18)))),0)</f>
        <v/>
      </c>
      <c r="AR23" s="2">
        <f>IFERROR((SUMPRODUCT(Attributs!$AR$2:$AR$18,Attributs!$CH$2:$CH$18)+SUMPRODUCT(Attributs!$AS$2:$AS$18,Attributs!$CI$2:$CI$18))/((SQRT(SUMSQ(Attributs!$AR$2:$AR$18)+SUMSQ(Attributs!$AS$2:$AS$18)))*(SQRT(SUMSQ(Attributs!$CH$2:$CH$18)+SUMSQ(Attributs!$CI$2:$CI$18)))),0)</f>
        <v/>
      </c>
      <c r="AS23" s="2">
        <f>IFERROR((SUMPRODUCT(Attributs!$AR$2:$AR$18,Attributs!$CJ$2:$CJ$18)+SUMPRODUCT(Attributs!$AS$2:$AS$18,Attributs!$CK$2:$CK$18))/((SQRT(SUMSQ(Attributs!$AR$2:$AR$18)+SUMSQ(Attributs!$AS$2:$AS$18)))*(SQRT(SUMSQ(Attributs!$CJ$2:$CJ$18)+SUMSQ(Attributs!$CK$2:$CK$18)))),0)</f>
        <v/>
      </c>
      <c r="AT23" s="2">
        <f>IFERROR((SUMPRODUCT(Attributs!$AR$2:$AR$18,Attributs!$CL$2:$CL$18)+SUMPRODUCT(Attributs!$AS$2:$AS$18,Attributs!$CM$2:$CM$18))/((SQRT(SUMSQ(Attributs!$AR$2:$AR$18)+SUMSQ(Attributs!$AS$2:$AS$18)))*(SQRT(SUMSQ(Attributs!$CL$2:$CL$18)+SUMSQ(Attributs!$CM$2:$CM$18)))),0)</f>
        <v/>
      </c>
      <c r="AU23" s="2">
        <f>IFERROR((SUMPRODUCT(Attributs!$AR$2:$AR$18,Attributs!$CN$2:$CN$18)+SUMPRODUCT(Attributs!$AS$2:$AS$18,Attributs!$CO$2:$CO$18))/((SQRT(SUMSQ(Attributs!$AR$2:$AR$18)+SUMSQ(Attributs!$AS$2:$AS$18)))*(SQRT(SUMSQ(Attributs!$CN$2:$CN$18)+SUMSQ(Attributs!$CO$2:$CO$18)))),0)</f>
        <v/>
      </c>
      <c r="AV23" s="2">
        <f>IFERROR((SUMPRODUCT(Attributs!$AR$2:$AR$18,Attributs!$CP$2:$CP$18)+SUMPRODUCT(Attributs!$AS$2:$AS$18,Attributs!$CQ$2:$CQ$18))/((SQRT(SUMSQ(Attributs!$AR$2:$AR$18)+SUMSQ(Attributs!$AS$2:$AS$18)))*(SQRT(SUMSQ(Attributs!$CP$2:$CP$18)+SUMSQ(Attributs!$CQ$2:$CQ$18)))),0)</f>
        <v/>
      </c>
      <c r="AW23" s="2">
        <f>IFERROR((SUMPRODUCT(Attributs!$AR$2:$AR$18,Attributs!$CR$2:$CR$18)+SUMPRODUCT(Attributs!$AS$2:$AS$18,Attributs!$CS$2:$CS$18))/((SQRT(SUMSQ(Attributs!$AR$2:$AR$18)+SUMSQ(Attributs!$AS$2:$AS$18)))*(SQRT(SUMSQ(Attributs!$CR$2:$CR$18)+SUMSQ(Attributs!$CS$2:$CS$18)))),0)</f>
        <v/>
      </c>
      <c r="AX23" s="2">
        <f>IFERROR((SUMPRODUCT(Attributs!$AR$2:$AR$18,Attributs!$CT$2:$CT$18)+SUMPRODUCT(Attributs!$AS$2:$AS$18,Attributs!$CU$2:$CU$18))/((SQRT(SUMSQ(Attributs!$AR$2:$AR$18)+SUMSQ(Attributs!$AS$2:$AS$18)))*(SQRT(SUMSQ(Attributs!$CT$2:$CT$18)+SUMSQ(Attributs!$CU$2:$CU$18)))),0)</f>
        <v/>
      </c>
      <c r="AY23" s="2">
        <f>IFERROR((SUMPRODUCT(Attributs!$AR$2:$AR$18,Attributs!$CV$2:$CV$18)+SUMPRODUCT(Attributs!$AS$2:$AS$18,Attributs!$CW$2:$CW$18))/((SQRT(SUMSQ(Attributs!$AR$2:$AR$18)+SUMSQ(Attributs!$AS$2:$AS$18)))*(SQRT(SUMSQ(Attributs!$CV$2:$CV$18)+SUMSQ(Attributs!$CW$2:$CW$18)))),0)</f>
        <v/>
      </c>
      <c r="AZ23" s="2">
        <f>IFERROR((SUMPRODUCT(Attributs!$AR$2:$AR$18,Attributs!$CX$2:$CX$18)+SUMPRODUCT(Attributs!$AS$2:$AS$18,Attributs!$CY$2:$CY$18))/((SQRT(SUMSQ(Attributs!$AR$2:$AR$18)+SUMSQ(Attributs!$AS$2:$AS$18)))*(SQRT(SUMSQ(Attributs!$CX$2:$CX$18)+SUMSQ(Attributs!$CY$2:$CY$18)))),0)</f>
        <v/>
      </c>
      <c r="BA23" s="2">
        <f>IFERROR((SUMPRODUCT(Attributs!$AR$2:$AR$18,Attributs!$CZ$2:$CZ$18)+SUMPRODUCT(Attributs!$AS$2:$AS$18,Attributs!$DA$2:$DA$18))/((SQRT(SUMSQ(Attributs!$AR$2:$AR$18)+SUMSQ(Attributs!$AS$2:$AS$18)))*(SQRT(SUMSQ(Attributs!$CZ$2:$CZ$18)+SUMSQ(Attributs!$DA$2:$DA$18)))),0)</f>
        <v/>
      </c>
      <c r="BB23" s="2">
        <f>IFERROR((SUMPRODUCT(Attributs!$AR$2:$AR$18,Attributs!$DB$2:$DB$18)+SUMPRODUCT(Attributs!$AS$2:$AS$18,Attributs!$DC$2:$DC$18))/((SQRT(SUMSQ(Attributs!$AR$2:$AR$18)+SUMSQ(Attributs!$AS$2:$AS$18)))*(SQRT(SUMSQ(Attributs!$DB$2:$DB$18)+SUMSQ(Attributs!$DC$2:$DC$18)))),0)</f>
        <v/>
      </c>
      <c r="BC23" s="2">
        <f>IFERROR((SUMPRODUCT(Attributs!$AR$2:$AR$18,Attributs!$DD$2:$DD$18)+SUMPRODUCT(Attributs!$AS$2:$AS$18,Attributs!$DE$2:$DE$18))/((SQRT(SUMSQ(Attributs!$AR$2:$AR$18)+SUMSQ(Attributs!$AS$2:$AS$18)))*(SQRT(SUMSQ(Attributs!$DD$2:$DD$18)+SUMSQ(Attributs!$DE$2:$DE$18)))),0)</f>
        <v/>
      </c>
      <c r="BD23" s="2">
        <f>IFERROR((SUMPRODUCT(Attributs!$AR$2:$AR$18,Attributs!$DF$2:$DF$18)+SUMPRODUCT(Attributs!$AS$2:$AS$18,Attributs!$DG$2:$DG$18))/((SQRT(SUMSQ(Attributs!$AR$2:$AR$18)+SUMSQ(Attributs!$AS$2:$AS$18)))*(SQRT(SUMSQ(Attributs!$DF$2:$DF$18)+SUMSQ(Attributs!$DG$2:$DG$18)))),0)</f>
        <v/>
      </c>
      <c r="BE23" s="2">
        <f>IFERROR((SUMPRODUCT(Attributs!$AR$2:$AR$18,Attributs!$DH$2:$DH$18)+SUMPRODUCT(Attributs!$AS$2:$AS$18,Attributs!$DI$2:$DI$18))/((SQRT(SUMSQ(Attributs!$AR$2:$AR$18)+SUMSQ(Attributs!$AS$2:$AS$18)))*(SQRT(SUMSQ(Attributs!$DH$2:$DH$18)+SUMSQ(Attributs!$DI$2:$DI$18)))),0)</f>
        <v/>
      </c>
      <c r="BF23" s="2">
        <f>IFERROR((SUMPRODUCT(Attributs!$AR$2:$AR$18,Attributs!$DJ$2:$DJ$18)+SUMPRODUCT(Attributs!$AS$2:$AS$18,Attributs!$DK$2:$DK$18))/((SQRT(SUMSQ(Attributs!$AR$2:$AR$18)+SUMSQ(Attributs!$AS$2:$AS$18)))*(SQRT(SUMSQ(Attributs!$DJ$2:$DJ$18)+SUMSQ(Attributs!$DK$2:$DK$18)))),0)</f>
        <v/>
      </c>
      <c r="BG23" s="2">
        <f>IFERROR((SUMPRODUCT(Attributs!$AR$2:$AR$18,Attributs!$DL$2:$DL$18)+SUMPRODUCT(Attributs!$AS$2:$AS$18,Attributs!$DM$2:$DM$18))/((SQRT(SUMSQ(Attributs!$AR$2:$AR$18)+SUMSQ(Attributs!$AS$2:$AS$18)))*(SQRT(SUMSQ(Attributs!$DL$2:$DL$18)+SUMSQ(Attributs!$DM$2:$DM$18)))),0)</f>
        <v/>
      </c>
      <c r="BH23" s="2">
        <f>IFERROR((SUMPRODUCT(Attributs!$AR$2:$AR$18,Attributs!$DN$2:$DN$18)+SUMPRODUCT(Attributs!$AS$2:$AS$18,Attributs!$DO$2:$DO$18))/((SQRT(SUMSQ(Attributs!$AR$2:$AR$18)+SUMSQ(Attributs!$AS$2:$AS$18)))*(SQRT(SUMSQ(Attributs!$DN$2:$DN$18)+SUMSQ(Attributs!$DO$2:$DO$18)))),0)</f>
        <v/>
      </c>
      <c r="BI23" s="2">
        <f>IFERROR((SUMPRODUCT(Attributs!$AR$2:$AR$18,Attributs!$DP$2:$DP$18)+SUMPRODUCT(Attributs!$AS$2:$AS$18,Attributs!$DQ$2:$DQ$18))/((SQRT(SUMSQ(Attributs!$AR$2:$AR$18)+SUMSQ(Attributs!$AS$2:$AS$18)))*(SQRT(SUMSQ(Attributs!$DP$2:$DP$18)+SUMSQ(Attributs!$DQ$2:$DQ$18)))),0)</f>
        <v/>
      </c>
      <c r="BJ23" s="2">
        <f>IFERROR((SUMPRODUCT(Attributs!$AR$2:$AR$18,Attributs!$DR$2:$DR$18)+SUMPRODUCT(Attributs!$AS$2:$AS$18,Attributs!$DS$2:$DS$18))/((SQRT(SUMSQ(Attributs!$AR$2:$AR$18)+SUMSQ(Attributs!$AS$2:$AS$18)))*(SQRT(SUMSQ(Attributs!$DR$2:$DR$18)+SUMSQ(Attributs!$DS$2:$DS$18)))),0)</f>
        <v/>
      </c>
      <c r="BK23" s="2">
        <f>IFERROR((SUMPRODUCT(Attributs!$AR$2:$AR$18,Attributs!$DT$2:$DT$18)+SUMPRODUCT(Attributs!$AS$2:$AS$18,Attributs!$DU$2:$DU$18))/((SQRT(SUMSQ(Attributs!$AR$2:$AR$18)+SUMSQ(Attributs!$AS$2:$AS$18)))*(SQRT(SUMSQ(Attributs!$DT$2:$DT$18)+SUMSQ(Attributs!$DU$2:$DU$18)))),0)</f>
        <v/>
      </c>
      <c r="BL23" s="2">
        <f>IFERROR((SUMPRODUCT(Attributs!$AR$2:$AR$18,Attributs!$DV$2:$DV$18)+SUMPRODUCT(Attributs!$AS$2:$AS$18,Attributs!$DW$2:$DW$18))/((SQRT(SUMSQ(Attributs!$AR$2:$AR$18)+SUMSQ(Attributs!$AS$2:$AS$18)))*(SQRT(SUMSQ(Attributs!$DV$2:$DV$18)+SUMSQ(Attributs!$DW$2:$DW$18)))),0)</f>
        <v/>
      </c>
    </row>
    <row r="24">
      <c r="A24" s="3" t="inlineStr">
        <is>
          <t>SE_mysql.Votes.CreationDate</t>
        </is>
      </c>
      <c r="B24" s="2">
        <f>IFERROR((SUMPRODUCT(Attributs!$AT$2:$AT$18,Attributs!$B$2:$B$18)+SUMPRODUCT(Attributs!$AU$2:$AU$18,Attributs!$C$2:$C$18))/((SQRT(SUMSQ(Attributs!$AT$2:$AT$18)+SUMSQ(Attributs!$AU$2:$AU$18)))*(SQRT(SUMSQ(Attributs!$B$2:$B$18)+SUMSQ(Attributs!$C$2:$C$18)))),0)</f>
        <v/>
      </c>
      <c r="C24" s="2">
        <f>IFERROR((SUMPRODUCT(Attributs!$AT$2:$AT$18,Attributs!$D$2:$D$18)+SUMPRODUCT(Attributs!$AU$2:$AU$18,Attributs!$E$2:$E$18))/((SQRT(SUMSQ(Attributs!$AT$2:$AT$18)+SUMSQ(Attributs!$AU$2:$AU$18)))*(SQRT(SUMSQ(Attributs!$D$2:$D$18)+SUMSQ(Attributs!$E$2:$E$18)))),0)</f>
        <v/>
      </c>
      <c r="D24" s="2">
        <f>IFERROR((SUMPRODUCT(Attributs!$AT$2:$AT$18,Attributs!$F$2:$F$18)+SUMPRODUCT(Attributs!$AU$2:$AU$18,Attributs!$G$2:$G$18))/((SQRT(SUMSQ(Attributs!$AT$2:$AT$18)+SUMSQ(Attributs!$AU$2:$AU$18)))*(SQRT(SUMSQ(Attributs!$F$2:$F$18)+SUMSQ(Attributs!$G$2:$G$18)))),0)</f>
        <v/>
      </c>
      <c r="E24" s="2">
        <f>IFERROR((SUMPRODUCT(Attributs!$AT$2:$AT$18,Attributs!$H$2:$H$18)+SUMPRODUCT(Attributs!$AU$2:$AU$18,Attributs!$I$2:$I$18))/((SQRT(SUMSQ(Attributs!$AT$2:$AT$18)+SUMSQ(Attributs!$AU$2:$AU$18)))*(SQRT(SUMSQ(Attributs!$H$2:$H$18)+SUMSQ(Attributs!$I$2:$I$18)))),0)</f>
        <v/>
      </c>
      <c r="F24" s="2">
        <f>IFERROR((SUMPRODUCT(Attributs!$AT$2:$AT$18,Attributs!$J$2:$J$18)+SUMPRODUCT(Attributs!$AU$2:$AU$18,Attributs!$K$2:$K$18))/((SQRT(SUMSQ(Attributs!$AT$2:$AT$18)+SUMSQ(Attributs!$AU$2:$AU$18)))*(SQRT(SUMSQ(Attributs!$J$2:$J$18)+SUMSQ(Attributs!$K$2:$K$18)))),0)</f>
        <v/>
      </c>
      <c r="G24" s="2">
        <f>IFERROR((SUMPRODUCT(Attributs!$AT$2:$AT$18,Attributs!$L$2:$L$18)+SUMPRODUCT(Attributs!$AU$2:$AU$18,Attributs!$M$2:$M$18))/((SQRT(SUMSQ(Attributs!$AT$2:$AT$18)+SUMSQ(Attributs!$AU$2:$AU$18)))*(SQRT(SUMSQ(Attributs!$L$2:$L$18)+SUMSQ(Attributs!$M$2:$M$18)))),0)</f>
        <v/>
      </c>
      <c r="H24" s="2">
        <f>IFERROR((SUMPRODUCT(Attributs!$AT$2:$AT$18,Attributs!$N$2:$N$18)+SUMPRODUCT(Attributs!$AU$2:$AU$18,Attributs!$O$2:$O$18))/((SQRT(SUMSQ(Attributs!$AT$2:$AT$18)+SUMSQ(Attributs!$AU$2:$AU$18)))*(SQRT(SUMSQ(Attributs!$N$2:$N$18)+SUMSQ(Attributs!$O$2:$O$18)))),0)</f>
        <v/>
      </c>
      <c r="I24" s="2">
        <f>IFERROR((SUMPRODUCT(Attributs!$AT$2:$AT$18,Attributs!$P$2:$P$18)+SUMPRODUCT(Attributs!$AU$2:$AU$18,Attributs!$Q$2:$Q$18))/((SQRT(SUMSQ(Attributs!$AT$2:$AT$18)+SUMSQ(Attributs!$AU$2:$AU$18)))*(SQRT(SUMSQ(Attributs!$P$2:$P$18)+SUMSQ(Attributs!$Q$2:$Q$18)))),0)</f>
        <v/>
      </c>
      <c r="J24" s="2">
        <f>IFERROR((SUMPRODUCT(Attributs!$AT$2:$AT$18,Attributs!$R$2:$R$18)+SUMPRODUCT(Attributs!$AU$2:$AU$18,Attributs!$S$2:$S$18))/((SQRT(SUMSQ(Attributs!$AT$2:$AT$18)+SUMSQ(Attributs!$AU$2:$AU$18)))*(SQRT(SUMSQ(Attributs!$R$2:$R$18)+SUMSQ(Attributs!$S$2:$S$18)))),0)</f>
        <v/>
      </c>
      <c r="K24" s="2">
        <f>IFERROR((SUMPRODUCT(Attributs!$AT$2:$AT$18,Attributs!$T$2:$T$18)+SUMPRODUCT(Attributs!$AU$2:$AU$18,Attributs!$U$2:$U$18))/((SQRT(SUMSQ(Attributs!$AT$2:$AT$18)+SUMSQ(Attributs!$AU$2:$AU$18)))*(SQRT(SUMSQ(Attributs!$T$2:$T$18)+SUMSQ(Attributs!$U$2:$U$18)))),0)</f>
        <v/>
      </c>
      <c r="L24" s="2">
        <f>IFERROR((SUMPRODUCT(Attributs!$AT$2:$AT$18,Attributs!$V$2:$V$18)+SUMPRODUCT(Attributs!$AU$2:$AU$18,Attributs!$W$2:$W$18))/((SQRT(SUMSQ(Attributs!$AT$2:$AT$18)+SUMSQ(Attributs!$AU$2:$AU$18)))*(SQRT(SUMSQ(Attributs!$V$2:$V$18)+SUMSQ(Attributs!$W$2:$W$18)))),0)</f>
        <v/>
      </c>
      <c r="M24" s="2">
        <f>IFERROR((SUMPRODUCT(Attributs!$AT$2:$AT$18,Attributs!$X$2:$X$18)+SUMPRODUCT(Attributs!$AU$2:$AU$18,Attributs!$Y$2:$Y$18))/((SQRT(SUMSQ(Attributs!$AT$2:$AT$18)+SUMSQ(Attributs!$AU$2:$AU$18)))*(SQRT(SUMSQ(Attributs!$X$2:$X$18)+SUMSQ(Attributs!$Y$2:$Y$18)))),0)</f>
        <v/>
      </c>
      <c r="N24" s="2">
        <f>IFERROR((SUMPRODUCT(Attributs!$AT$2:$AT$18,Attributs!$Z$2:$Z$18)+SUMPRODUCT(Attributs!$AU$2:$AU$18,Attributs!$AA$2:$AA$18))/((SQRT(SUMSQ(Attributs!$AT$2:$AT$18)+SUMSQ(Attributs!$AU$2:$AU$18)))*(SQRT(SUMSQ(Attributs!$Z$2:$Z$18)+SUMSQ(Attributs!$AA$2:$AA$18)))),0)</f>
        <v/>
      </c>
      <c r="O24" s="2">
        <f>IFERROR((SUMPRODUCT(Attributs!$AT$2:$AT$18,Attributs!$AB$2:$AB$18)+SUMPRODUCT(Attributs!$AU$2:$AU$18,Attributs!$AC$2:$AC$18))/((SQRT(SUMSQ(Attributs!$AT$2:$AT$18)+SUMSQ(Attributs!$AU$2:$AU$18)))*(SQRT(SUMSQ(Attributs!$AB$2:$AB$18)+SUMSQ(Attributs!$AC$2:$AC$18)))),0)</f>
        <v/>
      </c>
      <c r="P24" s="2">
        <f>IFERROR((SUMPRODUCT(Attributs!$AT$2:$AT$18,Attributs!$AD$2:$AD$18)+SUMPRODUCT(Attributs!$AU$2:$AU$18,Attributs!$AE$2:$AE$18))/((SQRT(SUMSQ(Attributs!$AT$2:$AT$18)+SUMSQ(Attributs!$AU$2:$AU$18)))*(SQRT(SUMSQ(Attributs!$AD$2:$AD$18)+SUMSQ(Attributs!$AE$2:$AE$18)))),0)</f>
        <v/>
      </c>
      <c r="Q24" s="2">
        <f>IFERROR((SUMPRODUCT(Attributs!$AT$2:$AT$18,Attributs!$AF$2:$AF$18)+SUMPRODUCT(Attributs!$AU$2:$AU$18,Attributs!$AG$2:$AG$18))/((SQRT(SUMSQ(Attributs!$AT$2:$AT$18)+SUMSQ(Attributs!$AU$2:$AU$18)))*(SQRT(SUMSQ(Attributs!$AF$2:$AF$18)+SUMSQ(Attributs!$AG$2:$AG$18)))),0)</f>
        <v/>
      </c>
      <c r="R24" s="2">
        <f>IFERROR((SUMPRODUCT(Attributs!$AT$2:$AT$18,Attributs!$AH$2:$AH$18)+SUMPRODUCT(Attributs!$AU$2:$AU$18,Attributs!$AI$2:$AI$18))/((SQRT(SUMSQ(Attributs!$AT$2:$AT$18)+SUMSQ(Attributs!$AU$2:$AU$18)))*(SQRT(SUMSQ(Attributs!$AH$2:$AH$18)+SUMSQ(Attributs!$AI$2:$AI$18)))),0)</f>
        <v/>
      </c>
      <c r="S24" s="2">
        <f>IFERROR((SUMPRODUCT(Attributs!$AT$2:$AT$18,Attributs!$AJ$2:$AJ$18)+SUMPRODUCT(Attributs!$AU$2:$AU$18,Attributs!$AK$2:$AK$18))/((SQRT(SUMSQ(Attributs!$AT$2:$AT$18)+SUMSQ(Attributs!$AU$2:$AU$18)))*(SQRT(SUMSQ(Attributs!$AJ$2:$AJ$18)+SUMSQ(Attributs!$AK$2:$AK$18)))),0)</f>
        <v/>
      </c>
      <c r="T24" s="2">
        <f>IFERROR((SUMPRODUCT(Attributs!$AT$2:$AT$18,Attributs!$AL$2:$AL$18)+SUMPRODUCT(Attributs!$AU$2:$AU$18,Attributs!$AM$2:$AM$18))/((SQRT(SUMSQ(Attributs!$AT$2:$AT$18)+SUMSQ(Attributs!$AU$2:$AU$18)))*(SQRT(SUMSQ(Attributs!$AL$2:$AL$18)+SUMSQ(Attributs!$AM$2:$AM$18)))),0)</f>
        <v/>
      </c>
      <c r="U24" s="2">
        <f>IFERROR((SUMPRODUCT(Attributs!$AT$2:$AT$18,Attributs!$AN$2:$AN$18)+SUMPRODUCT(Attributs!$AU$2:$AU$18,Attributs!$AO$2:$AO$18))/((SQRT(SUMSQ(Attributs!$AT$2:$AT$18)+SUMSQ(Attributs!$AU$2:$AU$18)))*(SQRT(SUMSQ(Attributs!$AN$2:$AN$18)+SUMSQ(Attributs!$AO$2:$AO$18)))),0)</f>
        <v/>
      </c>
      <c r="V24" s="2">
        <f>IFERROR((SUMPRODUCT(Attributs!$AT$2:$AT$18,Attributs!$AP$2:$AP$18)+SUMPRODUCT(Attributs!$AU$2:$AU$18,Attributs!$AQ$2:$AQ$18))/((SQRT(SUMSQ(Attributs!$AT$2:$AT$18)+SUMSQ(Attributs!$AU$2:$AU$18)))*(SQRT(SUMSQ(Attributs!$AP$2:$AP$18)+SUMSQ(Attributs!$AQ$2:$AQ$18)))),0)</f>
        <v/>
      </c>
      <c r="W24" s="2">
        <f>IFERROR((SUMPRODUCT(Attributs!$AT$2:$AT$18,Attributs!$AR$2:$AR$18)+SUMPRODUCT(Attributs!$AU$2:$AU$18,Attributs!$AS$2:$AS$18))/((SQRT(SUMSQ(Attributs!$AT$2:$AT$18)+SUMSQ(Attributs!$AU$2:$AU$18)))*(SQRT(SUMSQ(Attributs!$AR$2:$AR$18)+SUMSQ(Attributs!$AS$2:$AS$18)))),0)</f>
        <v/>
      </c>
      <c r="X24" s="2">
        <f>IFERROR((SUMPRODUCT(Attributs!$AT$2:$AT$18,Attributs!$AT$2:$AT$18)+SUMPRODUCT(Attributs!$AU$2:$AU$18,Attributs!$AU$2:$AU$18))/((SQRT(SUMSQ(Attributs!$AT$2:$AT$18)+SUMSQ(Attributs!$AU$2:$AU$18)))*(SQRT(SUMSQ(Attributs!$AT$2:$AT$18)+SUMSQ(Attributs!$AU$2:$AU$18)))),0)</f>
        <v/>
      </c>
      <c r="Y24" s="2">
        <f>IFERROR((SUMPRODUCT(Attributs!$AT$2:$AT$18,Attributs!$AV$2:$AV$18)+SUMPRODUCT(Attributs!$AU$2:$AU$18,Attributs!$AW$2:$AW$18))/((SQRT(SUMSQ(Attributs!$AT$2:$AT$18)+SUMSQ(Attributs!$AU$2:$AU$18)))*(SQRT(SUMSQ(Attributs!$AV$2:$AV$18)+SUMSQ(Attributs!$AW$2:$AW$18)))),0)</f>
        <v/>
      </c>
      <c r="Z24" s="2">
        <f>IFERROR((SUMPRODUCT(Attributs!$AT$2:$AT$18,Attributs!$AX$2:$AX$18)+SUMPRODUCT(Attributs!$AU$2:$AU$18,Attributs!$AY$2:$AY$18))/((SQRT(SUMSQ(Attributs!$AT$2:$AT$18)+SUMSQ(Attributs!$AU$2:$AU$18)))*(SQRT(SUMSQ(Attributs!$AX$2:$AX$18)+SUMSQ(Attributs!$AY$2:$AY$18)))),0)</f>
        <v/>
      </c>
      <c r="AA24" s="2">
        <f>IFERROR((SUMPRODUCT(Attributs!$AT$2:$AT$18,Attributs!$AZ$2:$AZ$18)+SUMPRODUCT(Attributs!$AU$2:$AU$18,Attributs!$BA$2:$BA$18))/((SQRT(SUMSQ(Attributs!$AT$2:$AT$18)+SUMSQ(Attributs!$AU$2:$AU$18)))*(SQRT(SUMSQ(Attributs!$AZ$2:$AZ$18)+SUMSQ(Attributs!$BA$2:$BA$18)))),0)</f>
        <v/>
      </c>
      <c r="AB24" s="2">
        <f>IFERROR((SUMPRODUCT(Attributs!$AT$2:$AT$18,Attributs!$BB$2:$BB$18)+SUMPRODUCT(Attributs!$AU$2:$AU$18,Attributs!$BC$2:$BC$18))/((SQRT(SUMSQ(Attributs!$AT$2:$AT$18)+SUMSQ(Attributs!$AU$2:$AU$18)))*(SQRT(SUMSQ(Attributs!$BB$2:$BB$18)+SUMSQ(Attributs!$BC$2:$BC$18)))),0)</f>
        <v/>
      </c>
      <c r="AC24" s="2">
        <f>IFERROR((SUMPRODUCT(Attributs!$AT$2:$AT$18,Attributs!$BD$2:$BD$18)+SUMPRODUCT(Attributs!$AU$2:$AU$18,Attributs!$BE$2:$BE$18))/((SQRT(SUMSQ(Attributs!$AT$2:$AT$18)+SUMSQ(Attributs!$AU$2:$AU$18)))*(SQRT(SUMSQ(Attributs!$BD$2:$BD$18)+SUMSQ(Attributs!$BE$2:$BE$18)))),0)</f>
        <v/>
      </c>
      <c r="AD24" s="2">
        <f>IFERROR((SUMPRODUCT(Attributs!$AT$2:$AT$18,Attributs!$BF$2:$BF$18)+SUMPRODUCT(Attributs!$AU$2:$AU$18,Attributs!$BG$2:$BG$18))/((SQRT(SUMSQ(Attributs!$AT$2:$AT$18)+SUMSQ(Attributs!$AU$2:$AU$18)))*(SQRT(SUMSQ(Attributs!$BF$2:$BF$18)+SUMSQ(Attributs!$BG$2:$BG$18)))),0)</f>
        <v/>
      </c>
      <c r="AE24" s="2">
        <f>IFERROR((SUMPRODUCT(Attributs!$AT$2:$AT$18,Attributs!$BH$2:$BH$18)+SUMPRODUCT(Attributs!$AU$2:$AU$18,Attributs!$BI$2:$BI$18))/((SQRT(SUMSQ(Attributs!$AT$2:$AT$18)+SUMSQ(Attributs!$AU$2:$AU$18)))*(SQRT(SUMSQ(Attributs!$BH$2:$BH$18)+SUMSQ(Attributs!$BI$2:$BI$18)))),0)</f>
        <v/>
      </c>
      <c r="AF24" s="2">
        <f>IFERROR((SUMPRODUCT(Attributs!$AT$2:$AT$18,Attributs!$BJ$2:$BJ$18)+SUMPRODUCT(Attributs!$AU$2:$AU$18,Attributs!$BK$2:$BK$18))/((SQRT(SUMSQ(Attributs!$AT$2:$AT$18)+SUMSQ(Attributs!$AU$2:$AU$18)))*(SQRT(SUMSQ(Attributs!$BJ$2:$BJ$18)+SUMSQ(Attributs!$BK$2:$BK$18)))),0)</f>
        <v/>
      </c>
      <c r="AG24" s="2">
        <f>IFERROR((SUMPRODUCT(Attributs!$AT$2:$AT$18,Attributs!$BL$2:$BL$18)+SUMPRODUCT(Attributs!$AU$2:$AU$18,Attributs!$BM$2:$BM$18))/((SQRT(SUMSQ(Attributs!$AT$2:$AT$18)+SUMSQ(Attributs!$AU$2:$AU$18)))*(SQRT(SUMSQ(Attributs!$BL$2:$BL$18)+SUMSQ(Attributs!$BM$2:$BM$18)))),0)</f>
        <v/>
      </c>
      <c r="AH24" s="2">
        <f>IFERROR((SUMPRODUCT(Attributs!$AT$2:$AT$18,Attributs!$BN$2:$BN$18)+SUMPRODUCT(Attributs!$AU$2:$AU$18,Attributs!$BO$2:$BO$18))/((SQRT(SUMSQ(Attributs!$AT$2:$AT$18)+SUMSQ(Attributs!$AU$2:$AU$18)))*(SQRT(SUMSQ(Attributs!$BN$2:$BN$18)+SUMSQ(Attributs!$BO$2:$BO$18)))),0)</f>
        <v/>
      </c>
      <c r="AI24" s="2">
        <f>IFERROR((SUMPRODUCT(Attributs!$AT$2:$AT$18,Attributs!$BP$2:$BP$18)+SUMPRODUCT(Attributs!$AU$2:$AU$18,Attributs!$BQ$2:$BQ$18))/((SQRT(SUMSQ(Attributs!$AT$2:$AT$18)+SUMSQ(Attributs!$AU$2:$AU$18)))*(SQRT(SUMSQ(Attributs!$BP$2:$BP$18)+SUMSQ(Attributs!$BQ$2:$BQ$18)))),0)</f>
        <v/>
      </c>
      <c r="AJ24" s="2">
        <f>IFERROR((SUMPRODUCT(Attributs!$AT$2:$AT$18,Attributs!$BR$2:$BR$18)+SUMPRODUCT(Attributs!$AU$2:$AU$18,Attributs!$BS$2:$BS$18))/((SQRT(SUMSQ(Attributs!$AT$2:$AT$18)+SUMSQ(Attributs!$AU$2:$AU$18)))*(SQRT(SUMSQ(Attributs!$BR$2:$BR$18)+SUMSQ(Attributs!$BS$2:$BS$18)))),0)</f>
        <v/>
      </c>
      <c r="AK24" s="2">
        <f>IFERROR((SUMPRODUCT(Attributs!$AT$2:$AT$18,Attributs!$BT$2:$BT$18)+SUMPRODUCT(Attributs!$AU$2:$AU$18,Attributs!$BU$2:$BU$18))/((SQRT(SUMSQ(Attributs!$AT$2:$AT$18)+SUMSQ(Attributs!$AU$2:$AU$18)))*(SQRT(SUMSQ(Attributs!$BT$2:$BT$18)+SUMSQ(Attributs!$BU$2:$BU$18)))),0)</f>
        <v/>
      </c>
      <c r="AL24" s="2">
        <f>IFERROR((SUMPRODUCT(Attributs!$AT$2:$AT$18,Attributs!$BV$2:$BV$18)+SUMPRODUCT(Attributs!$AU$2:$AU$18,Attributs!$BW$2:$BW$18))/((SQRT(SUMSQ(Attributs!$AT$2:$AT$18)+SUMSQ(Attributs!$AU$2:$AU$18)))*(SQRT(SUMSQ(Attributs!$BV$2:$BV$18)+SUMSQ(Attributs!$BW$2:$BW$18)))),0)</f>
        <v/>
      </c>
      <c r="AM24" s="2">
        <f>IFERROR((SUMPRODUCT(Attributs!$AT$2:$AT$18,Attributs!$BX$2:$BX$18)+SUMPRODUCT(Attributs!$AU$2:$AU$18,Attributs!$BY$2:$BY$18))/((SQRT(SUMSQ(Attributs!$AT$2:$AT$18)+SUMSQ(Attributs!$AU$2:$AU$18)))*(SQRT(SUMSQ(Attributs!$BX$2:$BX$18)+SUMSQ(Attributs!$BY$2:$BY$18)))),0)</f>
        <v/>
      </c>
      <c r="AN24" s="2">
        <f>IFERROR((SUMPRODUCT(Attributs!$AT$2:$AT$18,Attributs!$BZ$2:$BZ$18)+SUMPRODUCT(Attributs!$AU$2:$AU$18,Attributs!$CA$2:$CA$18))/((SQRT(SUMSQ(Attributs!$AT$2:$AT$18)+SUMSQ(Attributs!$AU$2:$AU$18)))*(SQRT(SUMSQ(Attributs!$BZ$2:$BZ$18)+SUMSQ(Attributs!$CA$2:$CA$18)))),0)</f>
        <v/>
      </c>
      <c r="AO24" s="2">
        <f>IFERROR((SUMPRODUCT(Attributs!$AT$2:$AT$18,Attributs!$CB$2:$CB$18)+SUMPRODUCT(Attributs!$AU$2:$AU$18,Attributs!$CC$2:$CC$18))/((SQRT(SUMSQ(Attributs!$AT$2:$AT$18)+SUMSQ(Attributs!$AU$2:$AU$18)))*(SQRT(SUMSQ(Attributs!$CB$2:$CB$18)+SUMSQ(Attributs!$CC$2:$CC$18)))),0)</f>
        <v/>
      </c>
      <c r="AP24" s="2">
        <f>IFERROR((SUMPRODUCT(Attributs!$AT$2:$AT$18,Attributs!$CD$2:$CD$18)+SUMPRODUCT(Attributs!$AU$2:$AU$18,Attributs!$CE$2:$CE$18))/((SQRT(SUMSQ(Attributs!$AT$2:$AT$18)+SUMSQ(Attributs!$AU$2:$AU$18)))*(SQRT(SUMSQ(Attributs!$CD$2:$CD$18)+SUMSQ(Attributs!$CE$2:$CE$18)))),0)</f>
        <v/>
      </c>
      <c r="AQ24" s="2">
        <f>IFERROR((SUMPRODUCT(Attributs!$AT$2:$AT$18,Attributs!$CF$2:$CF$18)+SUMPRODUCT(Attributs!$AU$2:$AU$18,Attributs!$CG$2:$CG$18))/((SQRT(SUMSQ(Attributs!$AT$2:$AT$18)+SUMSQ(Attributs!$AU$2:$AU$18)))*(SQRT(SUMSQ(Attributs!$CF$2:$CF$18)+SUMSQ(Attributs!$CG$2:$CG$18)))),0)</f>
        <v/>
      </c>
      <c r="AR24" s="2">
        <f>IFERROR((SUMPRODUCT(Attributs!$AT$2:$AT$18,Attributs!$CH$2:$CH$18)+SUMPRODUCT(Attributs!$AU$2:$AU$18,Attributs!$CI$2:$CI$18))/((SQRT(SUMSQ(Attributs!$AT$2:$AT$18)+SUMSQ(Attributs!$AU$2:$AU$18)))*(SQRT(SUMSQ(Attributs!$CH$2:$CH$18)+SUMSQ(Attributs!$CI$2:$CI$18)))),0)</f>
        <v/>
      </c>
      <c r="AS24" s="2">
        <f>IFERROR((SUMPRODUCT(Attributs!$AT$2:$AT$18,Attributs!$CJ$2:$CJ$18)+SUMPRODUCT(Attributs!$AU$2:$AU$18,Attributs!$CK$2:$CK$18))/((SQRT(SUMSQ(Attributs!$AT$2:$AT$18)+SUMSQ(Attributs!$AU$2:$AU$18)))*(SQRT(SUMSQ(Attributs!$CJ$2:$CJ$18)+SUMSQ(Attributs!$CK$2:$CK$18)))),0)</f>
        <v/>
      </c>
      <c r="AT24" s="2">
        <f>IFERROR((SUMPRODUCT(Attributs!$AT$2:$AT$18,Attributs!$CL$2:$CL$18)+SUMPRODUCT(Attributs!$AU$2:$AU$18,Attributs!$CM$2:$CM$18))/((SQRT(SUMSQ(Attributs!$AT$2:$AT$18)+SUMSQ(Attributs!$AU$2:$AU$18)))*(SQRT(SUMSQ(Attributs!$CL$2:$CL$18)+SUMSQ(Attributs!$CM$2:$CM$18)))),0)</f>
        <v/>
      </c>
      <c r="AU24" s="2">
        <f>IFERROR((SUMPRODUCT(Attributs!$AT$2:$AT$18,Attributs!$CN$2:$CN$18)+SUMPRODUCT(Attributs!$AU$2:$AU$18,Attributs!$CO$2:$CO$18))/((SQRT(SUMSQ(Attributs!$AT$2:$AT$18)+SUMSQ(Attributs!$AU$2:$AU$18)))*(SQRT(SUMSQ(Attributs!$CN$2:$CN$18)+SUMSQ(Attributs!$CO$2:$CO$18)))),0)</f>
        <v/>
      </c>
      <c r="AV24" s="2">
        <f>IFERROR((SUMPRODUCT(Attributs!$AT$2:$AT$18,Attributs!$CP$2:$CP$18)+SUMPRODUCT(Attributs!$AU$2:$AU$18,Attributs!$CQ$2:$CQ$18))/((SQRT(SUMSQ(Attributs!$AT$2:$AT$18)+SUMSQ(Attributs!$AU$2:$AU$18)))*(SQRT(SUMSQ(Attributs!$CP$2:$CP$18)+SUMSQ(Attributs!$CQ$2:$CQ$18)))),0)</f>
        <v/>
      </c>
      <c r="AW24" s="2">
        <f>IFERROR((SUMPRODUCT(Attributs!$AT$2:$AT$18,Attributs!$CR$2:$CR$18)+SUMPRODUCT(Attributs!$AU$2:$AU$18,Attributs!$CS$2:$CS$18))/((SQRT(SUMSQ(Attributs!$AT$2:$AT$18)+SUMSQ(Attributs!$AU$2:$AU$18)))*(SQRT(SUMSQ(Attributs!$CR$2:$CR$18)+SUMSQ(Attributs!$CS$2:$CS$18)))),0)</f>
        <v/>
      </c>
      <c r="AX24" s="2">
        <f>IFERROR((SUMPRODUCT(Attributs!$AT$2:$AT$18,Attributs!$CT$2:$CT$18)+SUMPRODUCT(Attributs!$AU$2:$AU$18,Attributs!$CU$2:$CU$18))/((SQRT(SUMSQ(Attributs!$AT$2:$AT$18)+SUMSQ(Attributs!$AU$2:$AU$18)))*(SQRT(SUMSQ(Attributs!$CT$2:$CT$18)+SUMSQ(Attributs!$CU$2:$CU$18)))),0)</f>
        <v/>
      </c>
      <c r="AY24" s="2">
        <f>IFERROR((SUMPRODUCT(Attributs!$AT$2:$AT$18,Attributs!$CV$2:$CV$18)+SUMPRODUCT(Attributs!$AU$2:$AU$18,Attributs!$CW$2:$CW$18))/((SQRT(SUMSQ(Attributs!$AT$2:$AT$18)+SUMSQ(Attributs!$AU$2:$AU$18)))*(SQRT(SUMSQ(Attributs!$CV$2:$CV$18)+SUMSQ(Attributs!$CW$2:$CW$18)))),0)</f>
        <v/>
      </c>
      <c r="AZ24" s="2">
        <f>IFERROR((SUMPRODUCT(Attributs!$AT$2:$AT$18,Attributs!$CX$2:$CX$18)+SUMPRODUCT(Attributs!$AU$2:$AU$18,Attributs!$CY$2:$CY$18))/((SQRT(SUMSQ(Attributs!$AT$2:$AT$18)+SUMSQ(Attributs!$AU$2:$AU$18)))*(SQRT(SUMSQ(Attributs!$CX$2:$CX$18)+SUMSQ(Attributs!$CY$2:$CY$18)))),0)</f>
        <v/>
      </c>
      <c r="BA24" s="2">
        <f>IFERROR((SUMPRODUCT(Attributs!$AT$2:$AT$18,Attributs!$CZ$2:$CZ$18)+SUMPRODUCT(Attributs!$AU$2:$AU$18,Attributs!$DA$2:$DA$18))/((SQRT(SUMSQ(Attributs!$AT$2:$AT$18)+SUMSQ(Attributs!$AU$2:$AU$18)))*(SQRT(SUMSQ(Attributs!$CZ$2:$CZ$18)+SUMSQ(Attributs!$DA$2:$DA$18)))),0)</f>
        <v/>
      </c>
      <c r="BB24" s="2">
        <f>IFERROR((SUMPRODUCT(Attributs!$AT$2:$AT$18,Attributs!$DB$2:$DB$18)+SUMPRODUCT(Attributs!$AU$2:$AU$18,Attributs!$DC$2:$DC$18))/((SQRT(SUMSQ(Attributs!$AT$2:$AT$18)+SUMSQ(Attributs!$AU$2:$AU$18)))*(SQRT(SUMSQ(Attributs!$DB$2:$DB$18)+SUMSQ(Attributs!$DC$2:$DC$18)))),0)</f>
        <v/>
      </c>
      <c r="BC24" s="2">
        <f>IFERROR((SUMPRODUCT(Attributs!$AT$2:$AT$18,Attributs!$DD$2:$DD$18)+SUMPRODUCT(Attributs!$AU$2:$AU$18,Attributs!$DE$2:$DE$18))/((SQRT(SUMSQ(Attributs!$AT$2:$AT$18)+SUMSQ(Attributs!$AU$2:$AU$18)))*(SQRT(SUMSQ(Attributs!$DD$2:$DD$18)+SUMSQ(Attributs!$DE$2:$DE$18)))),0)</f>
        <v/>
      </c>
      <c r="BD24" s="2">
        <f>IFERROR((SUMPRODUCT(Attributs!$AT$2:$AT$18,Attributs!$DF$2:$DF$18)+SUMPRODUCT(Attributs!$AU$2:$AU$18,Attributs!$DG$2:$DG$18))/((SQRT(SUMSQ(Attributs!$AT$2:$AT$18)+SUMSQ(Attributs!$AU$2:$AU$18)))*(SQRT(SUMSQ(Attributs!$DF$2:$DF$18)+SUMSQ(Attributs!$DG$2:$DG$18)))),0)</f>
        <v/>
      </c>
      <c r="BE24" s="2">
        <f>IFERROR((SUMPRODUCT(Attributs!$AT$2:$AT$18,Attributs!$DH$2:$DH$18)+SUMPRODUCT(Attributs!$AU$2:$AU$18,Attributs!$DI$2:$DI$18))/((SQRT(SUMSQ(Attributs!$AT$2:$AT$18)+SUMSQ(Attributs!$AU$2:$AU$18)))*(SQRT(SUMSQ(Attributs!$DH$2:$DH$18)+SUMSQ(Attributs!$DI$2:$DI$18)))),0)</f>
        <v/>
      </c>
      <c r="BF24" s="2">
        <f>IFERROR((SUMPRODUCT(Attributs!$AT$2:$AT$18,Attributs!$DJ$2:$DJ$18)+SUMPRODUCT(Attributs!$AU$2:$AU$18,Attributs!$DK$2:$DK$18))/((SQRT(SUMSQ(Attributs!$AT$2:$AT$18)+SUMSQ(Attributs!$AU$2:$AU$18)))*(SQRT(SUMSQ(Attributs!$DJ$2:$DJ$18)+SUMSQ(Attributs!$DK$2:$DK$18)))),0)</f>
        <v/>
      </c>
      <c r="BG24" s="2">
        <f>IFERROR((SUMPRODUCT(Attributs!$AT$2:$AT$18,Attributs!$DL$2:$DL$18)+SUMPRODUCT(Attributs!$AU$2:$AU$18,Attributs!$DM$2:$DM$18))/((SQRT(SUMSQ(Attributs!$AT$2:$AT$18)+SUMSQ(Attributs!$AU$2:$AU$18)))*(SQRT(SUMSQ(Attributs!$DL$2:$DL$18)+SUMSQ(Attributs!$DM$2:$DM$18)))),0)</f>
        <v/>
      </c>
      <c r="BH24" s="2">
        <f>IFERROR((SUMPRODUCT(Attributs!$AT$2:$AT$18,Attributs!$DN$2:$DN$18)+SUMPRODUCT(Attributs!$AU$2:$AU$18,Attributs!$DO$2:$DO$18))/((SQRT(SUMSQ(Attributs!$AT$2:$AT$18)+SUMSQ(Attributs!$AU$2:$AU$18)))*(SQRT(SUMSQ(Attributs!$DN$2:$DN$18)+SUMSQ(Attributs!$DO$2:$DO$18)))),0)</f>
        <v/>
      </c>
      <c r="BI24" s="2">
        <f>IFERROR((SUMPRODUCT(Attributs!$AT$2:$AT$18,Attributs!$DP$2:$DP$18)+SUMPRODUCT(Attributs!$AU$2:$AU$18,Attributs!$DQ$2:$DQ$18))/((SQRT(SUMSQ(Attributs!$AT$2:$AT$18)+SUMSQ(Attributs!$AU$2:$AU$18)))*(SQRT(SUMSQ(Attributs!$DP$2:$DP$18)+SUMSQ(Attributs!$DQ$2:$DQ$18)))),0)</f>
        <v/>
      </c>
      <c r="BJ24" s="2">
        <f>IFERROR((SUMPRODUCT(Attributs!$AT$2:$AT$18,Attributs!$DR$2:$DR$18)+SUMPRODUCT(Attributs!$AU$2:$AU$18,Attributs!$DS$2:$DS$18))/((SQRT(SUMSQ(Attributs!$AT$2:$AT$18)+SUMSQ(Attributs!$AU$2:$AU$18)))*(SQRT(SUMSQ(Attributs!$DR$2:$DR$18)+SUMSQ(Attributs!$DS$2:$DS$18)))),0)</f>
        <v/>
      </c>
      <c r="BK24" s="2">
        <f>IFERROR((SUMPRODUCT(Attributs!$AT$2:$AT$18,Attributs!$DT$2:$DT$18)+SUMPRODUCT(Attributs!$AU$2:$AU$18,Attributs!$DU$2:$DU$18))/((SQRT(SUMSQ(Attributs!$AT$2:$AT$18)+SUMSQ(Attributs!$AU$2:$AU$18)))*(SQRT(SUMSQ(Attributs!$DT$2:$DT$18)+SUMSQ(Attributs!$DU$2:$DU$18)))),0)</f>
        <v/>
      </c>
      <c r="BL24" s="2">
        <f>IFERROR((SUMPRODUCT(Attributs!$AT$2:$AT$18,Attributs!$DV$2:$DV$18)+SUMPRODUCT(Attributs!$AU$2:$AU$18,Attributs!$DW$2:$DW$18))/((SQRT(SUMSQ(Attributs!$AT$2:$AT$18)+SUMSQ(Attributs!$AU$2:$AU$18)))*(SQRT(SUMSQ(Attributs!$DV$2:$DV$18)+SUMSQ(Attributs!$DW$2:$DW$18)))),0)</f>
        <v/>
      </c>
    </row>
    <row r="25">
      <c r="A25" s="3" t="inlineStr">
        <is>
          <t>SE_mysql.Votes.PostId</t>
        </is>
      </c>
      <c r="B25" s="2">
        <f>IFERROR((SUMPRODUCT(Attributs!$AV$2:$AV$18,Attributs!$B$2:$B$18)+SUMPRODUCT(Attributs!$AW$2:$AW$18,Attributs!$C$2:$C$18))/((SQRT(SUMSQ(Attributs!$AV$2:$AV$18)+SUMSQ(Attributs!$AW$2:$AW$18)))*(SQRT(SUMSQ(Attributs!$B$2:$B$18)+SUMSQ(Attributs!$C$2:$C$18)))),0)</f>
        <v/>
      </c>
      <c r="C25" s="2">
        <f>IFERROR((SUMPRODUCT(Attributs!$AV$2:$AV$18,Attributs!$D$2:$D$18)+SUMPRODUCT(Attributs!$AW$2:$AW$18,Attributs!$E$2:$E$18))/((SQRT(SUMSQ(Attributs!$AV$2:$AV$18)+SUMSQ(Attributs!$AW$2:$AW$18)))*(SQRT(SUMSQ(Attributs!$D$2:$D$18)+SUMSQ(Attributs!$E$2:$E$18)))),0)</f>
        <v/>
      </c>
      <c r="D25" s="2">
        <f>IFERROR((SUMPRODUCT(Attributs!$AV$2:$AV$18,Attributs!$F$2:$F$18)+SUMPRODUCT(Attributs!$AW$2:$AW$18,Attributs!$G$2:$G$18))/((SQRT(SUMSQ(Attributs!$AV$2:$AV$18)+SUMSQ(Attributs!$AW$2:$AW$18)))*(SQRT(SUMSQ(Attributs!$F$2:$F$18)+SUMSQ(Attributs!$G$2:$G$18)))),0)</f>
        <v/>
      </c>
      <c r="E25" s="2">
        <f>IFERROR((SUMPRODUCT(Attributs!$AV$2:$AV$18,Attributs!$H$2:$H$18)+SUMPRODUCT(Attributs!$AW$2:$AW$18,Attributs!$I$2:$I$18))/((SQRT(SUMSQ(Attributs!$AV$2:$AV$18)+SUMSQ(Attributs!$AW$2:$AW$18)))*(SQRT(SUMSQ(Attributs!$H$2:$H$18)+SUMSQ(Attributs!$I$2:$I$18)))),0)</f>
        <v/>
      </c>
      <c r="F25" s="2">
        <f>IFERROR((SUMPRODUCT(Attributs!$AV$2:$AV$18,Attributs!$J$2:$J$18)+SUMPRODUCT(Attributs!$AW$2:$AW$18,Attributs!$K$2:$K$18))/((SQRT(SUMSQ(Attributs!$AV$2:$AV$18)+SUMSQ(Attributs!$AW$2:$AW$18)))*(SQRT(SUMSQ(Attributs!$J$2:$J$18)+SUMSQ(Attributs!$K$2:$K$18)))),0)</f>
        <v/>
      </c>
      <c r="G25" s="2">
        <f>IFERROR((SUMPRODUCT(Attributs!$AV$2:$AV$18,Attributs!$L$2:$L$18)+SUMPRODUCT(Attributs!$AW$2:$AW$18,Attributs!$M$2:$M$18))/((SQRT(SUMSQ(Attributs!$AV$2:$AV$18)+SUMSQ(Attributs!$AW$2:$AW$18)))*(SQRT(SUMSQ(Attributs!$L$2:$L$18)+SUMSQ(Attributs!$M$2:$M$18)))),0)</f>
        <v/>
      </c>
      <c r="H25" s="2">
        <f>IFERROR((SUMPRODUCT(Attributs!$AV$2:$AV$18,Attributs!$N$2:$N$18)+SUMPRODUCT(Attributs!$AW$2:$AW$18,Attributs!$O$2:$O$18))/((SQRT(SUMSQ(Attributs!$AV$2:$AV$18)+SUMSQ(Attributs!$AW$2:$AW$18)))*(SQRT(SUMSQ(Attributs!$N$2:$N$18)+SUMSQ(Attributs!$O$2:$O$18)))),0)</f>
        <v/>
      </c>
      <c r="I25" s="2">
        <f>IFERROR((SUMPRODUCT(Attributs!$AV$2:$AV$18,Attributs!$P$2:$P$18)+SUMPRODUCT(Attributs!$AW$2:$AW$18,Attributs!$Q$2:$Q$18))/((SQRT(SUMSQ(Attributs!$AV$2:$AV$18)+SUMSQ(Attributs!$AW$2:$AW$18)))*(SQRT(SUMSQ(Attributs!$P$2:$P$18)+SUMSQ(Attributs!$Q$2:$Q$18)))),0)</f>
        <v/>
      </c>
      <c r="J25" s="2">
        <f>IFERROR((SUMPRODUCT(Attributs!$AV$2:$AV$18,Attributs!$R$2:$R$18)+SUMPRODUCT(Attributs!$AW$2:$AW$18,Attributs!$S$2:$S$18))/((SQRT(SUMSQ(Attributs!$AV$2:$AV$18)+SUMSQ(Attributs!$AW$2:$AW$18)))*(SQRT(SUMSQ(Attributs!$R$2:$R$18)+SUMSQ(Attributs!$S$2:$S$18)))),0)</f>
        <v/>
      </c>
      <c r="K25" s="2">
        <f>IFERROR((SUMPRODUCT(Attributs!$AV$2:$AV$18,Attributs!$T$2:$T$18)+SUMPRODUCT(Attributs!$AW$2:$AW$18,Attributs!$U$2:$U$18))/((SQRT(SUMSQ(Attributs!$AV$2:$AV$18)+SUMSQ(Attributs!$AW$2:$AW$18)))*(SQRT(SUMSQ(Attributs!$T$2:$T$18)+SUMSQ(Attributs!$U$2:$U$18)))),0)</f>
        <v/>
      </c>
      <c r="L25" s="2">
        <f>IFERROR((SUMPRODUCT(Attributs!$AV$2:$AV$18,Attributs!$V$2:$V$18)+SUMPRODUCT(Attributs!$AW$2:$AW$18,Attributs!$W$2:$W$18))/((SQRT(SUMSQ(Attributs!$AV$2:$AV$18)+SUMSQ(Attributs!$AW$2:$AW$18)))*(SQRT(SUMSQ(Attributs!$V$2:$V$18)+SUMSQ(Attributs!$W$2:$W$18)))),0)</f>
        <v/>
      </c>
      <c r="M25" s="2">
        <f>IFERROR((SUMPRODUCT(Attributs!$AV$2:$AV$18,Attributs!$X$2:$X$18)+SUMPRODUCT(Attributs!$AW$2:$AW$18,Attributs!$Y$2:$Y$18))/((SQRT(SUMSQ(Attributs!$AV$2:$AV$18)+SUMSQ(Attributs!$AW$2:$AW$18)))*(SQRT(SUMSQ(Attributs!$X$2:$X$18)+SUMSQ(Attributs!$Y$2:$Y$18)))),0)</f>
        <v/>
      </c>
      <c r="N25" s="2">
        <f>IFERROR((SUMPRODUCT(Attributs!$AV$2:$AV$18,Attributs!$Z$2:$Z$18)+SUMPRODUCT(Attributs!$AW$2:$AW$18,Attributs!$AA$2:$AA$18))/((SQRT(SUMSQ(Attributs!$AV$2:$AV$18)+SUMSQ(Attributs!$AW$2:$AW$18)))*(SQRT(SUMSQ(Attributs!$Z$2:$Z$18)+SUMSQ(Attributs!$AA$2:$AA$18)))),0)</f>
        <v/>
      </c>
      <c r="O25" s="2">
        <f>IFERROR((SUMPRODUCT(Attributs!$AV$2:$AV$18,Attributs!$AB$2:$AB$18)+SUMPRODUCT(Attributs!$AW$2:$AW$18,Attributs!$AC$2:$AC$18))/((SQRT(SUMSQ(Attributs!$AV$2:$AV$18)+SUMSQ(Attributs!$AW$2:$AW$18)))*(SQRT(SUMSQ(Attributs!$AB$2:$AB$18)+SUMSQ(Attributs!$AC$2:$AC$18)))),0)</f>
        <v/>
      </c>
      <c r="P25" s="2">
        <f>IFERROR((SUMPRODUCT(Attributs!$AV$2:$AV$18,Attributs!$AD$2:$AD$18)+SUMPRODUCT(Attributs!$AW$2:$AW$18,Attributs!$AE$2:$AE$18))/((SQRT(SUMSQ(Attributs!$AV$2:$AV$18)+SUMSQ(Attributs!$AW$2:$AW$18)))*(SQRT(SUMSQ(Attributs!$AD$2:$AD$18)+SUMSQ(Attributs!$AE$2:$AE$18)))),0)</f>
        <v/>
      </c>
      <c r="Q25" s="2">
        <f>IFERROR((SUMPRODUCT(Attributs!$AV$2:$AV$18,Attributs!$AF$2:$AF$18)+SUMPRODUCT(Attributs!$AW$2:$AW$18,Attributs!$AG$2:$AG$18))/((SQRT(SUMSQ(Attributs!$AV$2:$AV$18)+SUMSQ(Attributs!$AW$2:$AW$18)))*(SQRT(SUMSQ(Attributs!$AF$2:$AF$18)+SUMSQ(Attributs!$AG$2:$AG$18)))),0)</f>
        <v/>
      </c>
      <c r="R25" s="2">
        <f>IFERROR((SUMPRODUCT(Attributs!$AV$2:$AV$18,Attributs!$AH$2:$AH$18)+SUMPRODUCT(Attributs!$AW$2:$AW$18,Attributs!$AI$2:$AI$18))/((SQRT(SUMSQ(Attributs!$AV$2:$AV$18)+SUMSQ(Attributs!$AW$2:$AW$18)))*(SQRT(SUMSQ(Attributs!$AH$2:$AH$18)+SUMSQ(Attributs!$AI$2:$AI$18)))),0)</f>
        <v/>
      </c>
      <c r="S25" s="2">
        <f>IFERROR((SUMPRODUCT(Attributs!$AV$2:$AV$18,Attributs!$AJ$2:$AJ$18)+SUMPRODUCT(Attributs!$AW$2:$AW$18,Attributs!$AK$2:$AK$18))/((SQRT(SUMSQ(Attributs!$AV$2:$AV$18)+SUMSQ(Attributs!$AW$2:$AW$18)))*(SQRT(SUMSQ(Attributs!$AJ$2:$AJ$18)+SUMSQ(Attributs!$AK$2:$AK$18)))),0)</f>
        <v/>
      </c>
      <c r="T25" s="2">
        <f>IFERROR((SUMPRODUCT(Attributs!$AV$2:$AV$18,Attributs!$AL$2:$AL$18)+SUMPRODUCT(Attributs!$AW$2:$AW$18,Attributs!$AM$2:$AM$18))/((SQRT(SUMSQ(Attributs!$AV$2:$AV$18)+SUMSQ(Attributs!$AW$2:$AW$18)))*(SQRT(SUMSQ(Attributs!$AL$2:$AL$18)+SUMSQ(Attributs!$AM$2:$AM$18)))),0)</f>
        <v/>
      </c>
      <c r="U25" s="2">
        <f>IFERROR((SUMPRODUCT(Attributs!$AV$2:$AV$18,Attributs!$AN$2:$AN$18)+SUMPRODUCT(Attributs!$AW$2:$AW$18,Attributs!$AO$2:$AO$18))/((SQRT(SUMSQ(Attributs!$AV$2:$AV$18)+SUMSQ(Attributs!$AW$2:$AW$18)))*(SQRT(SUMSQ(Attributs!$AN$2:$AN$18)+SUMSQ(Attributs!$AO$2:$AO$18)))),0)</f>
        <v/>
      </c>
      <c r="V25" s="2">
        <f>IFERROR((SUMPRODUCT(Attributs!$AV$2:$AV$18,Attributs!$AP$2:$AP$18)+SUMPRODUCT(Attributs!$AW$2:$AW$18,Attributs!$AQ$2:$AQ$18))/((SQRT(SUMSQ(Attributs!$AV$2:$AV$18)+SUMSQ(Attributs!$AW$2:$AW$18)))*(SQRT(SUMSQ(Attributs!$AP$2:$AP$18)+SUMSQ(Attributs!$AQ$2:$AQ$18)))),0)</f>
        <v/>
      </c>
      <c r="W25" s="2">
        <f>IFERROR((SUMPRODUCT(Attributs!$AV$2:$AV$18,Attributs!$AR$2:$AR$18)+SUMPRODUCT(Attributs!$AW$2:$AW$18,Attributs!$AS$2:$AS$18))/((SQRT(SUMSQ(Attributs!$AV$2:$AV$18)+SUMSQ(Attributs!$AW$2:$AW$18)))*(SQRT(SUMSQ(Attributs!$AR$2:$AR$18)+SUMSQ(Attributs!$AS$2:$AS$18)))),0)</f>
        <v/>
      </c>
      <c r="X25" s="2">
        <f>IFERROR((SUMPRODUCT(Attributs!$AV$2:$AV$18,Attributs!$AT$2:$AT$18)+SUMPRODUCT(Attributs!$AW$2:$AW$18,Attributs!$AU$2:$AU$18))/((SQRT(SUMSQ(Attributs!$AV$2:$AV$18)+SUMSQ(Attributs!$AW$2:$AW$18)))*(SQRT(SUMSQ(Attributs!$AT$2:$AT$18)+SUMSQ(Attributs!$AU$2:$AU$18)))),0)</f>
        <v/>
      </c>
      <c r="Y25" s="2">
        <f>IFERROR((SUMPRODUCT(Attributs!$AV$2:$AV$18,Attributs!$AV$2:$AV$18)+SUMPRODUCT(Attributs!$AW$2:$AW$18,Attributs!$AW$2:$AW$18))/((SQRT(SUMSQ(Attributs!$AV$2:$AV$18)+SUMSQ(Attributs!$AW$2:$AW$18)))*(SQRT(SUMSQ(Attributs!$AV$2:$AV$18)+SUMSQ(Attributs!$AW$2:$AW$18)))),0)</f>
        <v/>
      </c>
      <c r="Z25" s="2">
        <f>IFERROR((SUMPRODUCT(Attributs!$AV$2:$AV$18,Attributs!$AX$2:$AX$18)+SUMPRODUCT(Attributs!$AW$2:$AW$18,Attributs!$AY$2:$AY$18))/((SQRT(SUMSQ(Attributs!$AV$2:$AV$18)+SUMSQ(Attributs!$AW$2:$AW$18)))*(SQRT(SUMSQ(Attributs!$AX$2:$AX$18)+SUMSQ(Attributs!$AY$2:$AY$18)))),0)</f>
        <v/>
      </c>
      <c r="AA25" s="2">
        <f>IFERROR((SUMPRODUCT(Attributs!$AV$2:$AV$18,Attributs!$AZ$2:$AZ$18)+SUMPRODUCT(Attributs!$AW$2:$AW$18,Attributs!$BA$2:$BA$18))/((SQRT(SUMSQ(Attributs!$AV$2:$AV$18)+SUMSQ(Attributs!$AW$2:$AW$18)))*(SQRT(SUMSQ(Attributs!$AZ$2:$AZ$18)+SUMSQ(Attributs!$BA$2:$BA$18)))),0)</f>
        <v/>
      </c>
      <c r="AB25" s="2">
        <f>IFERROR((SUMPRODUCT(Attributs!$AV$2:$AV$18,Attributs!$BB$2:$BB$18)+SUMPRODUCT(Attributs!$AW$2:$AW$18,Attributs!$BC$2:$BC$18))/((SQRT(SUMSQ(Attributs!$AV$2:$AV$18)+SUMSQ(Attributs!$AW$2:$AW$18)))*(SQRT(SUMSQ(Attributs!$BB$2:$BB$18)+SUMSQ(Attributs!$BC$2:$BC$18)))),0)</f>
        <v/>
      </c>
      <c r="AC25" s="2">
        <f>IFERROR((SUMPRODUCT(Attributs!$AV$2:$AV$18,Attributs!$BD$2:$BD$18)+SUMPRODUCT(Attributs!$AW$2:$AW$18,Attributs!$BE$2:$BE$18))/((SQRT(SUMSQ(Attributs!$AV$2:$AV$18)+SUMSQ(Attributs!$AW$2:$AW$18)))*(SQRT(SUMSQ(Attributs!$BD$2:$BD$18)+SUMSQ(Attributs!$BE$2:$BE$18)))),0)</f>
        <v/>
      </c>
      <c r="AD25" s="2">
        <f>IFERROR((SUMPRODUCT(Attributs!$AV$2:$AV$18,Attributs!$BF$2:$BF$18)+SUMPRODUCT(Attributs!$AW$2:$AW$18,Attributs!$BG$2:$BG$18))/((SQRT(SUMSQ(Attributs!$AV$2:$AV$18)+SUMSQ(Attributs!$AW$2:$AW$18)))*(SQRT(SUMSQ(Attributs!$BF$2:$BF$18)+SUMSQ(Attributs!$BG$2:$BG$18)))),0)</f>
        <v/>
      </c>
      <c r="AE25" s="2">
        <f>IFERROR((SUMPRODUCT(Attributs!$AV$2:$AV$18,Attributs!$BH$2:$BH$18)+SUMPRODUCT(Attributs!$AW$2:$AW$18,Attributs!$BI$2:$BI$18))/((SQRT(SUMSQ(Attributs!$AV$2:$AV$18)+SUMSQ(Attributs!$AW$2:$AW$18)))*(SQRT(SUMSQ(Attributs!$BH$2:$BH$18)+SUMSQ(Attributs!$BI$2:$BI$18)))),0)</f>
        <v/>
      </c>
      <c r="AF25" s="2">
        <f>IFERROR((SUMPRODUCT(Attributs!$AV$2:$AV$18,Attributs!$BJ$2:$BJ$18)+SUMPRODUCT(Attributs!$AW$2:$AW$18,Attributs!$BK$2:$BK$18))/((SQRT(SUMSQ(Attributs!$AV$2:$AV$18)+SUMSQ(Attributs!$AW$2:$AW$18)))*(SQRT(SUMSQ(Attributs!$BJ$2:$BJ$18)+SUMSQ(Attributs!$BK$2:$BK$18)))),0)</f>
        <v/>
      </c>
      <c r="AG25" s="2">
        <f>IFERROR((SUMPRODUCT(Attributs!$AV$2:$AV$18,Attributs!$BL$2:$BL$18)+SUMPRODUCT(Attributs!$AW$2:$AW$18,Attributs!$BM$2:$BM$18))/((SQRT(SUMSQ(Attributs!$AV$2:$AV$18)+SUMSQ(Attributs!$AW$2:$AW$18)))*(SQRT(SUMSQ(Attributs!$BL$2:$BL$18)+SUMSQ(Attributs!$BM$2:$BM$18)))),0)</f>
        <v/>
      </c>
      <c r="AH25" s="2">
        <f>IFERROR((SUMPRODUCT(Attributs!$AV$2:$AV$18,Attributs!$BN$2:$BN$18)+SUMPRODUCT(Attributs!$AW$2:$AW$18,Attributs!$BO$2:$BO$18))/((SQRT(SUMSQ(Attributs!$AV$2:$AV$18)+SUMSQ(Attributs!$AW$2:$AW$18)))*(SQRT(SUMSQ(Attributs!$BN$2:$BN$18)+SUMSQ(Attributs!$BO$2:$BO$18)))),0)</f>
        <v/>
      </c>
      <c r="AI25" s="2">
        <f>IFERROR((SUMPRODUCT(Attributs!$AV$2:$AV$18,Attributs!$BP$2:$BP$18)+SUMPRODUCT(Attributs!$AW$2:$AW$18,Attributs!$BQ$2:$BQ$18))/((SQRT(SUMSQ(Attributs!$AV$2:$AV$18)+SUMSQ(Attributs!$AW$2:$AW$18)))*(SQRT(SUMSQ(Attributs!$BP$2:$BP$18)+SUMSQ(Attributs!$BQ$2:$BQ$18)))),0)</f>
        <v/>
      </c>
      <c r="AJ25" s="2">
        <f>IFERROR((SUMPRODUCT(Attributs!$AV$2:$AV$18,Attributs!$BR$2:$BR$18)+SUMPRODUCT(Attributs!$AW$2:$AW$18,Attributs!$BS$2:$BS$18))/((SQRT(SUMSQ(Attributs!$AV$2:$AV$18)+SUMSQ(Attributs!$AW$2:$AW$18)))*(SQRT(SUMSQ(Attributs!$BR$2:$BR$18)+SUMSQ(Attributs!$BS$2:$BS$18)))),0)</f>
        <v/>
      </c>
      <c r="AK25" s="2">
        <f>IFERROR((SUMPRODUCT(Attributs!$AV$2:$AV$18,Attributs!$BT$2:$BT$18)+SUMPRODUCT(Attributs!$AW$2:$AW$18,Attributs!$BU$2:$BU$18))/((SQRT(SUMSQ(Attributs!$AV$2:$AV$18)+SUMSQ(Attributs!$AW$2:$AW$18)))*(SQRT(SUMSQ(Attributs!$BT$2:$BT$18)+SUMSQ(Attributs!$BU$2:$BU$18)))),0)</f>
        <v/>
      </c>
      <c r="AL25" s="2">
        <f>IFERROR((SUMPRODUCT(Attributs!$AV$2:$AV$18,Attributs!$BV$2:$BV$18)+SUMPRODUCT(Attributs!$AW$2:$AW$18,Attributs!$BW$2:$BW$18))/((SQRT(SUMSQ(Attributs!$AV$2:$AV$18)+SUMSQ(Attributs!$AW$2:$AW$18)))*(SQRT(SUMSQ(Attributs!$BV$2:$BV$18)+SUMSQ(Attributs!$BW$2:$BW$18)))),0)</f>
        <v/>
      </c>
      <c r="AM25" s="2">
        <f>IFERROR((SUMPRODUCT(Attributs!$AV$2:$AV$18,Attributs!$BX$2:$BX$18)+SUMPRODUCT(Attributs!$AW$2:$AW$18,Attributs!$BY$2:$BY$18))/((SQRT(SUMSQ(Attributs!$AV$2:$AV$18)+SUMSQ(Attributs!$AW$2:$AW$18)))*(SQRT(SUMSQ(Attributs!$BX$2:$BX$18)+SUMSQ(Attributs!$BY$2:$BY$18)))),0)</f>
        <v/>
      </c>
      <c r="AN25" s="2">
        <f>IFERROR((SUMPRODUCT(Attributs!$AV$2:$AV$18,Attributs!$BZ$2:$BZ$18)+SUMPRODUCT(Attributs!$AW$2:$AW$18,Attributs!$CA$2:$CA$18))/((SQRT(SUMSQ(Attributs!$AV$2:$AV$18)+SUMSQ(Attributs!$AW$2:$AW$18)))*(SQRT(SUMSQ(Attributs!$BZ$2:$BZ$18)+SUMSQ(Attributs!$CA$2:$CA$18)))),0)</f>
        <v/>
      </c>
      <c r="AO25" s="2">
        <f>IFERROR((SUMPRODUCT(Attributs!$AV$2:$AV$18,Attributs!$CB$2:$CB$18)+SUMPRODUCT(Attributs!$AW$2:$AW$18,Attributs!$CC$2:$CC$18))/((SQRT(SUMSQ(Attributs!$AV$2:$AV$18)+SUMSQ(Attributs!$AW$2:$AW$18)))*(SQRT(SUMSQ(Attributs!$CB$2:$CB$18)+SUMSQ(Attributs!$CC$2:$CC$18)))),0)</f>
        <v/>
      </c>
      <c r="AP25" s="2">
        <f>IFERROR((SUMPRODUCT(Attributs!$AV$2:$AV$18,Attributs!$CD$2:$CD$18)+SUMPRODUCT(Attributs!$AW$2:$AW$18,Attributs!$CE$2:$CE$18))/((SQRT(SUMSQ(Attributs!$AV$2:$AV$18)+SUMSQ(Attributs!$AW$2:$AW$18)))*(SQRT(SUMSQ(Attributs!$CD$2:$CD$18)+SUMSQ(Attributs!$CE$2:$CE$18)))),0)</f>
        <v/>
      </c>
      <c r="AQ25" s="2">
        <f>IFERROR((SUMPRODUCT(Attributs!$AV$2:$AV$18,Attributs!$CF$2:$CF$18)+SUMPRODUCT(Attributs!$AW$2:$AW$18,Attributs!$CG$2:$CG$18))/((SQRT(SUMSQ(Attributs!$AV$2:$AV$18)+SUMSQ(Attributs!$AW$2:$AW$18)))*(SQRT(SUMSQ(Attributs!$CF$2:$CF$18)+SUMSQ(Attributs!$CG$2:$CG$18)))),0)</f>
        <v/>
      </c>
      <c r="AR25" s="2">
        <f>IFERROR((SUMPRODUCT(Attributs!$AV$2:$AV$18,Attributs!$CH$2:$CH$18)+SUMPRODUCT(Attributs!$AW$2:$AW$18,Attributs!$CI$2:$CI$18))/((SQRT(SUMSQ(Attributs!$AV$2:$AV$18)+SUMSQ(Attributs!$AW$2:$AW$18)))*(SQRT(SUMSQ(Attributs!$CH$2:$CH$18)+SUMSQ(Attributs!$CI$2:$CI$18)))),0)</f>
        <v/>
      </c>
      <c r="AS25" s="2">
        <f>IFERROR((SUMPRODUCT(Attributs!$AV$2:$AV$18,Attributs!$CJ$2:$CJ$18)+SUMPRODUCT(Attributs!$AW$2:$AW$18,Attributs!$CK$2:$CK$18))/((SQRT(SUMSQ(Attributs!$AV$2:$AV$18)+SUMSQ(Attributs!$AW$2:$AW$18)))*(SQRT(SUMSQ(Attributs!$CJ$2:$CJ$18)+SUMSQ(Attributs!$CK$2:$CK$18)))),0)</f>
        <v/>
      </c>
      <c r="AT25" s="2">
        <f>IFERROR((SUMPRODUCT(Attributs!$AV$2:$AV$18,Attributs!$CL$2:$CL$18)+SUMPRODUCT(Attributs!$AW$2:$AW$18,Attributs!$CM$2:$CM$18))/((SQRT(SUMSQ(Attributs!$AV$2:$AV$18)+SUMSQ(Attributs!$AW$2:$AW$18)))*(SQRT(SUMSQ(Attributs!$CL$2:$CL$18)+SUMSQ(Attributs!$CM$2:$CM$18)))),0)</f>
        <v/>
      </c>
      <c r="AU25" s="2">
        <f>IFERROR((SUMPRODUCT(Attributs!$AV$2:$AV$18,Attributs!$CN$2:$CN$18)+SUMPRODUCT(Attributs!$AW$2:$AW$18,Attributs!$CO$2:$CO$18))/((SQRT(SUMSQ(Attributs!$AV$2:$AV$18)+SUMSQ(Attributs!$AW$2:$AW$18)))*(SQRT(SUMSQ(Attributs!$CN$2:$CN$18)+SUMSQ(Attributs!$CO$2:$CO$18)))),0)</f>
        <v/>
      </c>
      <c r="AV25" s="2">
        <f>IFERROR((SUMPRODUCT(Attributs!$AV$2:$AV$18,Attributs!$CP$2:$CP$18)+SUMPRODUCT(Attributs!$AW$2:$AW$18,Attributs!$CQ$2:$CQ$18))/((SQRT(SUMSQ(Attributs!$AV$2:$AV$18)+SUMSQ(Attributs!$AW$2:$AW$18)))*(SQRT(SUMSQ(Attributs!$CP$2:$CP$18)+SUMSQ(Attributs!$CQ$2:$CQ$18)))),0)</f>
        <v/>
      </c>
      <c r="AW25" s="2">
        <f>IFERROR((SUMPRODUCT(Attributs!$AV$2:$AV$18,Attributs!$CR$2:$CR$18)+SUMPRODUCT(Attributs!$AW$2:$AW$18,Attributs!$CS$2:$CS$18))/((SQRT(SUMSQ(Attributs!$AV$2:$AV$18)+SUMSQ(Attributs!$AW$2:$AW$18)))*(SQRT(SUMSQ(Attributs!$CR$2:$CR$18)+SUMSQ(Attributs!$CS$2:$CS$18)))),0)</f>
        <v/>
      </c>
      <c r="AX25" s="2">
        <f>IFERROR((SUMPRODUCT(Attributs!$AV$2:$AV$18,Attributs!$CT$2:$CT$18)+SUMPRODUCT(Attributs!$AW$2:$AW$18,Attributs!$CU$2:$CU$18))/((SQRT(SUMSQ(Attributs!$AV$2:$AV$18)+SUMSQ(Attributs!$AW$2:$AW$18)))*(SQRT(SUMSQ(Attributs!$CT$2:$CT$18)+SUMSQ(Attributs!$CU$2:$CU$18)))),0)</f>
        <v/>
      </c>
      <c r="AY25" s="2">
        <f>IFERROR((SUMPRODUCT(Attributs!$AV$2:$AV$18,Attributs!$CV$2:$CV$18)+SUMPRODUCT(Attributs!$AW$2:$AW$18,Attributs!$CW$2:$CW$18))/((SQRT(SUMSQ(Attributs!$AV$2:$AV$18)+SUMSQ(Attributs!$AW$2:$AW$18)))*(SQRT(SUMSQ(Attributs!$CV$2:$CV$18)+SUMSQ(Attributs!$CW$2:$CW$18)))),0)</f>
        <v/>
      </c>
      <c r="AZ25" s="2">
        <f>IFERROR((SUMPRODUCT(Attributs!$AV$2:$AV$18,Attributs!$CX$2:$CX$18)+SUMPRODUCT(Attributs!$AW$2:$AW$18,Attributs!$CY$2:$CY$18))/((SQRT(SUMSQ(Attributs!$AV$2:$AV$18)+SUMSQ(Attributs!$AW$2:$AW$18)))*(SQRT(SUMSQ(Attributs!$CX$2:$CX$18)+SUMSQ(Attributs!$CY$2:$CY$18)))),0)</f>
        <v/>
      </c>
      <c r="BA25" s="2">
        <f>IFERROR((SUMPRODUCT(Attributs!$AV$2:$AV$18,Attributs!$CZ$2:$CZ$18)+SUMPRODUCT(Attributs!$AW$2:$AW$18,Attributs!$DA$2:$DA$18))/((SQRT(SUMSQ(Attributs!$AV$2:$AV$18)+SUMSQ(Attributs!$AW$2:$AW$18)))*(SQRT(SUMSQ(Attributs!$CZ$2:$CZ$18)+SUMSQ(Attributs!$DA$2:$DA$18)))),0)</f>
        <v/>
      </c>
      <c r="BB25" s="2">
        <f>IFERROR((SUMPRODUCT(Attributs!$AV$2:$AV$18,Attributs!$DB$2:$DB$18)+SUMPRODUCT(Attributs!$AW$2:$AW$18,Attributs!$DC$2:$DC$18))/((SQRT(SUMSQ(Attributs!$AV$2:$AV$18)+SUMSQ(Attributs!$AW$2:$AW$18)))*(SQRT(SUMSQ(Attributs!$DB$2:$DB$18)+SUMSQ(Attributs!$DC$2:$DC$18)))),0)</f>
        <v/>
      </c>
      <c r="BC25" s="2">
        <f>IFERROR((SUMPRODUCT(Attributs!$AV$2:$AV$18,Attributs!$DD$2:$DD$18)+SUMPRODUCT(Attributs!$AW$2:$AW$18,Attributs!$DE$2:$DE$18))/((SQRT(SUMSQ(Attributs!$AV$2:$AV$18)+SUMSQ(Attributs!$AW$2:$AW$18)))*(SQRT(SUMSQ(Attributs!$DD$2:$DD$18)+SUMSQ(Attributs!$DE$2:$DE$18)))),0)</f>
        <v/>
      </c>
      <c r="BD25" s="2">
        <f>IFERROR((SUMPRODUCT(Attributs!$AV$2:$AV$18,Attributs!$DF$2:$DF$18)+SUMPRODUCT(Attributs!$AW$2:$AW$18,Attributs!$DG$2:$DG$18))/((SQRT(SUMSQ(Attributs!$AV$2:$AV$18)+SUMSQ(Attributs!$AW$2:$AW$18)))*(SQRT(SUMSQ(Attributs!$DF$2:$DF$18)+SUMSQ(Attributs!$DG$2:$DG$18)))),0)</f>
        <v/>
      </c>
      <c r="BE25" s="2">
        <f>IFERROR((SUMPRODUCT(Attributs!$AV$2:$AV$18,Attributs!$DH$2:$DH$18)+SUMPRODUCT(Attributs!$AW$2:$AW$18,Attributs!$DI$2:$DI$18))/((SQRT(SUMSQ(Attributs!$AV$2:$AV$18)+SUMSQ(Attributs!$AW$2:$AW$18)))*(SQRT(SUMSQ(Attributs!$DH$2:$DH$18)+SUMSQ(Attributs!$DI$2:$DI$18)))),0)</f>
        <v/>
      </c>
      <c r="BF25" s="2">
        <f>IFERROR((SUMPRODUCT(Attributs!$AV$2:$AV$18,Attributs!$DJ$2:$DJ$18)+SUMPRODUCT(Attributs!$AW$2:$AW$18,Attributs!$DK$2:$DK$18))/((SQRT(SUMSQ(Attributs!$AV$2:$AV$18)+SUMSQ(Attributs!$AW$2:$AW$18)))*(SQRT(SUMSQ(Attributs!$DJ$2:$DJ$18)+SUMSQ(Attributs!$DK$2:$DK$18)))),0)</f>
        <v/>
      </c>
      <c r="BG25" s="2">
        <f>IFERROR((SUMPRODUCT(Attributs!$AV$2:$AV$18,Attributs!$DL$2:$DL$18)+SUMPRODUCT(Attributs!$AW$2:$AW$18,Attributs!$DM$2:$DM$18))/((SQRT(SUMSQ(Attributs!$AV$2:$AV$18)+SUMSQ(Attributs!$AW$2:$AW$18)))*(SQRT(SUMSQ(Attributs!$DL$2:$DL$18)+SUMSQ(Attributs!$DM$2:$DM$18)))),0)</f>
        <v/>
      </c>
      <c r="BH25" s="2">
        <f>IFERROR((SUMPRODUCT(Attributs!$AV$2:$AV$18,Attributs!$DN$2:$DN$18)+SUMPRODUCT(Attributs!$AW$2:$AW$18,Attributs!$DO$2:$DO$18))/((SQRT(SUMSQ(Attributs!$AV$2:$AV$18)+SUMSQ(Attributs!$AW$2:$AW$18)))*(SQRT(SUMSQ(Attributs!$DN$2:$DN$18)+SUMSQ(Attributs!$DO$2:$DO$18)))),0)</f>
        <v/>
      </c>
      <c r="BI25" s="2">
        <f>IFERROR((SUMPRODUCT(Attributs!$AV$2:$AV$18,Attributs!$DP$2:$DP$18)+SUMPRODUCT(Attributs!$AW$2:$AW$18,Attributs!$DQ$2:$DQ$18))/((SQRT(SUMSQ(Attributs!$AV$2:$AV$18)+SUMSQ(Attributs!$AW$2:$AW$18)))*(SQRT(SUMSQ(Attributs!$DP$2:$DP$18)+SUMSQ(Attributs!$DQ$2:$DQ$18)))),0)</f>
        <v/>
      </c>
      <c r="BJ25" s="2">
        <f>IFERROR((SUMPRODUCT(Attributs!$AV$2:$AV$18,Attributs!$DR$2:$DR$18)+SUMPRODUCT(Attributs!$AW$2:$AW$18,Attributs!$DS$2:$DS$18))/((SQRT(SUMSQ(Attributs!$AV$2:$AV$18)+SUMSQ(Attributs!$AW$2:$AW$18)))*(SQRT(SUMSQ(Attributs!$DR$2:$DR$18)+SUMSQ(Attributs!$DS$2:$DS$18)))),0)</f>
        <v/>
      </c>
      <c r="BK25" s="2">
        <f>IFERROR((SUMPRODUCT(Attributs!$AV$2:$AV$18,Attributs!$DT$2:$DT$18)+SUMPRODUCT(Attributs!$AW$2:$AW$18,Attributs!$DU$2:$DU$18))/((SQRT(SUMSQ(Attributs!$AV$2:$AV$18)+SUMSQ(Attributs!$AW$2:$AW$18)))*(SQRT(SUMSQ(Attributs!$DT$2:$DT$18)+SUMSQ(Attributs!$DU$2:$DU$18)))),0)</f>
        <v/>
      </c>
      <c r="BL25" s="2">
        <f>IFERROR((SUMPRODUCT(Attributs!$AV$2:$AV$18,Attributs!$DV$2:$DV$18)+SUMPRODUCT(Attributs!$AW$2:$AW$18,Attributs!$DW$2:$DW$18))/((SQRT(SUMSQ(Attributs!$AV$2:$AV$18)+SUMSQ(Attributs!$AW$2:$AW$18)))*(SQRT(SUMSQ(Attributs!$DV$2:$DV$18)+SUMSQ(Attributs!$DW$2:$DW$18)))),0)</f>
        <v/>
      </c>
    </row>
    <row r="26">
      <c r="A26" s="3" t="inlineStr">
        <is>
          <t>SE_mysql.Votes.VoteTypeId</t>
        </is>
      </c>
      <c r="B26" s="2">
        <f>IFERROR((SUMPRODUCT(Attributs!$AX$2:$AX$18,Attributs!$B$2:$B$18)+SUMPRODUCT(Attributs!$AY$2:$AY$18,Attributs!$C$2:$C$18))/((SQRT(SUMSQ(Attributs!$AX$2:$AX$18)+SUMSQ(Attributs!$AY$2:$AY$18)))*(SQRT(SUMSQ(Attributs!$B$2:$B$18)+SUMSQ(Attributs!$C$2:$C$18)))),0)</f>
        <v/>
      </c>
      <c r="C26" s="2">
        <f>IFERROR((SUMPRODUCT(Attributs!$AX$2:$AX$18,Attributs!$D$2:$D$18)+SUMPRODUCT(Attributs!$AY$2:$AY$18,Attributs!$E$2:$E$18))/((SQRT(SUMSQ(Attributs!$AX$2:$AX$18)+SUMSQ(Attributs!$AY$2:$AY$18)))*(SQRT(SUMSQ(Attributs!$D$2:$D$18)+SUMSQ(Attributs!$E$2:$E$18)))),0)</f>
        <v/>
      </c>
      <c r="D26" s="2">
        <f>IFERROR((SUMPRODUCT(Attributs!$AX$2:$AX$18,Attributs!$F$2:$F$18)+SUMPRODUCT(Attributs!$AY$2:$AY$18,Attributs!$G$2:$G$18))/((SQRT(SUMSQ(Attributs!$AX$2:$AX$18)+SUMSQ(Attributs!$AY$2:$AY$18)))*(SQRT(SUMSQ(Attributs!$F$2:$F$18)+SUMSQ(Attributs!$G$2:$G$18)))),0)</f>
        <v/>
      </c>
      <c r="E26" s="2">
        <f>IFERROR((SUMPRODUCT(Attributs!$AX$2:$AX$18,Attributs!$H$2:$H$18)+SUMPRODUCT(Attributs!$AY$2:$AY$18,Attributs!$I$2:$I$18))/((SQRT(SUMSQ(Attributs!$AX$2:$AX$18)+SUMSQ(Attributs!$AY$2:$AY$18)))*(SQRT(SUMSQ(Attributs!$H$2:$H$18)+SUMSQ(Attributs!$I$2:$I$18)))),0)</f>
        <v/>
      </c>
      <c r="F26" s="2">
        <f>IFERROR((SUMPRODUCT(Attributs!$AX$2:$AX$18,Attributs!$J$2:$J$18)+SUMPRODUCT(Attributs!$AY$2:$AY$18,Attributs!$K$2:$K$18))/((SQRT(SUMSQ(Attributs!$AX$2:$AX$18)+SUMSQ(Attributs!$AY$2:$AY$18)))*(SQRT(SUMSQ(Attributs!$J$2:$J$18)+SUMSQ(Attributs!$K$2:$K$18)))),0)</f>
        <v/>
      </c>
      <c r="G26" s="2">
        <f>IFERROR((SUMPRODUCT(Attributs!$AX$2:$AX$18,Attributs!$L$2:$L$18)+SUMPRODUCT(Attributs!$AY$2:$AY$18,Attributs!$M$2:$M$18))/((SQRT(SUMSQ(Attributs!$AX$2:$AX$18)+SUMSQ(Attributs!$AY$2:$AY$18)))*(SQRT(SUMSQ(Attributs!$L$2:$L$18)+SUMSQ(Attributs!$M$2:$M$18)))),0)</f>
        <v/>
      </c>
      <c r="H26" s="2">
        <f>IFERROR((SUMPRODUCT(Attributs!$AX$2:$AX$18,Attributs!$N$2:$N$18)+SUMPRODUCT(Attributs!$AY$2:$AY$18,Attributs!$O$2:$O$18))/((SQRT(SUMSQ(Attributs!$AX$2:$AX$18)+SUMSQ(Attributs!$AY$2:$AY$18)))*(SQRT(SUMSQ(Attributs!$N$2:$N$18)+SUMSQ(Attributs!$O$2:$O$18)))),0)</f>
        <v/>
      </c>
      <c r="I26" s="2">
        <f>IFERROR((SUMPRODUCT(Attributs!$AX$2:$AX$18,Attributs!$P$2:$P$18)+SUMPRODUCT(Attributs!$AY$2:$AY$18,Attributs!$Q$2:$Q$18))/((SQRT(SUMSQ(Attributs!$AX$2:$AX$18)+SUMSQ(Attributs!$AY$2:$AY$18)))*(SQRT(SUMSQ(Attributs!$P$2:$P$18)+SUMSQ(Attributs!$Q$2:$Q$18)))),0)</f>
        <v/>
      </c>
      <c r="J26" s="2">
        <f>IFERROR((SUMPRODUCT(Attributs!$AX$2:$AX$18,Attributs!$R$2:$R$18)+SUMPRODUCT(Attributs!$AY$2:$AY$18,Attributs!$S$2:$S$18))/((SQRT(SUMSQ(Attributs!$AX$2:$AX$18)+SUMSQ(Attributs!$AY$2:$AY$18)))*(SQRT(SUMSQ(Attributs!$R$2:$R$18)+SUMSQ(Attributs!$S$2:$S$18)))),0)</f>
        <v/>
      </c>
      <c r="K26" s="2">
        <f>IFERROR((SUMPRODUCT(Attributs!$AX$2:$AX$18,Attributs!$T$2:$T$18)+SUMPRODUCT(Attributs!$AY$2:$AY$18,Attributs!$U$2:$U$18))/((SQRT(SUMSQ(Attributs!$AX$2:$AX$18)+SUMSQ(Attributs!$AY$2:$AY$18)))*(SQRT(SUMSQ(Attributs!$T$2:$T$18)+SUMSQ(Attributs!$U$2:$U$18)))),0)</f>
        <v/>
      </c>
      <c r="L26" s="2">
        <f>IFERROR((SUMPRODUCT(Attributs!$AX$2:$AX$18,Attributs!$V$2:$V$18)+SUMPRODUCT(Attributs!$AY$2:$AY$18,Attributs!$W$2:$W$18))/((SQRT(SUMSQ(Attributs!$AX$2:$AX$18)+SUMSQ(Attributs!$AY$2:$AY$18)))*(SQRT(SUMSQ(Attributs!$V$2:$V$18)+SUMSQ(Attributs!$W$2:$W$18)))),0)</f>
        <v/>
      </c>
      <c r="M26" s="2">
        <f>IFERROR((SUMPRODUCT(Attributs!$AX$2:$AX$18,Attributs!$X$2:$X$18)+SUMPRODUCT(Attributs!$AY$2:$AY$18,Attributs!$Y$2:$Y$18))/((SQRT(SUMSQ(Attributs!$AX$2:$AX$18)+SUMSQ(Attributs!$AY$2:$AY$18)))*(SQRT(SUMSQ(Attributs!$X$2:$X$18)+SUMSQ(Attributs!$Y$2:$Y$18)))),0)</f>
        <v/>
      </c>
      <c r="N26" s="2">
        <f>IFERROR((SUMPRODUCT(Attributs!$AX$2:$AX$18,Attributs!$Z$2:$Z$18)+SUMPRODUCT(Attributs!$AY$2:$AY$18,Attributs!$AA$2:$AA$18))/((SQRT(SUMSQ(Attributs!$AX$2:$AX$18)+SUMSQ(Attributs!$AY$2:$AY$18)))*(SQRT(SUMSQ(Attributs!$Z$2:$Z$18)+SUMSQ(Attributs!$AA$2:$AA$18)))),0)</f>
        <v/>
      </c>
      <c r="O26" s="2">
        <f>IFERROR((SUMPRODUCT(Attributs!$AX$2:$AX$18,Attributs!$AB$2:$AB$18)+SUMPRODUCT(Attributs!$AY$2:$AY$18,Attributs!$AC$2:$AC$18))/((SQRT(SUMSQ(Attributs!$AX$2:$AX$18)+SUMSQ(Attributs!$AY$2:$AY$18)))*(SQRT(SUMSQ(Attributs!$AB$2:$AB$18)+SUMSQ(Attributs!$AC$2:$AC$18)))),0)</f>
        <v/>
      </c>
      <c r="P26" s="2">
        <f>IFERROR((SUMPRODUCT(Attributs!$AX$2:$AX$18,Attributs!$AD$2:$AD$18)+SUMPRODUCT(Attributs!$AY$2:$AY$18,Attributs!$AE$2:$AE$18))/((SQRT(SUMSQ(Attributs!$AX$2:$AX$18)+SUMSQ(Attributs!$AY$2:$AY$18)))*(SQRT(SUMSQ(Attributs!$AD$2:$AD$18)+SUMSQ(Attributs!$AE$2:$AE$18)))),0)</f>
        <v/>
      </c>
      <c r="Q26" s="2">
        <f>IFERROR((SUMPRODUCT(Attributs!$AX$2:$AX$18,Attributs!$AF$2:$AF$18)+SUMPRODUCT(Attributs!$AY$2:$AY$18,Attributs!$AG$2:$AG$18))/((SQRT(SUMSQ(Attributs!$AX$2:$AX$18)+SUMSQ(Attributs!$AY$2:$AY$18)))*(SQRT(SUMSQ(Attributs!$AF$2:$AF$18)+SUMSQ(Attributs!$AG$2:$AG$18)))),0)</f>
        <v/>
      </c>
      <c r="R26" s="2">
        <f>IFERROR((SUMPRODUCT(Attributs!$AX$2:$AX$18,Attributs!$AH$2:$AH$18)+SUMPRODUCT(Attributs!$AY$2:$AY$18,Attributs!$AI$2:$AI$18))/((SQRT(SUMSQ(Attributs!$AX$2:$AX$18)+SUMSQ(Attributs!$AY$2:$AY$18)))*(SQRT(SUMSQ(Attributs!$AH$2:$AH$18)+SUMSQ(Attributs!$AI$2:$AI$18)))),0)</f>
        <v/>
      </c>
      <c r="S26" s="2">
        <f>IFERROR((SUMPRODUCT(Attributs!$AX$2:$AX$18,Attributs!$AJ$2:$AJ$18)+SUMPRODUCT(Attributs!$AY$2:$AY$18,Attributs!$AK$2:$AK$18))/((SQRT(SUMSQ(Attributs!$AX$2:$AX$18)+SUMSQ(Attributs!$AY$2:$AY$18)))*(SQRT(SUMSQ(Attributs!$AJ$2:$AJ$18)+SUMSQ(Attributs!$AK$2:$AK$18)))),0)</f>
        <v/>
      </c>
      <c r="T26" s="2">
        <f>IFERROR((SUMPRODUCT(Attributs!$AX$2:$AX$18,Attributs!$AL$2:$AL$18)+SUMPRODUCT(Attributs!$AY$2:$AY$18,Attributs!$AM$2:$AM$18))/((SQRT(SUMSQ(Attributs!$AX$2:$AX$18)+SUMSQ(Attributs!$AY$2:$AY$18)))*(SQRT(SUMSQ(Attributs!$AL$2:$AL$18)+SUMSQ(Attributs!$AM$2:$AM$18)))),0)</f>
        <v/>
      </c>
      <c r="U26" s="2">
        <f>IFERROR((SUMPRODUCT(Attributs!$AX$2:$AX$18,Attributs!$AN$2:$AN$18)+SUMPRODUCT(Attributs!$AY$2:$AY$18,Attributs!$AO$2:$AO$18))/((SQRT(SUMSQ(Attributs!$AX$2:$AX$18)+SUMSQ(Attributs!$AY$2:$AY$18)))*(SQRT(SUMSQ(Attributs!$AN$2:$AN$18)+SUMSQ(Attributs!$AO$2:$AO$18)))),0)</f>
        <v/>
      </c>
      <c r="V26" s="2">
        <f>IFERROR((SUMPRODUCT(Attributs!$AX$2:$AX$18,Attributs!$AP$2:$AP$18)+SUMPRODUCT(Attributs!$AY$2:$AY$18,Attributs!$AQ$2:$AQ$18))/((SQRT(SUMSQ(Attributs!$AX$2:$AX$18)+SUMSQ(Attributs!$AY$2:$AY$18)))*(SQRT(SUMSQ(Attributs!$AP$2:$AP$18)+SUMSQ(Attributs!$AQ$2:$AQ$18)))),0)</f>
        <v/>
      </c>
      <c r="W26" s="2">
        <f>IFERROR((SUMPRODUCT(Attributs!$AX$2:$AX$18,Attributs!$AR$2:$AR$18)+SUMPRODUCT(Attributs!$AY$2:$AY$18,Attributs!$AS$2:$AS$18))/((SQRT(SUMSQ(Attributs!$AX$2:$AX$18)+SUMSQ(Attributs!$AY$2:$AY$18)))*(SQRT(SUMSQ(Attributs!$AR$2:$AR$18)+SUMSQ(Attributs!$AS$2:$AS$18)))),0)</f>
        <v/>
      </c>
      <c r="X26" s="2">
        <f>IFERROR((SUMPRODUCT(Attributs!$AX$2:$AX$18,Attributs!$AT$2:$AT$18)+SUMPRODUCT(Attributs!$AY$2:$AY$18,Attributs!$AU$2:$AU$18))/((SQRT(SUMSQ(Attributs!$AX$2:$AX$18)+SUMSQ(Attributs!$AY$2:$AY$18)))*(SQRT(SUMSQ(Attributs!$AT$2:$AT$18)+SUMSQ(Attributs!$AU$2:$AU$18)))),0)</f>
        <v/>
      </c>
      <c r="Y26" s="2">
        <f>IFERROR((SUMPRODUCT(Attributs!$AX$2:$AX$18,Attributs!$AV$2:$AV$18)+SUMPRODUCT(Attributs!$AY$2:$AY$18,Attributs!$AW$2:$AW$18))/((SQRT(SUMSQ(Attributs!$AX$2:$AX$18)+SUMSQ(Attributs!$AY$2:$AY$18)))*(SQRT(SUMSQ(Attributs!$AV$2:$AV$18)+SUMSQ(Attributs!$AW$2:$AW$18)))),0)</f>
        <v/>
      </c>
      <c r="Z26" s="2">
        <f>IFERROR((SUMPRODUCT(Attributs!$AX$2:$AX$18,Attributs!$AX$2:$AX$18)+SUMPRODUCT(Attributs!$AY$2:$AY$18,Attributs!$AY$2:$AY$18))/((SQRT(SUMSQ(Attributs!$AX$2:$AX$18)+SUMSQ(Attributs!$AY$2:$AY$18)))*(SQRT(SUMSQ(Attributs!$AX$2:$AX$18)+SUMSQ(Attributs!$AY$2:$AY$18)))),0)</f>
        <v/>
      </c>
      <c r="AA26" s="2">
        <f>IFERROR((SUMPRODUCT(Attributs!$AX$2:$AX$18,Attributs!$AZ$2:$AZ$18)+SUMPRODUCT(Attributs!$AY$2:$AY$18,Attributs!$BA$2:$BA$18))/((SQRT(SUMSQ(Attributs!$AX$2:$AX$18)+SUMSQ(Attributs!$AY$2:$AY$18)))*(SQRT(SUMSQ(Attributs!$AZ$2:$AZ$18)+SUMSQ(Attributs!$BA$2:$BA$18)))),0)</f>
        <v/>
      </c>
      <c r="AB26" s="2">
        <f>IFERROR((SUMPRODUCT(Attributs!$AX$2:$AX$18,Attributs!$BB$2:$BB$18)+SUMPRODUCT(Attributs!$AY$2:$AY$18,Attributs!$BC$2:$BC$18))/((SQRT(SUMSQ(Attributs!$AX$2:$AX$18)+SUMSQ(Attributs!$AY$2:$AY$18)))*(SQRT(SUMSQ(Attributs!$BB$2:$BB$18)+SUMSQ(Attributs!$BC$2:$BC$18)))),0)</f>
        <v/>
      </c>
      <c r="AC26" s="2">
        <f>IFERROR((SUMPRODUCT(Attributs!$AX$2:$AX$18,Attributs!$BD$2:$BD$18)+SUMPRODUCT(Attributs!$AY$2:$AY$18,Attributs!$BE$2:$BE$18))/((SQRT(SUMSQ(Attributs!$AX$2:$AX$18)+SUMSQ(Attributs!$AY$2:$AY$18)))*(SQRT(SUMSQ(Attributs!$BD$2:$BD$18)+SUMSQ(Attributs!$BE$2:$BE$18)))),0)</f>
        <v/>
      </c>
      <c r="AD26" s="2">
        <f>IFERROR((SUMPRODUCT(Attributs!$AX$2:$AX$18,Attributs!$BF$2:$BF$18)+SUMPRODUCT(Attributs!$AY$2:$AY$18,Attributs!$BG$2:$BG$18))/((SQRT(SUMSQ(Attributs!$AX$2:$AX$18)+SUMSQ(Attributs!$AY$2:$AY$18)))*(SQRT(SUMSQ(Attributs!$BF$2:$BF$18)+SUMSQ(Attributs!$BG$2:$BG$18)))),0)</f>
        <v/>
      </c>
      <c r="AE26" s="2">
        <f>IFERROR((SUMPRODUCT(Attributs!$AX$2:$AX$18,Attributs!$BH$2:$BH$18)+SUMPRODUCT(Attributs!$AY$2:$AY$18,Attributs!$BI$2:$BI$18))/((SQRT(SUMSQ(Attributs!$AX$2:$AX$18)+SUMSQ(Attributs!$AY$2:$AY$18)))*(SQRT(SUMSQ(Attributs!$BH$2:$BH$18)+SUMSQ(Attributs!$BI$2:$BI$18)))),0)</f>
        <v/>
      </c>
      <c r="AF26" s="2">
        <f>IFERROR((SUMPRODUCT(Attributs!$AX$2:$AX$18,Attributs!$BJ$2:$BJ$18)+SUMPRODUCT(Attributs!$AY$2:$AY$18,Attributs!$BK$2:$BK$18))/((SQRT(SUMSQ(Attributs!$AX$2:$AX$18)+SUMSQ(Attributs!$AY$2:$AY$18)))*(SQRT(SUMSQ(Attributs!$BJ$2:$BJ$18)+SUMSQ(Attributs!$BK$2:$BK$18)))),0)</f>
        <v/>
      </c>
      <c r="AG26" s="2">
        <f>IFERROR((SUMPRODUCT(Attributs!$AX$2:$AX$18,Attributs!$BL$2:$BL$18)+SUMPRODUCT(Attributs!$AY$2:$AY$18,Attributs!$BM$2:$BM$18))/((SQRT(SUMSQ(Attributs!$AX$2:$AX$18)+SUMSQ(Attributs!$AY$2:$AY$18)))*(SQRT(SUMSQ(Attributs!$BL$2:$BL$18)+SUMSQ(Attributs!$BM$2:$BM$18)))),0)</f>
        <v/>
      </c>
      <c r="AH26" s="2">
        <f>IFERROR((SUMPRODUCT(Attributs!$AX$2:$AX$18,Attributs!$BN$2:$BN$18)+SUMPRODUCT(Attributs!$AY$2:$AY$18,Attributs!$BO$2:$BO$18))/((SQRT(SUMSQ(Attributs!$AX$2:$AX$18)+SUMSQ(Attributs!$AY$2:$AY$18)))*(SQRT(SUMSQ(Attributs!$BN$2:$BN$18)+SUMSQ(Attributs!$BO$2:$BO$18)))),0)</f>
        <v/>
      </c>
      <c r="AI26" s="2">
        <f>IFERROR((SUMPRODUCT(Attributs!$AX$2:$AX$18,Attributs!$BP$2:$BP$18)+SUMPRODUCT(Attributs!$AY$2:$AY$18,Attributs!$BQ$2:$BQ$18))/((SQRT(SUMSQ(Attributs!$AX$2:$AX$18)+SUMSQ(Attributs!$AY$2:$AY$18)))*(SQRT(SUMSQ(Attributs!$BP$2:$BP$18)+SUMSQ(Attributs!$BQ$2:$BQ$18)))),0)</f>
        <v/>
      </c>
      <c r="AJ26" s="2">
        <f>IFERROR((SUMPRODUCT(Attributs!$AX$2:$AX$18,Attributs!$BR$2:$BR$18)+SUMPRODUCT(Attributs!$AY$2:$AY$18,Attributs!$BS$2:$BS$18))/((SQRT(SUMSQ(Attributs!$AX$2:$AX$18)+SUMSQ(Attributs!$AY$2:$AY$18)))*(SQRT(SUMSQ(Attributs!$BR$2:$BR$18)+SUMSQ(Attributs!$BS$2:$BS$18)))),0)</f>
        <v/>
      </c>
      <c r="AK26" s="2">
        <f>IFERROR((SUMPRODUCT(Attributs!$AX$2:$AX$18,Attributs!$BT$2:$BT$18)+SUMPRODUCT(Attributs!$AY$2:$AY$18,Attributs!$BU$2:$BU$18))/((SQRT(SUMSQ(Attributs!$AX$2:$AX$18)+SUMSQ(Attributs!$AY$2:$AY$18)))*(SQRT(SUMSQ(Attributs!$BT$2:$BT$18)+SUMSQ(Attributs!$BU$2:$BU$18)))),0)</f>
        <v/>
      </c>
      <c r="AL26" s="2">
        <f>IFERROR((SUMPRODUCT(Attributs!$AX$2:$AX$18,Attributs!$BV$2:$BV$18)+SUMPRODUCT(Attributs!$AY$2:$AY$18,Attributs!$BW$2:$BW$18))/((SQRT(SUMSQ(Attributs!$AX$2:$AX$18)+SUMSQ(Attributs!$AY$2:$AY$18)))*(SQRT(SUMSQ(Attributs!$BV$2:$BV$18)+SUMSQ(Attributs!$BW$2:$BW$18)))),0)</f>
        <v/>
      </c>
      <c r="AM26" s="2">
        <f>IFERROR((SUMPRODUCT(Attributs!$AX$2:$AX$18,Attributs!$BX$2:$BX$18)+SUMPRODUCT(Attributs!$AY$2:$AY$18,Attributs!$BY$2:$BY$18))/((SQRT(SUMSQ(Attributs!$AX$2:$AX$18)+SUMSQ(Attributs!$AY$2:$AY$18)))*(SQRT(SUMSQ(Attributs!$BX$2:$BX$18)+SUMSQ(Attributs!$BY$2:$BY$18)))),0)</f>
        <v/>
      </c>
      <c r="AN26" s="2">
        <f>IFERROR((SUMPRODUCT(Attributs!$AX$2:$AX$18,Attributs!$BZ$2:$BZ$18)+SUMPRODUCT(Attributs!$AY$2:$AY$18,Attributs!$CA$2:$CA$18))/((SQRT(SUMSQ(Attributs!$AX$2:$AX$18)+SUMSQ(Attributs!$AY$2:$AY$18)))*(SQRT(SUMSQ(Attributs!$BZ$2:$BZ$18)+SUMSQ(Attributs!$CA$2:$CA$18)))),0)</f>
        <v/>
      </c>
      <c r="AO26" s="2">
        <f>IFERROR((SUMPRODUCT(Attributs!$AX$2:$AX$18,Attributs!$CB$2:$CB$18)+SUMPRODUCT(Attributs!$AY$2:$AY$18,Attributs!$CC$2:$CC$18))/((SQRT(SUMSQ(Attributs!$AX$2:$AX$18)+SUMSQ(Attributs!$AY$2:$AY$18)))*(SQRT(SUMSQ(Attributs!$CB$2:$CB$18)+SUMSQ(Attributs!$CC$2:$CC$18)))),0)</f>
        <v/>
      </c>
      <c r="AP26" s="2">
        <f>IFERROR((SUMPRODUCT(Attributs!$AX$2:$AX$18,Attributs!$CD$2:$CD$18)+SUMPRODUCT(Attributs!$AY$2:$AY$18,Attributs!$CE$2:$CE$18))/((SQRT(SUMSQ(Attributs!$AX$2:$AX$18)+SUMSQ(Attributs!$AY$2:$AY$18)))*(SQRT(SUMSQ(Attributs!$CD$2:$CD$18)+SUMSQ(Attributs!$CE$2:$CE$18)))),0)</f>
        <v/>
      </c>
      <c r="AQ26" s="2">
        <f>IFERROR((SUMPRODUCT(Attributs!$AX$2:$AX$18,Attributs!$CF$2:$CF$18)+SUMPRODUCT(Attributs!$AY$2:$AY$18,Attributs!$CG$2:$CG$18))/((SQRT(SUMSQ(Attributs!$AX$2:$AX$18)+SUMSQ(Attributs!$AY$2:$AY$18)))*(SQRT(SUMSQ(Attributs!$CF$2:$CF$18)+SUMSQ(Attributs!$CG$2:$CG$18)))),0)</f>
        <v/>
      </c>
      <c r="AR26" s="2">
        <f>IFERROR((SUMPRODUCT(Attributs!$AX$2:$AX$18,Attributs!$CH$2:$CH$18)+SUMPRODUCT(Attributs!$AY$2:$AY$18,Attributs!$CI$2:$CI$18))/((SQRT(SUMSQ(Attributs!$AX$2:$AX$18)+SUMSQ(Attributs!$AY$2:$AY$18)))*(SQRT(SUMSQ(Attributs!$CH$2:$CH$18)+SUMSQ(Attributs!$CI$2:$CI$18)))),0)</f>
        <v/>
      </c>
      <c r="AS26" s="2">
        <f>IFERROR((SUMPRODUCT(Attributs!$AX$2:$AX$18,Attributs!$CJ$2:$CJ$18)+SUMPRODUCT(Attributs!$AY$2:$AY$18,Attributs!$CK$2:$CK$18))/((SQRT(SUMSQ(Attributs!$AX$2:$AX$18)+SUMSQ(Attributs!$AY$2:$AY$18)))*(SQRT(SUMSQ(Attributs!$CJ$2:$CJ$18)+SUMSQ(Attributs!$CK$2:$CK$18)))),0)</f>
        <v/>
      </c>
      <c r="AT26" s="2">
        <f>IFERROR((SUMPRODUCT(Attributs!$AX$2:$AX$18,Attributs!$CL$2:$CL$18)+SUMPRODUCT(Attributs!$AY$2:$AY$18,Attributs!$CM$2:$CM$18))/((SQRT(SUMSQ(Attributs!$AX$2:$AX$18)+SUMSQ(Attributs!$AY$2:$AY$18)))*(SQRT(SUMSQ(Attributs!$CL$2:$CL$18)+SUMSQ(Attributs!$CM$2:$CM$18)))),0)</f>
        <v/>
      </c>
      <c r="AU26" s="2">
        <f>IFERROR((SUMPRODUCT(Attributs!$AX$2:$AX$18,Attributs!$CN$2:$CN$18)+SUMPRODUCT(Attributs!$AY$2:$AY$18,Attributs!$CO$2:$CO$18))/((SQRT(SUMSQ(Attributs!$AX$2:$AX$18)+SUMSQ(Attributs!$AY$2:$AY$18)))*(SQRT(SUMSQ(Attributs!$CN$2:$CN$18)+SUMSQ(Attributs!$CO$2:$CO$18)))),0)</f>
        <v/>
      </c>
      <c r="AV26" s="2">
        <f>IFERROR((SUMPRODUCT(Attributs!$AX$2:$AX$18,Attributs!$CP$2:$CP$18)+SUMPRODUCT(Attributs!$AY$2:$AY$18,Attributs!$CQ$2:$CQ$18))/((SQRT(SUMSQ(Attributs!$AX$2:$AX$18)+SUMSQ(Attributs!$AY$2:$AY$18)))*(SQRT(SUMSQ(Attributs!$CP$2:$CP$18)+SUMSQ(Attributs!$CQ$2:$CQ$18)))),0)</f>
        <v/>
      </c>
      <c r="AW26" s="2">
        <f>IFERROR((SUMPRODUCT(Attributs!$AX$2:$AX$18,Attributs!$CR$2:$CR$18)+SUMPRODUCT(Attributs!$AY$2:$AY$18,Attributs!$CS$2:$CS$18))/((SQRT(SUMSQ(Attributs!$AX$2:$AX$18)+SUMSQ(Attributs!$AY$2:$AY$18)))*(SQRT(SUMSQ(Attributs!$CR$2:$CR$18)+SUMSQ(Attributs!$CS$2:$CS$18)))),0)</f>
        <v/>
      </c>
      <c r="AX26" s="2">
        <f>IFERROR((SUMPRODUCT(Attributs!$AX$2:$AX$18,Attributs!$CT$2:$CT$18)+SUMPRODUCT(Attributs!$AY$2:$AY$18,Attributs!$CU$2:$CU$18))/((SQRT(SUMSQ(Attributs!$AX$2:$AX$18)+SUMSQ(Attributs!$AY$2:$AY$18)))*(SQRT(SUMSQ(Attributs!$CT$2:$CT$18)+SUMSQ(Attributs!$CU$2:$CU$18)))),0)</f>
        <v/>
      </c>
      <c r="AY26" s="2">
        <f>IFERROR((SUMPRODUCT(Attributs!$AX$2:$AX$18,Attributs!$CV$2:$CV$18)+SUMPRODUCT(Attributs!$AY$2:$AY$18,Attributs!$CW$2:$CW$18))/((SQRT(SUMSQ(Attributs!$AX$2:$AX$18)+SUMSQ(Attributs!$AY$2:$AY$18)))*(SQRT(SUMSQ(Attributs!$CV$2:$CV$18)+SUMSQ(Attributs!$CW$2:$CW$18)))),0)</f>
        <v/>
      </c>
      <c r="AZ26" s="2">
        <f>IFERROR((SUMPRODUCT(Attributs!$AX$2:$AX$18,Attributs!$CX$2:$CX$18)+SUMPRODUCT(Attributs!$AY$2:$AY$18,Attributs!$CY$2:$CY$18))/((SQRT(SUMSQ(Attributs!$AX$2:$AX$18)+SUMSQ(Attributs!$AY$2:$AY$18)))*(SQRT(SUMSQ(Attributs!$CX$2:$CX$18)+SUMSQ(Attributs!$CY$2:$CY$18)))),0)</f>
        <v/>
      </c>
      <c r="BA26" s="2">
        <f>IFERROR((SUMPRODUCT(Attributs!$AX$2:$AX$18,Attributs!$CZ$2:$CZ$18)+SUMPRODUCT(Attributs!$AY$2:$AY$18,Attributs!$DA$2:$DA$18))/((SQRT(SUMSQ(Attributs!$AX$2:$AX$18)+SUMSQ(Attributs!$AY$2:$AY$18)))*(SQRT(SUMSQ(Attributs!$CZ$2:$CZ$18)+SUMSQ(Attributs!$DA$2:$DA$18)))),0)</f>
        <v/>
      </c>
      <c r="BB26" s="2">
        <f>IFERROR((SUMPRODUCT(Attributs!$AX$2:$AX$18,Attributs!$DB$2:$DB$18)+SUMPRODUCT(Attributs!$AY$2:$AY$18,Attributs!$DC$2:$DC$18))/((SQRT(SUMSQ(Attributs!$AX$2:$AX$18)+SUMSQ(Attributs!$AY$2:$AY$18)))*(SQRT(SUMSQ(Attributs!$DB$2:$DB$18)+SUMSQ(Attributs!$DC$2:$DC$18)))),0)</f>
        <v/>
      </c>
      <c r="BC26" s="2">
        <f>IFERROR((SUMPRODUCT(Attributs!$AX$2:$AX$18,Attributs!$DD$2:$DD$18)+SUMPRODUCT(Attributs!$AY$2:$AY$18,Attributs!$DE$2:$DE$18))/((SQRT(SUMSQ(Attributs!$AX$2:$AX$18)+SUMSQ(Attributs!$AY$2:$AY$18)))*(SQRT(SUMSQ(Attributs!$DD$2:$DD$18)+SUMSQ(Attributs!$DE$2:$DE$18)))),0)</f>
        <v/>
      </c>
      <c r="BD26" s="2">
        <f>IFERROR((SUMPRODUCT(Attributs!$AX$2:$AX$18,Attributs!$DF$2:$DF$18)+SUMPRODUCT(Attributs!$AY$2:$AY$18,Attributs!$DG$2:$DG$18))/((SQRT(SUMSQ(Attributs!$AX$2:$AX$18)+SUMSQ(Attributs!$AY$2:$AY$18)))*(SQRT(SUMSQ(Attributs!$DF$2:$DF$18)+SUMSQ(Attributs!$DG$2:$DG$18)))),0)</f>
        <v/>
      </c>
      <c r="BE26" s="2">
        <f>IFERROR((SUMPRODUCT(Attributs!$AX$2:$AX$18,Attributs!$DH$2:$DH$18)+SUMPRODUCT(Attributs!$AY$2:$AY$18,Attributs!$DI$2:$DI$18))/((SQRT(SUMSQ(Attributs!$AX$2:$AX$18)+SUMSQ(Attributs!$AY$2:$AY$18)))*(SQRT(SUMSQ(Attributs!$DH$2:$DH$18)+SUMSQ(Attributs!$DI$2:$DI$18)))),0)</f>
        <v/>
      </c>
      <c r="BF26" s="2">
        <f>IFERROR((SUMPRODUCT(Attributs!$AX$2:$AX$18,Attributs!$DJ$2:$DJ$18)+SUMPRODUCT(Attributs!$AY$2:$AY$18,Attributs!$DK$2:$DK$18))/((SQRT(SUMSQ(Attributs!$AX$2:$AX$18)+SUMSQ(Attributs!$AY$2:$AY$18)))*(SQRT(SUMSQ(Attributs!$DJ$2:$DJ$18)+SUMSQ(Attributs!$DK$2:$DK$18)))),0)</f>
        <v/>
      </c>
      <c r="BG26" s="2">
        <f>IFERROR((SUMPRODUCT(Attributs!$AX$2:$AX$18,Attributs!$DL$2:$DL$18)+SUMPRODUCT(Attributs!$AY$2:$AY$18,Attributs!$DM$2:$DM$18))/((SQRT(SUMSQ(Attributs!$AX$2:$AX$18)+SUMSQ(Attributs!$AY$2:$AY$18)))*(SQRT(SUMSQ(Attributs!$DL$2:$DL$18)+SUMSQ(Attributs!$DM$2:$DM$18)))),0)</f>
        <v/>
      </c>
      <c r="BH26" s="2">
        <f>IFERROR((SUMPRODUCT(Attributs!$AX$2:$AX$18,Attributs!$DN$2:$DN$18)+SUMPRODUCT(Attributs!$AY$2:$AY$18,Attributs!$DO$2:$DO$18))/((SQRT(SUMSQ(Attributs!$AX$2:$AX$18)+SUMSQ(Attributs!$AY$2:$AY$18)))*(SQRT(SUMSQ(Attributs!$DN$2:$DN$18)+SUMSQ(Attributs!$DO$2:$DO$18)))),0)</f>
        <v/>
      </c>
      <c r="BI26" s="2">
        <f>IFERROR((SUMPRODUCT(Attributs!$AX$2:$AX$18,Attributs!$DP$2:$DP$18)+SUMPRODUCT(Attributs!$AY$2:$AY$18,Attributs!$DQ$2:$DQ$18))/((SQRT(SUMSQ(Attributs!$AX$2:$AX$18)+SUMSQ(Attributs!$AY$2:$AY$18)))*(SQRT(SUMSQ(Attributs!$DP$2:$DP$18)+SUMSQ(Attributs!$DQ$2:$DQ$18)))),0)</f>
        <v/>
      </c>
      <c r="BJ26" s="2">
        <f>IFERROR((SUMPRODUCT(Attributs!$AX$2:$AX$18,Attributs!$DR$2:$DR$18)+SUMPRODUCT(Attributs!$AY$2:$AY$18,Attributs!$DS$2:$DS$18))/((SQRT(SUMSQ(Attributs!$AX$2:$AX$18)+SUMSQ(Attributs!$AY$2:$AY$18)))*(SQRT(SUMSQ(Attributs!$DR$2:$DR$18)+SUMSQ(Attributs!$DS$2:$DS$18)))),0)</f>
        <v/>
      </c>
      <c r="BK26" s="2">
        <f>IFERROR((SUMPRODUCT(Attributs!$AX$2:$AX$18,Attributs!$DT$2:$DT$18)+SUMPRODUCT(Attributs!$AY$2:$AY$18,Attributs!$DU$2:$DU$18))/((SQRT(SUMSQ(Attributs!$AX$2:$AX$18)+SUMSQ(Attributs!$AY$2:$AY$18)))*(SQRT(SUMSQ(Attributs!$DT$2:$DT$18)+SUMSQ(Attributs!$DU$2:$DU$18)))),0)</f>
        <v/>
      </c>
      <c r="BL26" s="2">
        <f>IFERROR((SUMPRODUCT(Attributs!$AX$2:$AX$18,Attributs!$DV$2:$DV$18)+SUMPRODUCT(Attributs!$AY$2:$AY$18,Attributs!$DW$2:$DW$18))/((SQRT(SUMSQ(Attributs!$AX$2:$AX$18)+SUMSQ(Attributs!$AY$2:$AY$18)))*(SQRT(SUMSQ(Attributs!$DV$2:$DV$18)+SUMSQ(Attributs!$DW$2:$DW$18)))),0)</f>
        <v/>
      </c>
    </row>
    <row r="27">
      <c r="A27" s="3" t="inlineStr">
        <is>
          <t>SE_mysql.Votetypes.Id</t>
        </is>
      </c>
      <c r="B27" s="2">
        <f>IFERROR((SUMPRODUCT(Attributs!$AZ$2:$AZ$18,Attributs!$B$2:$B$18)+SUMPRODUCT(Attributs!$BA$2:$BA$18,Attributs!$C$2:$C$18))/((SQRT(SUMSQ(Attributs!$AZ$2:$AZ$18)+SUMSQ(Attributs!$BA$2:$BA$18)))*(SQRT(SUMSQ(Attributs!$B$2:$B$18)+SUMSQ(Attributs!$C$2:$C$18)))),0)</f>
        <v/>
      </c>
      <c r="C27" s="2">
        <f>IFERROR((SUMPRODUCT(Attributs!$AZ$2:$AZ$18,Attributs!$D$2:$D$18)+SUMPRODUCT(Attributs!$BA$2:$BA$18,Attributs!$E$2:$E$18))/((SQRT(SUMSQ(Attributs!$AZ$2:$AZ$18)+SUMSQ(Attributs!$BA$2:$BA$18)))*(SQRT(SUMSQ(Attributs!$D$2:$D$18)+SUMSQ(Attributs!$E$2:$E$18)))),0)</f>
        <v/>
      </c>
      <c r="D27" s="2">
        <f>IFERROR((SUMPRODUCT(Attributs!$AZ$2:$AZ$18,Attributs!$F$2:$F$18)+SUMPRODUCT(Attributs!$BA$2:$BA$18,Attributs!$G$2:$G$18))/((SQRT(SUMSQ(Attributs!$AZ$2:$AZ$18)+SUMSQ(Attributs!$BA$2:$BA$18)))*(SQRT(SUMSQ(Attributs!$F$2:$F$18)+SUMSQ(Attributs!$G$2:$G$18)))),0)</f>
        <v/>
      </c>
      <c r="E27" s="2">
        <f>IFERROR((SUMPRODUCT(Attributs!$AZ$2:$AZ$18,Attributs!$H$2:$H$18)+SUMPRODUCT(Attributs!$BA$2:$BA$18,Attributs!$I$2:$I$18))/((SQRT(SUMSQ(Attributs!$AZ$2:$AZ$18)+SUMSQ(Attributs!$BA$2:$BA$18)))*(SQRT(SUMSQ(Attributs!$H$2:$H$18)+SUMSQ(Attributs!$I$2:$I$18)))),0)</f>
        <v/>
      </c>
      <c r="F27" s="2">
        <f>IFERROR((SUMPRODUCT(Attributs!$AZ$2:$AZ$18,Attributs!$J$2:$J$18)+SUMPRODUCT(Attributs!$BA$2:$BA$18,Attributs!$K$2:$K$18))/((SQRT(SUMSQ(Attributs!$AZ$2:$AZ$18)+SUMSQ(Attributs!$BA$2:$BA$18)))*(SQRT(SUMSQ(Attributs!$J$2:$J$18)+SUMSQ(Attributs!$K$2:$K$18)))),0)</f>
        <v/>
      </c>
      <c r="G27" s="2">
        <f>IFERROR((SUMPRODUCT(Attributs!$AZ$2:$AZ$18,Attributs!$L$2:$L$18)+SUMPRODUCT(Attributs!$BA$2:$BA$18,Attributs!$M$2:$M$18))/((SQRT(SUMSQ(Attributs!$AZ$2:$AZ$18)+SUMSQ(Attributs!$BA$2:$BA$18)))*(SQRT(SUMSQ(Attributs!$L$2:$L$18)+SUMSQ(Attributs!$M$2:$M$18)))),0)</f>
        <v/>
      </c>
      <c r="H27" s="2">
        <f>IFERROR((SUMPRODUCT(Attributs!$AZ$2:$AZ$18,Attributs!$N$2:$N$18)+SUMPRODUCT(Attributs!$BA$2:$BA$18,Attributs!$O$2:$O$18))/((SQRT(SUMSQ(Attributs!$AZ$2:$AZ$18)+SUMSQ(Attributs!$BA$2:$BA$18)))*(SQRT(SUMSQ(Attributs!$N$2:$N$18)+SUMSQ(Attributs!$O$2:$O$18)))),0)</f>
        <v/>
      </c>
      <c r="I27" s="2">
        <f>IFERROR((SUMPRODUCT(Attributs!$AZ$2:$AZ$18,Attributs!$P$2:$P$18)+SUMPRODUCT(Attributs!$BA$2:$BA$18,Attributs!$Q$2:$Q$18))/((SQRT(SUMSQ(Attributs!$AZ$2:$AZ$18)+SUMSQ(Attributs!$BA$2:$BA$18)))*(SQRT(SUMSQ(Attributs!$P$2:$P$18)+SUMSQ(Attributs!$Q$2:$Q$18)))),0)</f>
        <v/>
      </c>
      <c r="J27" s="2">
        <f>IFERROR((SUMPRODUCT(Attributs!$AZ$2:$AZ$18,Attributs!$R$2:$R$18)+SUMPRODUCT(Attributs!$BA$2:$BA$18,Attributs!$S$2:$S$18))/((SQRT(SUMSQ(Attributs!$AZ$2:$AZ$18)+SUMSQ(Attributs!$BA$2:$BA$18)))*(SQRT(SUMSQ(Attributs!$R$2:$R$18)+SUMSQ(Attributs!$S$2:$S$18)))),0)</f>
        <v/>
      </c>
      <c r="K27" s="2">
        <f>IFERROR((SUMPRODUCT(Attributs!$AZ$2:$AZ$18,Attributs!$T$2:$T$18)+SUMPRODUCT(Attributs!$BA$2:$BA$18,Attributs!$U$2:$U$18))/((SQRT(SUMSQ(Attributs!$AZ$2:$AZ$18)+SUMSQ(Attributs!$BA$2:$BA$18)))*(SQRT(SUMSQ(Attributs!$T$2:$T$18)+SUMSQ(Attributs!$U$2:$U$18)))),0)</f>
        <v/>
      </c>
      <c r="L27" s="2">
        <f>IFERROR((SUMPRODUCT(Attributs!$AZ$2:$AZ$18,Attributs!$V$2:$V$18)+SUMPRODUCT(Attributs!$BA$2:$BA$18,Attributs!$W$2:$W$18))/((SQRT(SUMSQ(Attributs!$AZ$2:$AZ$18)+SUMSQ(Attributs!$BA$2:$BA$18)))*(SQRT(SUMSQ(Attributs!$V$2:$V$18)+SUMSQ(Attributs!$W$2:$W$18)))),0)</f>
        <v/>
      </c>
      <c r="M27" s="2">
        <f>IFERROR((SUMPRODUCT(Attributs!$AZ$2:$AZ$18,Attributs!$X$2:$X$18)+SUMPRODUCT(Attributs!$BA$2:$BA$18,Attributs!$Y$2:$Y$18))/((SQRT(SUMSQ(Attributs!$AZ$2:$AZ$18)+SUMSQ(Attributs!$BA$2:$BA$18)))*(SQRT(SUMSQ(Attributs!$X$2:$X$18)+SUMSQ(Attributs!$Y$2:$Y$18)))),0)</f>
        <v/>
      </c>
      <c r="N27" s="2">
        <f>IFERROR((SUMPRODUCT(Attributs!$AZ$2:$AZ$18,Attributs!$Z$2:$Z$18)+SUMPRODUCT(Attributs!$BA$2:$BA$18,Attributs!$AA$2:$AA$18))/((SQRT(SUMSQ(Attributs!$AZ$2:$AZ$18)+SUMSQ(Attributs!$BA$2:$BA$18)))*(SQRT(SUMSQ(Attributs!$Z$2:$Z$18)+SUMSQ(Attributs!$AA$2:$AA$18)))),0)</f>
        <v/>
      </c>
      <c r="O27" s="2">
        <f>IFERROR((SUMPRODUCT(Attributs!$AZ$2:$AZ$18,Attributs!$AB$2:$AB$18)+SUMPRODUCT(Attributs!$BA$2:$BA$18,Attributs!$AC$2:$AC$18))/((SQRT(SUMSQ(Attributs!$AZ$2:$AZ$18)+SUMSQ(Attributs!$BA$2:$BA$18)))*(SQRT(SUMSQ(Attributs!$AB$2:$AB$18)+SUMSQ(Attributs!$AC$2:$AC$18)))),0)</f>
        <v/>
      </c>
      <c r="P27" s="2">
        <f>IFERROR((SUMPRODUCT(Attributs!$AZ$2:$AZ$18,Attributs!$AD$2:$AD$18)+SUMPRODUCT(Attributs!$BA$2:$BA$18,Attributs!$AE$2:$AE$18))/((SQRT(SUMSQ(Attributs!$AZ$2:$AZ$18)+SUMSQ(Attributs!$BA$2:$BA$18)))*(SQRT(SUMSQ(Attributs!$AD$2:$AD$18)+SUMSQ(Attributs!$AE$2:$AE$18)))),0)</f>
        <v/>
      </c>
      <c r="Q27" s="2">
        <f>IFERROR((SUMPRODUCT(Attributs!$AZ$2:$AZ$18,Attributs!$AF$2:$AF$18)+SUMPRODUCT(Attributs!$BA$2:$BA$18,Attributs!$AG$2:$AG$18))/((SQRT(SUMSQ(Attributs!$AZ$2:$AZ$18)+SUMSQ(Attributs!$BA$2:$BA$18)))*(SQRT(SUMSQ(Attributs!$AF$2:$AF$18)+SUMSQ(Attributs!$AG$2:$AG$18)))),0)</f>
        <v/>
      </c>
      <c r="R27" s="2">
        <f>IFERROR((SUMPRODUCT(Attributs!$AZ$2:$AZ$18,Attributs!$AH$2:$AH$18)+SUMPRODUCT(Attributs!$BA$2:$BA$18,Attributs!$AI$2:$AI$18))/((SQRT(SUMSQ(Attributs!$AZ$2:$AZ$18)+SUMSQ(Attributs!$BA$2:$BA$18)))*(SQRT(SUMSQ(Attributs!$AH$2:$AH$18)+SUMSQ(Attributs!$AI$2:$AI$18)))),0)</f>
        <v/>
      </c>
      <c r="S27" s="2">
        <f>IFERROR((SUMPRODUCT(Attributs!$AZ$2:$AZ$18,Attributs!$AJ$2:$AJ$18)+SUMPRODUCT(Attributs!$BA$2:$BA$18,Attributs!$AK$2:$AK$18))/((SQRT(SUMSQ(Attributs!$AZ$2:$AZ$18)+SUMSQ(Attributs!$BA$2:$BA$18)))*(SQRT(SUMSQ(Attributs!$AJ$2:$AJ$18)+SUMSQ(Attributs!$AK$2:$AK$18)))),0)</f>
        <v/>
      </c>
      <c r="T27" s="2">
        <f>IFERROR((SUMPRODUCT(Attributs!$AZ$2:$AZ$18,Attributs!$AL$2:$AL$18)+SUMPRODUCT(Attributs!$BA$2:$BA$18,Attributs!$AM$2:$AM$18))/((SQRT(SUMSQ(Attributs!$AZ$2:$AZ$18)+SUMSQ(Attributs!$BA$2:$BA$18)))*(SQRT(SUMSQ(Attributs!$AL$2:$AL$18)+SUMSQ(Attributs!$AM$2:$AM$18)))),0)</f>
        <v/>
      </c>
      <c r="U27" s="2">
        <f>IFERROR((SUMPRODUCT(Attributs!$AZ$2:$AZ$18,Attributs!$AN$2:$AN$18)+SUMPRODUCT(Attributs!$BA$2:$BA$18,Attributs!$AO$2:$AO$18))/((SQRT(SUMSQ(Attributs!$AZ$2:$AZ$18)+SUMSQ(Attributs!$BA$2:$BA$18)))*(SQRT(SUMSQ(Attributs!$AN$2:$AN$18)+SUMSQ(Attributs!$AO$2:$AO$18)))),0)</f>
        <v/>
      </c>
      <c r="V27" s="2">
        <f>IFERROR((SUMPRODUCT(Attributs!$AZ$2:$AZ$18,Attributs!$AP$2:$AP$18)+SUMPRODUCT(Attributs!$BA$2:$BA$18,Attributs!$AQ$2:$AQ$18))/((SQRT(SUMSQ(Attributs!$AZ$2:$AZ$18)+SUMSQ(Attributs!$BA$2:$BA$18)))*(SQRT(SUMSQ(Attributs!$AP$2:$AP$18)+SUMSQ(Attributs!$AQ$2:$AQ$18)))),0)</f>
        <v/>
      </c>
      <c r="W27" s="2">
        <f>IFERROR((SUMPRODUCT(Attributs!$AZ$2:$AZ$18,Attributs!$AR$2:$AR$18)+SUMPRODUCT(Attributs!$BA$2:$BA$18,Attributs!$AS$2:$AS$18))/((SQRT(SUMSQ(Attributs!$AZ$2:$AZ$18)+SUMSQ(Attributs!$BA$2:$BA$18)))*(SQRT(SUMSQ(Attributs!$AR$2:$AR$18)+SUMSQ(Attributs!$AS$2:$AS$18)))),0)</f>
        <v/>
      </c>
      <c r="X27" s="2">
        <f>IFERROR((SUMPRODUCT(Attributs!$AZ$2:$AZ$18,Attributs!$AT$2:$AT$18)+SUMPRODUCT(Attributs!$BA$2:$BA$18,Attributs!$AU$2:$AU$18))/((SQRT(SUMSQ(Attributs!$AZ$2:$AZ$18)+SUMSQ(Attributs!$BA$2:$BA$18)))*(SQRT(SUMSQ(Attributs!$AT$2:$AT$18)+SUMSQ(Attributs!$AU$2:$AU$18)))),0)</f>
        <v/>
      </c>
      <c r="Y27" s="2">
        <f>IFERROR((SUMPRODUCT(Attributs!$AZ$2:$AZ$18,Attributs!$AV$2:$AV$18)+SUMPRODUCT(Attributs!$BA$2:$BA$18,Attributs!$AW$2:$AW$18))/((SQRT(SUMSQ(Attributs!$AZ$2:$AZ$18)+SUMSQ(Attributs!$BA$2:$BA$18)))*(SQRT(SUMSQ(Attributs!$AV$2:$AV$18)+SUMSQ(Attributs!$AW$2:$AW$18)))),0)</f>
        <v/>
      </c>
      <c r="Z27" s="2">
        <f>IFERROR((SUMPRODUCT(Attributs!$AZ$2:$AZ$18,Attributs!$AX$2:$AX$18)+SUMPRODUCT(Attributs!$BA$2:$BA$18,Attributs!$AY$2:$AY$18))/((SQRT(SUMSQ(Attributs!$AZ$2:$AZ$18)+SUMSQ(Attributs!$BA$2:$BA$18)))*(SQRT(SUMSQ(Attributs!$AX$2:$AX$18)+SUMSQ(Attributs!$AY$2:$AY$18)))),0)</f>
        <v/>
      </c>
      <c r="AA27" s="2">
        <f>IFERROR((SUMPRODUCT(Attributs!$AZ$2:$AZ$18,Attributs!$AZ$2:$AZ$18)+SUMPRODUCT(Attributs!$BA$2:$BA$18,Attributs!$BA$2:$BA$18))/((SQRT(SUMSQ(Attributs!$AZ$2:$AZ$18)+SUMSQ(Attributs!$BA$2:$BA$18)))*(SQRT(SUMSQ(Attributs!$AZ$2:$AZ$18)+SUMSQ(Attributs!$BA$2:$BA$18)))),0)</f>
        <v/>
      </c>
      <c r="AB27" s="2">
        <f>IFERROR((SUMPRODUCT(Attributs!$AZ$2:$AZ$18,Attributs!$BB$2:$BB$18)+SUMPRODUCT(Attributs!$BA$2:$BA$18,Attributs!$BC$2:$BC$18))/((SQRT(SUMSQ(Attributs!$AZ$2:$AZ$18)+SUMSQ(Attributs!$BA$2:$BA$18)))*(SQRT(SUMSQ(Attributs!$BB$2:$BB$18)+SUMSQ(Attributs!$BC$2:$BC$18)))),0)</f>
        <v/>
      </c>
      <c r="AC27" s="2">
        <f>IFERROR((SUMPRODUCT(Attributs!$AZ$2:$AZ$18,Attributs!$BD$2:$BD$18)+SUMPRODUCT(Attributs!$BA$2:$BA$18,Attributs!$BE$2:$BE$18))/((SQRT(SUMSQ(Attributs!$AZ$2:$AZ$18)+SUMSQ(Attributs!$BA$2:$BA$18)))*(SQRT(SUMSQ(Attributs!$BD$2:$BD$18)+SUMSQ(Attributs!$BE$2:$BE$18)))),0)</f>
        <v/>
      </c>
      <c r="AD27" s="2">
        <f>IFERROR((SUMPRODUCT(Attributs!$AZ$2:$AZ$18,Attributs!$BF$2:$BF$18)+SUMPRODUCT(Attributs!$BA$2:$BA$18,Attributs!$BG$2:$BG$18))/((SQRT(SUMSQ(Attributs!$AZ$2:$AZ$18)+SUMSQ(Attributs!$BA$2:$BA$18)))*(SQRT(SUMSQ(Attributs!$BF$2:$BF$18)+SUMSQ(Attributs!$BG$2:$BG$18)))),0)</f>
        <v/>
      </c>
      <c r="AE27" s="2">
        <f>IFERROR((SUMPRODUCT(Attributs!$AZ$2:$AZ$18,Attributs!$BH$2:$BH$18)+SUMPRODUCT(Attributs!$BA$2:$BA$18,Attributs!$BI$2:$BI$18))/((SQRT(SUMSQ(Attributs!$AZ$2:$AZ$18)+SUMSQ(Attributs!$BA$2:$BA$18)))*(SQRT(SUMSQ(Attributs!$BH$2:$BH$18)+SUMSQ(Attributs!$BI$2:$BI$18)))),0)</f>
        <v/>
      </c>
      <c r="AF27" s="2">
        <f>IFERROR((SUMPRODUCT(Attributs!$AZ$2:$AZ$18,Attributs!$BJ$2:$BJ$18)+SUMPRODUCT(Attributs!$BA$2:$BA$18,Attributs!$BK$2:$BK$18))/((SQRT(SUMSQ(Attributs!$AZ$2:$AZ$18)+SUMSQ(Attributs!$BA$2:$BA$18)))*(SQRT(SUMSQ(Attributs!$BJ$2:$BJ$18)+SUMSQ(Attributs!$BK$2:$BK$18)))),0)</f>
        <v/>
      </c>
      <c r="AG27" s="2">
        <f>IFERROR((SUMPRODUCT(Attributs!$AZ$2:$AZ$18,Attributs!$BL$2:$BL$18)+SUMPRODUCT(Attributs!$BA$2:$BA$18,Attributs!$BM$2:$BM$18))/((SQRT(SUMSQ(Attributs!$AZ$2:$AZ$18)+SUMSQ(Attributs!$BA$2:$BA$18)))*(SQRT(SUMSQ(Attributs!$BL$2:$BL$18)+SUMSQ(Attributs!$BM$2:$BM$18)))),0)</f>
        <v/>
      </c>
      <c r="AH27" s="2">
        <f>IFERROR((SUMPRODUCT(Attributs!$AZ$2:$AZ$18,Attributs!$BN$2:$BN$18)+SUMPRODUCT(Attributs!$BA$2:$BA$18,Attributs!$BO$2:$BO$18))/((SQRT(SUMSQ(Attributs!$AZ$2:$AZ$18)+SUMSQ(Attributs!$BA$2:$BA$18)))*(SQRT(SUMSQ(Attributs!$BN$2:$BN$18)+SUMSQ(Attributs!$BO$2:$BO$18)))),0)</f>
        <v/>
      </c>
      <c r="AI27" s="2">
        <f>IFERROR((SUMPRODUCT(Attributs!$AZ$2:$AZ$18,Attributs!$BP$2:$BP$18)+SUMPRODUCT(Attributs!$BA$2:$BA$18,Attributs!$BQ$2:$BQ$18))/((SQRT(SUMSQ(Attributs!$AZ$2:$AZ$18)+SUMSQ(Attributs!$BA$2:$BA$18)))*(SQRT(SUMSQ(Attributs!$BP$2:$BP$18)+SUMSQ(Attributs!$BQ$2:$BQ$18)))),0)</f>
        <v/>
      </c>
      <c r="AJ27" s="2">
        <f>IFERROR((SUMPRODUCT(Attributs!$AZ$2:$AZ$18,Attributs!$BR$2:$BR$18)+SUMPRODUCT(Attributs!$BA$2:$BA$18,Attributs!$BS$2:$BS$18))/((SQRT(SUMSQ(Attributs!$AZ$2:$AZ$18)+SUMSQ(Attributs!$BA$2:$BA$18)))*(SQRT(SUMSQ(Attributs!$BR$2:$BR$18)+SUMSQ(Attributs!$BS$2:$BS$18)))),0)</f>
        <v/>
      </c>
      <c r="AK27" s="2">
        <f>IFERROR((SUMPRODUCT(Attributs!$AZ$2:$AZ$18,Attributs!$BT$2:$BT$18)+SUMPRODUCT(Attributs!$BA$2:$BA$18,Attributs!$BU$2:$BU$18))/((SQRT(SUMSQ(Attributs!$AZ$2:$AZ$18)+SUMSQ(Attributs!$BA$2:$BA$18)))*(SQRT(SUMSQ(Attributs!$BT$2:$BT$18)+SUMSQ(Attributs!$BU$2:$BU$18)))),0)</f>
        <v/>
      </c>
      <c r="AL27" s="2">
        <f>IFERROR((SUMPRODUCT(Attributs!$AZ$2:$AZ$18,Attributs!$BV$2:$BV$18)+SUMPRODUCT(Attributs!$BA$2:$BA$18,Attributs!$BW$2:$BW$18))/((SQRT(SUMSQ(Attributs!$AZ$2:$AZ$18)+SUMSQ(Attributs!$BA$2:$BA$18)))*(SQRT(SUMSQ(Attributs!$BV$2:$BV$18)+SUMSQ(Attributs!$BW$2:$BW$18)))),0)</f>
        <v/>
      </c>
      <c r="AM27" s="2">
        <f>IFERROR((SUMPRODUCT(Attributs!$AZ$2:$AZ$18,Attributs!$BX$2:$BX$18)+SUMPRODUCT(Attributs!$BA$2:$BA$18,Attributs!$BY$2:$BY$18))/((SQRT(SUMSQ(Attributs!$AZ$2:$AZ$18)+SUMSQ(Attributs!$BA$2:$BA$18)))*(SQRT(SUMSQ(Attributs!$BX$2:$BX$18)+SUMSQ(Attributs!$BY$2:$BY$18)))),0)</f>
        <v/>
      </c>
      <c r="AN27" s="2">
        <f>IFERROR((SUMPRODUCT(Attributs!$AZ$2:$AZ$18,Attributs!$BZ$2:$BZ$18)+SUMPRODUCT(Attributs!$BA$2:$BA$18,Attributs!$CA$2:$CA$18))/((SQRT(SUMSQ(Attributs!$AZ$2:$AZ$18)+SUMSQ(Attributs!$BA$2:$BA$18)))*(SQRT(SUMSQ(Attributs!$BZ$2:$BZ$18)+SUMSQ(Attributs!$CA$2:$CA$18)))),0)</f>
        <v/>
      </c>
      <c r="AO27" s="2">
        <f>IFERROR((SUMPRODUCT(Attributs!$AZ$2:$AZ$18,Attributs!$CB$2:$CB$18)+SUMPRODUCT(Attributs!$BA$2:$BA$18,Attributs!$CC$2:$CC$18))/((SQRT(SUMSQ(Attributs!$AZ$2:$AZ$18)+SUMSQ(Attributs!$BA$2:$BA$18)))*(SQRT(SUMSQ(Attributs!$CB$2:$CB$18)+SUMSQ(Attributs!$CC$2:$CC$18)))),0)</f>
        <v/>
      </c>
      <c r="AP27" s="2">
        <f>IFERROR((SUMPRODUCT(Attributs!$AZ$2:$AZ$18,Attributs!$CD$2:$CD$18)+SUMPRODUCT(Attributs!$BA$2:$BA$18,Attributs!$CE$2:$CE$18))/((SQRT(SUMSQ(Attributs!$AZ$2:$AZ$18)+SUMSQ(Attributs!$BA$2:$BA$18)))*(SQRT(SUMSQ(Attributs!$CD$2:$CD$18)+SUMSQ(Attributs!$CE$2:$CE$18)))),0)</f>
        <v/>
      </c>
      <c r="AQ27" s="2">
        <f>IFERROR((SUMPRODUCT(Attributs!$AZ$2:$AZ$18,Attributs!$CF$2:$CF$18)+SUMPRODUCT(Attributs!$BA$2:$BA$18,Attributs!$CG$2:$CG$18))/((SQRT(SUMSQ(Attributs!$AZ$2:$AZ$18)+SUMSQ(Attributs!$BA$2:$BA$18)))*(SQRT(SUMSQ(Attributs!$CF$2:$CF$18)+SUMSQ(Attributs!$CG$2:$CG$18)))),0)</f>
        <v/>
      </c>
      <c r="AR27" s="2">
        <f>IFERROR((SUMPRODUCT(Attributs!$AZ$2:$AZ$18,Attributs!$CH$2:$CH$18)+SUMPRODUCT(Attributs!$BA$2:$BA$18,Attributs!$CI$2:$CI$18))/((SQRT(SUMSQ(Attributs!$AZ$2:$AZ$18)+SUMSQ(Attributs!$BA$2:$BA$18)))*(SQRT(SUMSQ(Attributs!$CH$2:$CH$18)+SUMSQ(Attributs!$CI$2:$CI$18)))),0)</f>
        <v/>
      </c>
      <c r="AS27" s="2">
        <f>IFERROR((SUMPRODUCT(Attributs!$AZ$2:$AZ$18,Attributs!$CJ$2:$CJ$18)+SUMPRODUCT(Attributs!$BA$2:$BA$18,Attributs!$CK$2:$CK$18))/((SQRT(SUMSQ(Attributs!$AZ$2:$AZ$18)+SUMSQ(Attributs!$BA$2:$BA$18)))*(SQRT(SUMSQ(Attributs!$CJ$2:$CJ$18)+SUMSQ(Attributs!$CK$2:$CK$18)))),0)</f>
        <v/>
      </c>
      <c r="AT27" s="2">
        <f>IFERROR((SUMPRODUCT(Attributs!$AZ$2:$AZ$18,Attributs!$CL$2:$CL$18)+SUMPRODUCT(Attributs!$BA$2:$BA$18,Attributs!$CM$2:$CM$18))/((SQRT(SUMSQ(Attributs!$AZ$2:$AZ$18)+SUMSQ(Attributs!$BA$2:$BA$18)))*(SQRT(SUMSQ(Attributs!$CL$2:$CL$18)+SUMSQ(Attributs!$CM$2:$CM$18)))),0)</f>
        <v/>
      </c>
      <c r="AU27" s="2">
        <f>IFERROR((SUMPRODUCT(Attributs!$AZ$2:$AZ$18,Attributs!$CN$2:$CN$18)+SUMPRODUCT(Attributs!$BA$2:$BA$18,Attributs!$CO$2:$CO$18))/((SQRT(SUMSQ(Attributs!$AZ$2:$AZ$18)+SUMSQ(Attributs!$BA$2:$BA$18)))*(SQRT(SUMSQ(Attributs!$CN$2:$CN$18)+SUMSQ(Attributs!$CO$2:$CO$18)))),0)</f>
        <v/>
      </c>
      <c r="AV27" s="2">
        <f>IFERROR((SUMPRODUCT(Attributs!$AZ$2:$AZ$18,Attributs!$CP$2:$CP$18)+SUMPRODUCT(Attributs!$BA$2:$BA$18,Attributs!$CQ$2:$CQ$18))/((SQRT(SUMSQ(Attributs!$AZ$2:$AZ$18)+SUMSQ(Attributs!$BA$2:$BA$18)))*(SQRT(SUMSQ(Attributs!$CP$2:$CP$18)+SUMSQ(Attributs!$CQ$2:$CQ$18)))),0)</f>
        <v/>
      </c>
      <c r="AW27" s="2">
        <f>IFERROR((SUMPRODUCT(Attributs!$AZ$2:$AZ$18,Attributs!$CR$2:$CR$18)+SUMPRODUCT(Attributs!$BA$2:$BA$18,Attributs!$CS$2:$CS$18))/((SQRT(SUMSQ(Attributs!$AZ$2:$AZ$18)+SUMSQ(Attributs!$BA$2:$BA$18)))*(SQRT(SUMSQ(Attributs!$CR$2:$CR$18)+SUMSQ(Attributs!$CS$2:$CS$18)))),0)</f>
        <v/>
      </c>
      <c r="AX27" s="2">
        <f>IFERROR((SUMPRODUCT(Attributs!$AZ$2:$AZ$18,Attributs!$CT$2:$CT$18)+SUMPRODUCT(Attributs!$BA$2:$BA$18,Attributs!$CU$2:$CU$18))/((SQRT(SUMSQ(Attributs!$AZ$2:$AZ$18)+SUMSQ(Attributs!$BA$2:$BA$18)))*(SQRT(SUMSQ(Attributs!$CT$2:$CT$18)+SUMSQ(Attributs!$CU$2:$CU$18)))),0)</f>
        <v/>
      </c>
      <c r="AY27" s="2">
        <f>IFERROR((SUMPRODUCT(Attributs!$AZ$2:$AZ$18,Attributs!$CV$2:$CV$18)+SUMPRODUCT(Attributs!$BA$2:$BA$18,Attributs!$CW$2:$CW$18))/((SQRT(SUMSQ(Attributs!$AZ$2:$AZ$18)+SUMSQ(Attributs!$BA$2:$BA$18)))*(SQRT(SUMSQ(Attributs!$CV$2:$CV$18)+SUMSQ(Attributs!$CW$2:$CW$18)))),0)</f>
        <v/>
      </c>
      <c r="AZ27" s="2">
        <f>IFERROR((SUMPRODUCT(Attributs!$AZ$2:$AZ$18,Attributs!$CX$2:$CX$18)+SUMPRODUCT(Attributs!$BA$2:$BA$18,Attributs!$CY$2:$CY$18))/((SQRT(SUMSQ(Attributs!$AZ$2:$AZ$18)+SUMSQ(Attributs!$BA$2:$BA$18)))*(SQRT(SUMSQ(Attributs!$CX$2:$CX$18)+SUMSQ(Attributs!$CY$2:$CY$18)))),0)</f>
        <v/>
      </c>
      <c r="BA27" s="2">
        <f>IFERROR((SUMPRODUCT(Attributs!$AZ$2:$AZ$18,Attributs!$CZ$2:$CZ$18)+SUMPRODUCT(Attributs!$BA$2:$BA$18,Attributs!$DA$2:$DA$18))/((SQRT(SUMSQ(Attributs!$AZ$2:$AZ$18)+SUMSQ(Attributs!$BA$2:$BA$18)))*(SQRT(SUMSQ(Attributs!$CZ$2:$CZ$18)+SUMSQ(Attributs!$DA$2:$DA$18)))),0)</f>
        <v/>
      </c>
      <c r="BB27" s="2">
        <f>IFERROR((SUMPRODUCT(Attributs!$AZ$2:$AZ$18,Attributs!$DB$2:$DB$18)+SUMPRODUCT(Attributs!$BA$2:$BA$18,Attributs!$DC$2:$DC$18))/((SQRT(SUMSQ(Attributs!$AZ$2:$AZ$18)+SUMSQ(Attributs!$BA$2:$BA$18)))*(SQRT(SUMSQ(Attributs!$DB$2:$DB$18)+SUMSQ(Attributs!$DC$2:$DC$18)))),0)</f>
        <v/>
      </c>
      <c r="BC27" s="2">
        <f>IFERROR((SUMPRODUCT(Attributs!$AZ$2:$AZ$18,Attributs!$DD$2:$DD$18)+SUMPRODUCT(Attributs!$BA$2:$BA$18,Attributs!$DE$2:$DE$18))/((SQRT(SUMSQ(Attributs!$AZ$2:$AZ$18)+SUMSQ(Attributs!$BA$2:$BA$18)))*(SQRT(SUMSQ(Attributs!$DD$2:$DD$18)+SUMSQ(Attributs!$DE$2:$DE$18)))),0)</f>
        <v/>
      </c>
      <c r="BD27" s="2">
        <f>IFERROR((SUMPRODUCT(Attributs!$AZ$2:$AZ$18,Attributs!$DF$2:$DF$18)+SUMPRODUCT(Attributs!$BA$2:$BA$18,Attributs!$DG$2:$DG$18))/((SQRT(SUMSQ(Attributs!$AZ$2:$AZ$18)+SUMSQ(Attributs!$BA$2:$BA$18)))*(SQRT(SUMSQ(Attributs!$DF$2:$DF$18)+SUMSQ(Attributs!$DG$2:$DG$18)))),0)</f>
        <v/>
      </c>
      <c r="BE27" s="2">
        <f>IFERROR((SUMPRODUCT(Attributs!$AZ$2:$AZ$18,Attributs!$DH$2:$DH$18)+SUMPRODUCT(Attributs!$BA$2:$BA$18,Attributs!$DI$2:$DI$18))/((SQRT(SUMSQ(Attributs!$AZ$2:$AZ$18)+SUMSQ(Attributs!$BA$2:$BA$18)))*(SQRT(SUMSQ(Attributs!$DH$2:$DH$18)+SUMSQ(Attributs!$DI$2:$DI$18)))),0)</f>
        <v/>
      </c>
      <c r="BF27" s="2">
        <f>IFERROR((SUMPRODUCT(Attributs!$AZ$2:$AZ$18,Attributs!$DJ$2:$DJ$18)+SUMPRODUCT(Attributs!$BA$2:$BA$18,Attributs!$DK$2:$DK$18))/((SQRT(SUMSQ(Attributs!$AZ$2:$AZ$18)+SUMSQ(Attributs!$BA$2:$BA$18)))*(SQRT(SUMSQ(Attributs!$DJ$2:$DJ$18)+SUMSQ(Attributs!$DK$2:$DK$18)))),0)</f>
        <v/>
      </c>
      <c r="BG27" s="2">
        <f>IFERROR((SUMPRODUCT(Attributs!$AZ$2:$AZ$18,Attributs!$DL$2:$DL$18)+SUMPRODUCT(Attributs!$BA$2:$BA$18,Attributs!$DM$2:$DM$18))/((SQRT(SUMSQ(Attributs!$AZ$2:$AZ$18)+SUMSQ(Attributs!$BA$2:$BA$18)))*(SQRT(SUMSQ(Attributs!$DL$2:$DL$18)+SUMSQ(Attributs!$DM$2:$DM$18)))),0)</f>
        <v/>
      </c>
      <c r="BH27" s="2">
        <f>IFERROR((SUMPRODUCT(Attributs!$AZ$2:$AZ$18,Attributs!$DN$2:$DN$18)+SUMPRODUCT(Attributs!$BA$2:$BA$18,Attributs!$DO$2:$DO$18))/((SQRT(SUMSQ(Attributs!$AZ$2:$AZ$18)+SUMSQ(Attributs!$BA$2:$BA$18)))*(SQRT(SUMSQ(Attributs!$DN$2:$DN$18)+SUMSQ(Attributs!$DO$2:$DO$18)))),0)</f>
        <v/>
      </c>
      <c r="BI27" s="2">
        <f>IFERROR((SUMPRODUCT(Attributs!$AZ$2:$AZ$18,Attributs!$DP$2:$DP$18)+SUMPRODUCT(Attributs!$BA$2:$BA$18,Attributs!$DQ$2:$DQ$18))/((SQRT(SUMSQ(Attributs!$AZ$2:$AZ$18)+SUMSQ(Attributs!$BA$2:$BA$18)))*(SQRT(SUMSQ(Attributs!$DP$2:$DP$18)+SUMSQ(Attributs!$DQ$2:$DQ$18)))),0)</f>
        <v/>
      </c>
      <c r="BJ27" s="2">
        <f>IFERROR((SUMPRODUCT(Attributs!$AZ$2:$AZ$18,Attributs!$DR$2:$DR$18)+SUMPRODUCT(Attributs!$BA$2:$BA$18,Attributs!$DS$2:$DS$18))/((SQRT(SUMSQ(Attributs!$AZ$2:$AZ$18)+SUMSQ(Attributs!$BA$2:$BA$18)))*(SQRT(SUMSQ(Attributs!$DR$2:$DR$18)+SUMSQ(Attributs!$DS$2:$DS$18)))),0)</f>
        <v/>
      </c>
      <c r="BK27" s="2">
        <f>IFERROR((SUMPRODUCT(Attributs!$AZ$2:$AZ$18,Attributs!$DT$2:$DT$18)+SUMPRODUCT(Attributs!$BA$2:$BA$18,Attributs!$DU$2:$DU$18))/((SQRT(SUMSQ(Attributs!$AZ$2:$AZ$18)+SUMSQ(Attributs!$BA$2:$BA$18)))*(SQRT(SUMSQ(Attributs!$DT$2:$DT$18)+SUMSQ(Attributs!$DU$2:$DU$18)))),0)</f>
        <v/>
      </c>
      <c r="BL27" s="2">
        <f>IFERROR((SUMPRODUCT(Attributs!$AZ$2:$AZ$18,Attributs!$DV$2:$DV$18)+SUMPRODUCT(Attributs!$BA$2:$BA$18,Attributs!$DW$2:$DW$18))/((SQRT(SUMSQ(Attributs!$AZ$2:$AZ$18)+SUMSQ(Attributs!$BA$2:$BA$18)))*(SQRT(SUMSQ(Attributs!$DV$2:$DV$18)+SUMSQ(Attributs!$DW$2:$DW$18)))),0)</f>
        <v/>
      </c>
    </row>
    <row r="28">
      <c r="A28" s="3" t="inlineStr">
        <is>
          <t>SE_mysql.Votetypes.Name</t>
        </is>
      </c>
      <c r="B28" s="2">
        <f>IFERROR((SUMPRODUCT(Attributs!$BB$2:$BB$18,Attributs!$B$2:$B$18)+SUMPRODUCT(Attributs!$BC$2:$BC$18,Attributs!$C$2:$C$18))/((SQRT(SUMSQ(Attributs!$BB$2:$BB$18)+SUMSQ(Attributs!$BC$2:$BC$18)))*(SQRT(SUMSQ(Attributs!$B$2:$B$18)+SUMSQ(Attributs!$C$2:$C$18)))),0)</f>
        <v/>
      </c>
      <c r="C28" s="2">
        <f>IFERROR((SUMPRODUCT(Attributs!$BB$2:$BB$18,Attributs!$D$2:$D$18)+SUMPRODUCT(Attributs!$BC$2:$BC$18,Attributs!$E$2:$E$18))/((SQRT(SUMSQ(Attributs!$BB$2:$BB$18)+SUMSQ(Attributs!$BC$2:$BC$18)))*(SQRT(SUMSQ(Attributs!$D$2:$D$18)+SUMSQ(Attributs!$E$2:$E$18)))),0)</f>
        <v/>
      </c>
      <c r="D28" s="2">
        <f>IFERROR((SUMPRODUCT(Attributs!$BB$2:$BB$18,Attributs!$F$2:$F$18)+SUMPRODUCT(Attributs!$BC$2:$BC$18,Attributs!$G$2:$G$18))/((SQRT(SUMSQ(Attributs!$BB$2:$BB$18)+SUMSQ(Attributs!$BC$2:$BC$18)))*(SQRT(SUMSQ(Attributs!$F$2:$F$18)+SUMSQ(Attributs!$G$2:$G$18)))),0)</f>
        <v/>
      </c>
      <c r="E28" s="2">
        <f>IFERROR((SUMPRODUCT(Attributs!$BB$2:$BB$18,Attributs!$H$2:$H$18)+SUMPRODUCT(Attributs!$BC$2:$BC$18,Attributs!$I$2:$I$18))/((SQRT(SUMSQ(Attributs!$BB$2:$BB$18)+SUMSQ(Attributs!$BC$2:$BC$18)))*(SQRT(SUMSQ(Attributs!$H$2:$H$18)+SUMSQ(Attributs!$I$2:$I$18)))),0)</f>
        <v/>
      </c>
      <c r="F28" s="2">
        <f>IFERROR((SUMPRODUCT(Attributs!$BB$2:$BB$18,Attributs!$J$2:$J$18)+SUMPRODUCT(Attributs!$BC$2:$BC$18,Attributs!$K$2:$K$18))/((SQRT(SUMSQ(Attributs!$BB$2:$BB$18)+SUMSQ(Attributs!$BC$2:$BC$18)))*(SQRT(SUMSQ(Attributs!$J$2:$J$18)+SUMSQ(Attributs!$K$2:$K$18)))),0)</f>
        <v/>
      </c>
      <c r="G28" s="2">
        <f>IFERROR((SUMPRODUCT(Attributs!$BB$2:$BB$18,Attributs!$L$2:$L$18)+SUMPRODUCT(Attributs!$BC$2:$BC$18,Attributs!$M$2:$M$18))/((SQRT(SUMSQ(Attributs!$BB$2:$BB$18)+SUMSQ(Attributs!$BC$2:$BC$18)))*(SQRT(SUMSQ(Attributs!$L$2:$L$18)+SUMSQ(Attributs!$M$2:$M$18)))),0)</f>
        <v/>
      </c>
      <c r="H28" s="2">
        <f>IFERROR((SUMPRODUCT(Attributs!$BB$2:$BB$18,Attributs!$N$2:$N$18)+SUMPRODUCT(Attributs!$BC$2:$BC$18,Attributs!$O$2:$O$18))/((SQRT(SUMSQ(Attributs!$BB$2:$BB$18)+SUMSQ(Attributs!$BC$2:$BC$18)))*(SQRT(SUMSQ(Attributs!$N$2:$N$18)+SUMSQ(Attributs!$O$2:$O$18)))),0)</f>
        <v/>
      </c>
      <c r="I28" s="2">
        <f>IFERROR((SUMPRODUCT(Attributs!$BB$2:$BB$18,Attributs!$P$2:$P$18)+SUMPRODUCT(Attributs!$BC$2:$BC$18,Attributs!$Q$2:$Q$18))/((SQRT(SUMSQ(Attributs!$BB$2:$BB$18)+SUMSQ(Attributs!$BC$2:$BC$18)))*(SQRT(SUMSQ(Attributs!$P$2:$P$18)+SUMSQ(Attributs!$Q$2:$Q$18)))),0)</f>
        <v/>
      </c>
      <c r="J28" s="2">
        <f>IFERROR((SUMPRODUCT(Attributs!$BB$2:$BB$18,Attributs!$R$2:$R$18)+SUMPRODUCT(Attributs!$BC$2:$BC$18,Attributs!$S$2:$S$18))/((SQRT(SUMSQ(Attributs!$BB$2:$BB$18)+SUMSQ(Attributs!$BC$2:$BC$18)))*(SQRT(SUMSQ(Attributs!$R$2:$R$18)+SUMSQ(Attributs!$S$2:$S$18)))),0)</f>
        <v/>
      </c>
      <c r="K28" s="2">
        <f>IFERROR((SUMPRODUCT(Attributs!$BB$2:$BB$18,Attributs!$T$2:$T$18)+SUMPRODUCT(Attributs!$BC$2:$BC$18,Attributs!$U$2:$U$18))/((SQRT(SUMSQ(Attributs!$BB$2:$BB$18)+SUMSQ(Attributs!$BC$2:$BC$18)))*(SQRT(SUMSQ(Attributs!$T$2:$T$18)+SUMSQ(Attributs!$U$2:$U$18)))),0)</f>
        <v/>
      </c>
      <c r="L28" s="2">
        <f>IFERROR((SUMPRODUCT(Attributs!$BB$2:$BB$18,Attributs!$V$2:$V$18)+SUMPRODUCT(Attributs!$BC$2:$BC$18,Attributs!$W$2:$W$18))/((SQRT(SUMSQ(Attributs!$BB$2:$BB$18)+SUMSQ(Attributs!$BC$2:$BC$18)))*(SQRT(SUMSQ(Attributs!$V$2:$V$18)+SUMSQ(Attributs!$W$2:$W$18)))),0)</f>
        <v/>
      </c>
      <c r="M28" s="2">
        <f>IFERROR((SUMPRODUCT(Attributs!$BB$2:$BB$18,Attributs!$X$2:$X$18)+SUMPRODUCT(Attributs!$BC$2:$BC$18,Attributs!$Y$2:$Y$18))/((SQRT(SUMSQ(Attributs!$BB$2:$BB$18)+SUMSQ(Attributs!$BC$2:$BC$18)))*(SQRT(SUMSQ(Attributs!$X$2:$X$18)+SUMSQ(Attributs!$Y$2:$Y$18)))),0)</f>
        <v/>
      </c>
      <c r="N28" s="2">
        <f>IFERROR((SUMPRODUCT(Attributs!$BB$2:$BB$18,Attributs!$Z$2:$Z$18)+SUMPRODUCT(Attributs!$BC$2:$BC$18,Attributs!$AA$2:$AA$18))/((SQRT(SUMSQ(Attributs!$BB$2:$BB$18)+SUMSQ(Attributs!$BC$2:$BC$18)))*(SQRT(SUMSQ(Attributs!$Z$2:$Z$18)+SUMSQ(Attributs!$AA$2:$AA$18)))),0)</f>
        <v/>
      </c>
      <c r="O28" s="2">
        <f>IFERROR((SUMPRODUCT(Attributs!$BB$2:$BB$18,Attributs!$AB$2:$AB$18)+SUMPRODUCT(Attributs!$BC$2:$BC$18,Attributs!$AC$2:$AC$18))/((SQRT(SUMSQ(Attributs!$BB$2:$BB$18)+SUMSQ(Attributs!$BC$2:$BC$18)))*(SQRT(SUMSQ(Attributs!$AB$2:$AB$18)+SUMSQ(Attributs!$AC$2:$AC$18)))),0)</f>
        <v/>
      </c>
      <c r="P28" s="2">
        <f>IFERROR((SUMPRODUCT(Attributs!$BB$2:$BB$18,Attributs!$AD$2:$AD$18)+SUMPRODUCT(Attributs!$BC$2:$BC$18,Attributs!$AE$2:$AE$18))/((SQRT(SUMSQ(Attributs!$BB$2:$BB$18)+SUMSQ(Attributs!$BC$2:$BC$18)))*(SQRT(SUMSQ(Attributs!$AD$2:$AD$18)+SUMSQ(Attributs!$AE$2:$AE$18)))),0)</f>
        <v/>
      </c>
      <c r="Q28" s="2">
        <f>IFERROR((SUMPRODUCT(Attributs!$BB$2:$BB$18,Attributs!$AF$2:$AF$18)+SUMPRODUCT(Attributs!$BC$2:$BC$18,Attributs!$AG$2:$AG$18))/((SQRT(SUMSQ(Attributs!$BB$2:$BB$18)+SUMSQ(Attributs!$BC$2:$BC$18)))*(SQRT(SUMSQ(Attributs!$AF$2:$AF$18)+SUMSQ(Attributs!$AG$2:$AG$18)))),0)</f>
        <v/>
      </c>
      <c r="R28" s="2">
        <f>IFERROR((SUMPRODUCT(Attributs!$BB$2:$BB$18,Attributs!$AH$2:$AH$18)+SUMPRODUCT(Attributs!$BC$2:$BC$18,Attributs!$AI$2:$AI$18))/((SQRT(SUMSQ(Attributs!$BB$2:$BB$18)+SUMSQ(Attributs!$BC$2:$BC$18)))*(SQRT(SUMSQ(Attributs!$AH$2:$AH$18)+SUMSQ(Attributs!$AI$2:$AI$18)))),0)</f>
        <v/>
      </c>
      <c r="S28" s="2">
        <f>IFERROR((SUMPRODUCT(Attributs!$BB$2:$BB$18,Attributs!$AJ$2:$AJ$18)+SUMPRODUCT(Attributs!$BC$2:$BC$18,Attributs!$AK$2:$AK$18))/((SQRT(SUMSQ(Attributs!$BB$2:$BB$18)+SUMSQ(Attributs!$BC$2:$BC$18)))*(SQRT(SUMSQ(Attributs!$AJ$2:$AJ$18)+SUMSQ(Attributs!$AK$2:$AK$18)))),0)</f>
        <v/>
      </c>
      <c r="T28" s="2">
        <f>IFERROR((SUMPRODUCT(Attributs!$BB$2:$BB$18,Attributs!$AL$2:$AL$18)+SUMPRODUCT(Attributs!$BC$2:$BC$18,Attributs!$AM$2:$AM$18))/((SQRT(SUMSQ(Attributs!$BB$2:$BB$18)+SUMSQ(Attributs!$BC$2:$BC$18)))*(SQRT(SUMSQ(Attributs!$AL$2:$AL$18)+SUMSQ(Attributs!$AM$2:$AM$18)))),0)</f>
        <v/>
      </c>
      <c r="U28" s="2">
        <f>IFERROR((SUMPRODUCT(Attributs!$BB$2:$BB$18,Attributs!$AN$2:$AN$18)+SUMPRODUCT(Attributs!$BC$2:$BC$18,Attributs!$AO$2:$AO$18))/((SQRT(SUMSQ(Attributs!$BB$2:$BB$18)+SUMSQ(Attributs!$BC$2:$BC$18)))*(SQRT(SUMSQ(Attributs!$AN$2:$AN$18)+SUMSQ(Attributs!$AO$2:$AO$18)))),0)</f>
        <v/>
      </c>
      <c r="V28" s="2">
        <f>IFERROR((SUMPRODUCT(Attributs!$BB$2:$BB$18,Attributs!$AP$2:$AP$18)+SUMPRODUCT(Attributs!$BC$2:$BC$18,Attributs!$AQ$2:$AQ$18))/((SQRT(SUMSQ(Attributs!$BB$2:$BB$18)+SUMSQ(Attributs!$BC$2:$BC$18)))*(SQRT(SUMSQ(Attributs!$AP$2:$AP$18)+SUMSQ(Attributs!$AQ$2:$AQ$18)))),0)</f>
        <v/>
      </c>
      <c r="W28" s="2">
        <f>IFERROR((SUMPRODUCT(Attributs!$BB$2:$BB$18,Attributs!$AR$2:$AR$18)+SUMPRODUCT(Attributs!$BC$2:$BC$18,Attributs!$AS$2:$AS$18))/((SQRT(SUMSQ(Attributs!$BB$2:$BB$18)+SUMSQ(Attributs!$BC$2:$BC$18)))*(SQRT(SUMSQ(Attributs!$AR$2:$AR$18)+SUMSQ(Attributs!$AS$2:$AS$18)))),0)</f>
        <v/>
      </c>
      <c r="X28" s="2">
        <f>IFERROR((SUMPRODUCT(Attributs!$BB$2:$BB$18,Attributs!$AT$2:$AT$18)+SUMPRODUCT(Attributs!$BC$2:$BC$18,Attributs!$AU$2:$AU$18))/((SQRT(SUMSQ(Attributs!$BB$2:$BB$18)+SUMSQ(Attributs!$BC$2:$BC$18)))*(SQRT(SUMSQ(Attributs!$AT$2:$AT$18)+SUMSQ(Attributs!$AU$2:$AU$18)))),0)</f>
        <v/>
      </c>
      <c r="Y28" s="2">
        <f>IFERROR((SUMPRODUCT(Attributs!$BB$2:$BB$18,Attributs!$AV$2:$AV$18)+SUMPRODUCT(Attributs!$BC$2:$BC$18,Attributs!$AW$2:$AW$18))/((SQRT(SUMSQ(Attributs!$BB$2:$BB$18)+SUMSQ(Attributs!$BC$2:$BC$18)))*(SQRT(SUMSQ(Attributs!$AV$2:$AV$18)+SUMSQ(Attributs!$AW$2:$AW$18)))),0)</f>
        <v/>
      </c>
      <c r="Z28" s="2">
        <f>IFERROR((SUMPRODUCT(Attributs!$BB$2:$BB$18,Attributs!$AX$2:$AX$18)+SUMPRODUCT(Attributs!$BC$2:$BC$18,Attributs!$AY$2:$AY$18))/((SQRT(SUMSQ(Attributs!$BB$2:$BB$18)+SUMSQ(Attributs!$BC$2:$BC$18)))*(SQRT(SUMSQ(Attributs!$AX$2:$AX$18)+SUMSQ(Attributs!$AY$2:$AY$18)))),0)</f>
        <v/>
      </c>
      <c r="AA28" s="2">
        <f>IFERROR((SUMPRODUCT(Attributs!$BB$2:$BB$18,Attributs!$AZ$2:$AZ$18)+SUMPRODUCT(Attributs!$BC$2:$BC$18,Attributs!$BA$2:$BA$18))/((SQRT(SUMSQ(Attributs!$BB$2:$BB$18)+SUMSQ(Attributs!$BC$2:$BC$18)))*(SQRT(SUMSQ(Attributs!$AZ$2:$AZ$18)+SUMSQ(Attributs!$BA$2:$BA$18)))),0)</f>
        <v/>
      </c>
      <c r="AB28" s="2">
        <f>IFERROR((SUMPRODUCT(Attributs!$BB$2:$BB$18,Attributs!$BB$2:$BB$18)+SUMPRODUCT(Attributs!$BC$2:$BC$18,Attributs!$BC$2:$BC$18))/((SQRT(SUMSQ(Attributs!$BB$2:$BB$18)+SUMSQ(Attributs!$BC$2:$BC$18)))*(SQRT(SUMSQ(Attributs!$BB$2:$BB$18)+SUMSQ(Attributs!$BC$2:$BC$18)))),0)</f>
        <v/>
      </c>
      <c r="AC28" s="2">
        <f>IFERROR((SUMPRODUCT(Attributs!$BB$2:$BB$18,Attributs!$BD$2:$BD$18)+SUMPRODUCT(Attributs!$BC$2:$BC$18,Attributs!$BE$2:$BE$18))/((SQRT(SUMSQ(Attributs!$BB$2:$BB$18)+SUMSQ(Attributs!$BC$2:$BC$18)))*(SQRT(SUMSQ(Attributs!$BD$2:$BD$18)+SUMSQ(Attributs!$BE$2:$BE$18)))),0)</f>
        <v/>
      </c>
      <c r="AD28" s="2">
        <f>IFERROR((SUMPRODUCT(Attributs!$BB$2:$BB$18,Attributs!$BF$2:$BF$18)+SUMPRODUCT(Attributs!$BC$2:$BC$18,Attributs!$BG$2:$BG$18))/((SQRT(SUMSQ(Attributs!$BB$2:$BB$18)+SUMSQ(Attributs!$BC$2:$BC$18)))*(SQRT(SUMSQ(Attributs!$BF$2:$BF$18)+SUMSQ(Attributs!$BG$2:$BG$18)))),0)</f>
        <v/>
      </c>
      <c r="AE28" s="2">
        <f>IFERROR((SUMPRODUCT(Attributs!$BB$2:$BB$18,Attributs!$BH$2:$BH$18)+SUMPRODUCT(Attributs!$BC$2:$BC$18,Attributs!$BI$2:$BI$18))/((SQRT(SUMSQ(Attributs!$BB$2:$BB$18)+SUMSQ(Attributs!$BC$2:$BC$18)))*(SQRT(SUMSQ(Attributs!$BH$2:$BH$18)+SUMSQ(Attributs!$BI$2:$BI$18)))),0)</f>
        <v/>
      </c>
      <c r="AF28" s="2">
        <f>IFERROR((SUMPRODUCT(Attributs!$BB$2:$BB$18,Attributs!$BJ$2:$BJ$18)+SUMPRODUCT(Attributs!$BC$2:$BC$18,Attributs!$BK$2:$BK$18))/((SQRT(SUMSQ(Attributs!$BB$2:$BB$18)+SUMSQ(Attributs!$BC$2:$BC$18)))*(SQRT(SUMSQ(Attributs!$BJ$2:$BJ$18)+SUMSQ(Attributs!$BK$2:$BK$18)))),0)</f>
        <v/>
      </c>
      <c r="AG28" s="2">
        <f>IFERROR((SUMPRODUCT(Attributs!$BB$2:$BB$18,Attributs!$BL$2:$BL$18)+SUMPRODUCT(Attributs!$BC$2:$BC$18,Attributs!$BM$2:$BM$18))/((SQRT(SUMSQ(Attributs!$BB$2:$BB$18)+SUMSQ(Attributs!$BC$2:$BC$18)))*(SQRT(SUMSQ(Attributs!$BL$2:$BL$18)+SUMSQ(Attributs!$BM$2:$BM$18)))),0)</f>
        <v/>
      </c>
      <c r="AH28" s="2">
        <f>IFERROR((SUMPRODUCT(Attributs!$BB$2:$BB$18,Attributs!$BN$2:$BN$18)+SUMPRODUCT(Attributs!$BC$2:$BC$18,Attributs!$BO$2:$BO$18))/((SQRT(SUMSQ(Attributs!$BB$2:$BB$18)+SUMSQ(Attributs!$BC$2:$BC$18)))*(SQRT(SUMSQ(Attributs!$BN$2:$BN$18)+SUMSQ(Attributs!$BO$2:$BO$18)))),0)</f>
        <v/>
      </c>
      <c r="AI28" s="2">
        <f>IFERROR((SUMPRODUCT(Attributs!$BB$2:$BB$18,Attributs!$BP$2:$BP$18)+SUMPRODUCT(Attributs!$BC$2:$BC$18,Attributs!$BQ$2:$BQ$18))/((SQRT(SUMSQ(Attributs!$BB$2:$BB$18)+SUMSQ(Attributs!$BC$2:$BC$18)))*(SQRT(SUMSQ(Attributs!$BP$2:$BP$18)+SUMSQ(Attributs!$BQ$2:$BQ$18)))),0)</f>
        <v/>
      </c>
      <c r="AJ28" s="2">
        <f>IFERROR((SUMPRODUCT(Attributs!$BB$2:$BB$18,Attributs!$BR$2:$BR$18)+SUMPRODUCT(Attributs!$BC$2:$BC$18,Attributs!$BS$2:$BS$18))/((SQRT(SUMSQ(Attributs!$BB$2:$BB$18)+SUMSQ(Attributs!$BC$2:$BC$18)))*(SQRT(SUMSQ(Attributs!$BR$2:$BR$18)+SUMSQ(Attributs!$BS$2:$BS$18)))),0)</f>
        <v/>
      </c>
      <c r="AK28" s="2">
        <f>IFERROR((SUMPRODUCT(Attributs!$BB$2:$BB$18,Attributs!$BT$2:$BT$18)+SUMPRODUCT(Attributs!$BC$2:$BC$18,Attributs!$BU$2:$BU$18))/((SQRT(SUMSQ(Attributs!$BB$2:$BB$18)+SUMSQ(Attributs!$BC$2:$BC$18)))*(SQRT(SUMSQ(Attributs!$BT$2:$BT$18)+SUMSQ(Attributs!$BU$2:$BU$18)))),0)</f>
        <v/>
      </c>
      <c r="AL28" s="2">
        <f>IFERROR((SUMPRODUCT(Attributs!$BB$2:$BB$18,Attributs!$BV$2:$BV$18)+SUMPRODUCT(Attributs!$BC$2:$BC$18,Attributs!$BW$2:$BW$18))/((SQRT(SUMSQ(Attributs!$BB$2:$BB$18)+SUMSQ(Attributs!$BC$2:$BC$18)))*(SQRT(SUMSQ(Attributs!$BV$2:$BV$18)+SUMSQ(Attributs!$BW$2:$BW$18)))),0)</f>
        <v/>
      </c>
      <c r="AM28" s="2">
        <f>IFERROR((SUMPRODUCT(Attributs!$BB$2:$BB$18,Attributs!$BX$2:$BX$18)+SUMPRODUCT(Attributs!$BC$2:$BC$18,Attributs!$BY$2:$BY$18))/((SQRT(SUMSQ(Attributs!$BB$2:$BB$18)+SUMSQ(Attributs!$BC$2:$BC$18)))*(SQRT(SUMSQ(Attributs!$BX$2:$BX$18)+SUMSQ(Attributs!$BY$2:$BY$18)))),0)</f>
        <v/>
      </c>
      <c r="AN28" s="2">
        <f>IFERROR((SUMPRODUCT(Attributs!$BB$2:$BB$18,Attributs!$BZ$2:$BZ$18)+SUMPRODUCT(Attributs!$BC$2:$BC$18,Attributs!$CA$2:$CA$18))/((SQRT(SUMSQ(Attributs!$BB$2:$BB$18)+SUMSQ(Attributs!$BC$2:$BC$18)))*(SQRT(SUMSQ(Attributs!$BZ$2:$BZ$18)+SUMSQ(Attributs!$CA$2:$CA$18)))),0)</f>
        <v/>
      </c>
      <c r="AO28" s="2">
        <f>IFERROR((SUMPRODUCT(Attributs!$BB$2:$BB$18,Attributs!$CB$2:$CB$18)+SUMPRODUCT(Attributs!$BC$2:$BC$18,Attributs!$CC$2:$CC$18))/((SQRT(SUMSQ(Attributs!$BB$2:$BB$18)+SUMSQ(Attributs!$BC$2:$BC$18)))*(SQRT(SUMSQ(Attributs!$CB$2:$CB$18)+SUMSQ(Attributs!$CC$2:$CC$18)))),0)</f>
        <v/>
      </c>
      <c r="AP28" s="2">
        <f>IFERROR((SUMPRODUCT(Attributs!$BB$2:$BB$18,Attributs!$CD$2:$CD$18)+SUMPRODUCT(Attributs!$BC$2:$BC$18,Attributs!$CE$2:$CE$18))/((SQRT(SUMSQ(Attributs!$BB$2:$BB$18)+SUMSQ(Attributs!$BC$2:$BC$18)))*(SQRT(SUMSQ(Attributs!$CD$2:$CD$18)+SUMSQ(Attributs!$CE$2:$CE$18)))),0)</f>
        <v/>
      </c>
      <c r="AQ28" s="2">
        <f>IFERROR((SUMPRODUCT(Attributs!$BB$2:$BB$18,Attributs!$CF$2:$CF$18)+SUMPRODUCT(Attributs!$BC$2:$BC$18,Attributs!$CG$2:$CG$18))/((SQRT(SUMSQ(Attributs!$BB$2:$BB$18)+SUMSQ(Attributs!$BC$2:$BC$18)))*(SQRT(SUMSQ(Attributs!$CF$2:$CF$18)+SUMSQ(Attributs!$CG$2:$CG$18)))),0)</f>
        <v/>
      </c>
      <c r="AR28" s="2">
        <f>IFERROR((SUMPRODUCT(Attributs!$BB$2:$BB$18,Attributs!$CH$2:$CH$18)+SUMPRODUCT(Attributs!$BC$2:$BC$18,Attributs!$CI$2:$CI$18))/((SQRT(SUMSQ(Attributs!$BB$2:$BB$18)+SUMSQ(Attributs!$BC$2:$BC$18)))*(SQRT(SUMSQ(Attributs!$CH$2:$CH$18)+SUMSQ(Attributs!$CI$2:$CI$18)))),0)</f>
        <v/>
      </c>
      <c r="AS28" s="2">
        <f>IFERROR((SUMPRODUCT(Attributs!$BB$2:$BB$18,Attributs!$CJ$2:$CJ$18)+SUMPRODUCT(Attributs!$BC$2:$BC$18,Attributs!$CK$2:$CK$18))/((SQRT(SUMSQ(Attributs!$BB$2:$BB$18)+SUMSQ(Attributs!$BC$2:$BC$18)))*(SQRT(SUMSQ(Attributs!$CJ$2:$CJ$18)+SUMSQ(Attributs!$CK$2:$CK$18)))),0)</f>
        <v/>
      </c>
      <c r="AT28" s="2">
        <f>IFERROR((SUMPRODUCT(Attributs!$BB$2:$BB$18,Attributs!$CL$2:$CL$18)+SUMPRODUCT(Attributs!$BC$2:$BC$18,Attributs!$CM$2:$CM$18))/((SQRT(SUMSQ(Attributs!$BB$2:$BB$18)+SUMSQ(Attributs!$BC$2:$BC$18)))*(SQRT(SUMSQ(Attributs!$CL$2:$CL$18)+SUMSQ(Attributs!$CM$2:$CM$18)))),0)</f>
        <v/>
      </c>
      <c r="AU28" s="2">
        <f>IFERROR((SUMPRODUCT(Attributs!$BB$2:$BB$18,Attributs!$CN$2:$CN$18)+SUMPRODUCT(Attributs!$BC$2:$BC$18,Attributs!$CO$2:$CO$18))/((SQRT(SUMSQ(Attributs!$BB$2:$BB$18)+SUMSQ(Attributs!$BC$2:$BC$18)))*(SQRT(SUMSQ(Attributs!$CN$2:$CN$18)+SUMSQ(Attributs!$CO$2:$CO$18)))),0)</f>
        <v/>
      </c>
      <c r="AV28" s="2">
        <f>IFERROR((SUMPRODUCT(Attributs!$BB$2:$BB$18,Attributs!$CP$2:$CP$18)+SUMPRODUCT(Attributs!$BC$2:$BC$18,Attributs!$CQ$2:$CQ$18))/((SQRT(SUMSQ(Attributs!$BB$2:$BB$18)+SUMSQ(Attributs!$BC$2:$BC$18)))*(SQRT(SUMSQ(Attributs!$CP$2:$CP$18)+SUMSQ(Attributs!$CQ$2:$CQ$18)))),0)</f>
        <v/>
      </c>
      <c r="AW28" s="2">
        <f>IFERROR((SUMPRODUCT(Attributs!$BB$2:$BB$18,Attributs!$CR$2:$CR$18)+SUMPRODUCT(Attributs!$BC$2:$BC$18,Attributs!$CS$2:$CS$18))/((SQRT(SUMSQ(Attributs!$BB$2:$BB$18)+SUMSQ(Attributs!$BC$2:$BC$18)))*(SQRT(SUMSQ(Attributs!$CR$2:$CR$18)+SUMSQ(Attributs!$CS$2:$CS$18)))),0)</f>
        <v/>
      </c>
      <c r="AX28" s="2">
        <f>IFERROR((SUMPRODUCT(Attributs!$BB$2:$BB$18,Attributs!$CT$2:$CT$18)+SUMPRODUCT(Attributs!$BC$2:$BC$18,Attributs!$CU$2:$CU$18))/((SQRT(SUMSQ(Attributs!$BB$2:$BB$18)+SUMSQ(Attributs!$BC$2:$BC$18)))*(SQRT(SUMSQ(Attributs!$CT$2:$CT$18)+SUMSQ(Attributs!$CU$2:$CU$18)))),0)</f>
        <v/>
      </c>
      <c r="AY28" s="2">
        <f>IFERROR((SUMPRODUCT(Attributs!$BB$2:$BB$18,Attributs!$CV$2:$CV$18)+SUMPRODUCT(Attributs!$BC$2:$BC$18,Attributs!$CW$2:$CW$18))/((SQRT(SUMSQ(Attributs!$BB$2:$BB$18)+SUMSQ(Attributs!$BC$2:$BC$18)))*(SQRT(SUMSQ(Attributs!$CV$2:$CV$18)+SUMSQ(Attributs!$CW$2:$CW$18)))),0)</f>
        <v/>
      </c>
      <c r="AZ28" s="2">
        <f>IFERROR((SUMPRODUCT(Attributs!$BB$2:$BB$18,Attributs!$CX$2:$CX$18)+SUMPRODUCT(Attributs!$BC$2:$BC$18,Attributs!$CY$2:$CY$18))/((SQRT(SUMSQ(Attributs!$BB$2:$BB$18)+SUMSQ(Attributs!$BC$2:$BC$18)))*(SQRT(SUMSQ(Attributs!$CX$2:$CX$18)+SUMSQ(Attributs!$CY$2:$CY$18)))),0)</f>
        <v/>
      </c>
      <c r="BA28" s="2">
        <f>IFERROR((SUMPRODUCT(Attributs!$BB$2:$BB$18,Attributs!$CZ$2:$CZ$18)+SUMPRODUCT(Attributs!$BC$2:$BC$18,Attributs!$DA$2:$DA$18))/((SQRT(SUMSQ(Attributs!$BB$2:$BB$18)+SUMSQ(Attributs!$BC$2:$BC$18)))*(SQRT(SUMSQ(Attributs!$CZ$2:$CZ$18)+SUMSQ(Attributs!$DA$2:$DA$18)))),0)</f>
        <v/>
      </c>
      <c r="BB28" s="2">
        <f>IFERROR((SUMPRODUCT(Attributs!$BB$2:$BB$18,Attributs!$DB$2:$DB$18)+SUMPRODUCT(Attributs!$BC$2:$BC$18,Attributs!$DC$2:$DC$18))/((SQRT(SUMSQ(Attributs!$BB$2:$BB$18)+SUMSQ(Attributs!$BC$2:$BC$18)))*(SQRT(SUMSQ(Attributs!$DB$2:$DB$18)+SUMSQ(Attributs!$DC$2:$DC$18)))),0)</f>
        <v/>
      </c>
      <c r="BC28" s="2">
        <f>IFERROR((SUMPRODUCT(Attributs!$BB$2:$BB$18,Attributs!$DD$2:$DD$18)+SUMPRODUCT(Attributs!$BC$2:$BC$18,Attributs!$DE$2:$DE$18))/((SQRT(SUMSQ(Attributs!$BB$2:$BB$18)+SUMSQ(Attributs!$BC$2:$BC$18)))*(SQRT(SUMSQ(Attributs!$DD$2:$DD$18)+SUMSQ(Attributs!$DE$2:$DE$18)))),0)</f>
        <v/>
      </c>
      <c r="BD28" s="2">
        <f>IFERROR((SUMPRODUCT(Attributs!$BB$2:$BB$18,Attributs!$DF$2:$DF$18)+SUMPRODUCT(Attributs!$BC$2:$BC$18,Attributs!$DG$2:$DG$18))/((SQRT(SUMSQ(Attributs!$BB$2:$BB$18)+SUMSQ(Attributs!$BC$2:$BC$18)))*(SQRT(SUMSQ(Attributs!$DF$2:$DF$18)+SUMSQ(Attributs!$DG$2:$DG$18)))),0)</f>
        <v/>
      </c>
      <c r="BE28" s="2">
        <f>IFERROR((SUMPRODUCT(Attributs!$BB$2:$BB$18,Attributs!$DH$2:$DH$18)+SUMPRODUCT(Attributs!$BC$2:$BC$18,Attributs!$DI$2:$DI$18))/((SQRT(SUMSQ(Attributs!$BB$2:$BB$18)+SUMSQ(Attributs!$BC$2:$BC$18)))*(SQRT(SUMSQ(Attributs!$DH$2:$DH$18)+SUMSQ(Attributs!$DI$2:$DI$18)))),0)</f>
        <v/>
      </c>
      <c r="BF28" s="2">
        <f>IFERROR((SUMPRODUCT(Attributs!$BB$2:$BB$18,Attributs!$DJ$2:$DJ$18)+SUMPRODUCT(Attributs!$BC$2:$BC$18,Attributs!$DK$2:$DK$18))/((SQRT(SUMSQ(Attributs!$BB$2:$BB$18)+SUMSQ(Attributs!$BC$2:$BC$18)))*(SQRT(SUMSQ(Attributs!$DJ$2:$DJ$18)+SUMSQ(Attributs!$DK$2:$DK$18)))),0)</f>
        <v/>
      </c>
      <c r="BG28" s="2">
        <f>IFERROR((SUMPRODUCT(Attributs!$BB$2:$BB$18,Attributs!$DL$2:$DL$18)+SUMPRODUCT(Attributs!$BC$2:$BC$18,Attributs!$DM$2:$DM$18))/((SQRT(SUMSQ(Attributs!$BB$2:$BB$18)+SUMSQ(Attributs!$BC$2:$BC$18)))*(SQRT(SUMSQ(Attributs!$DL$2:$DL$18)+SUMSQ(Attributs!$DM$2:$DM$18)))),0)</f>
        <v/>
      </c>
      <c r="BH28" s="2">
        <f>IFERROR((SUMPRODUCT(Attributs!$BB$2:$BB$18,Attributs!$DN$2:$DN$18)+SUMPRODUCT(Attributs!$BC$2:$BC$18,Attributs!$DO$2:$DO$18))/((SQRT(SUMSQ(Attributs!$BB$2:$BB$18)+SUMSQ(Attributs!$BC$2:$BC$18)))*(SQRT(SUMSQ(Attributs!$DN$2:$DN$18)+SUMSQ(Attributs!$DO$2:$DO$18)))),0)</f>
        <v/>
      </c>
      <c r="BI28" s="2">
        <f>IFERROR((SUMPRODUCT(Attributs!$BB$2:$BB$18,Attributs!$DP$2:$DP$18)+SUMPRODUCT(Attributs!$BC$2:$BC$18,Attributs!$DQ$2:$DQ$18))/((SQRT(SUMSQ(Attributs!$BB$2:$BB$18)+SUMSQ(Attributs!$BC$2:$BC$18)))*(SQRT(SUMSQ(Attributs!$DP$2:$DP$18)+SUMSQ(Attributs!$DQ$2:$DQ$18)))),0)</f>
        <v/>
      </c>
      <c r="BJ28" s="2">
        <f>IFERROR((SUMPRODUCT(Attributs!$BB$2:$BB$18,Attributs!$DR$2:$DR$18)+SUMPRODUCT(Attributs!$BC$2:$BC$18,Attributs!$DS$2:$DS$18))/((SQRT(SUMSQ(Attributs!$BB$2:$BB$18)+SUMSQ(Attributs!$BC$2:$BC$18)))*(SQRT(SUMSQ(Attributs!$DR$2:$DR$18)+SUMSQ(Attributs!$DS$2:$DS$18)))),0)</f>
        <v/>
      </c>
      <c r="BK28" s="2">
        <f>IFERROR((SUMPRODUCT(Attributs!$BB$2:$BB$18,Attributs!$DT$2:$DT$18)+SUMPRODUCT(Attributs!$BC$2:$BC$18,Attributs!$DU$2:$DU$18))/((SQRT(SUMSQ(Attributs!$BB$2:$BB$18)+SUMSQ(Attributs!$BC$2:$BC$18)))*(SQRT(SUMSQ(Attributs!$DT$2:$DT$18)+SUMSQ(Attributs!$DU$2:$DU$18)))),0)</f>
        <v/>
      </c>
      <c r="BL28" s="2">
        <f>IFERROR((SUMPRODUCT(Attributs!$BB$2:$BB$18,Attributs!$DV$2:$DV$18)+SUMPRODUCT(Attributs!$BC$2:$BC$18,Attributs!$DW$2:$DW$18))/((SQRT(SUMSQ(Attributs!$BB$2:$BB$18)+SUMSQ(Attributs!$BC$2:$BC$18)))*(SQRT(SUMSQ(Attributs!$DV$2:$DV$18)+SUMSQ(Attributs!$DW$2:$DW$18)))),0)</f>
        <v/>
      </c>
    </row>
    <row r="29">
      <c r="A29" s="3" t="inlineStr">
        <is>
          <t>SE_mongodb.Badges.Id</t>
        </is>
      </c>
      <c r="B29" s="2">
        <f>IFERROR((SUMPRODUCT(Attributs!$BD$2:$BD$18,Attributs!$B$2:$B$18)+SUMPRODUCT(Attributs!$BE$2:$BE$18,Attributs!$C$2:$C$18))/((SQRT(SUMSQ(Attributs!$BD$2:$BD$18)+SUMSQ(Attributs!$BE$2:$BE$18)))*(SQRT(SUMSQ(Attributs!$B$2:$B$18)+SUMSQ(Attributs!$C$2:$C$18)))),0)</f>
        <v/>
      </c>
      <c r="C29" s="2">
        <f>IFERROR((SUMPRODUCT(Attributs!$BD$2:$BD$18,Attributs!$D$2:$D$18)+SUMPRODUCT(Attributs!$BE$2:$BE$18,Attributs!$E$2:$E$18))/((SQRT(SUMSQ(Attributs!$BD$2:$BD$18)+SUMSQ(Attributs!$BE$2:$BE$18)))*(SQRT(SUMSQ(Attributs!$D$2:$D$18)+SUMSQ(Attributs!$E$2:$E$18)))),0)</f>
        <v/>
      </c>
      <c r="D29" s="2">
        <f>IFERROR((SUMPRODUCT(Attributs!$BD$2:$BD$18,Attributs!$F$2:$F$18)+SUMPRODUCT(Attributs!$BE$2:$BE$18,Attributs!$G$2:$G$18))/((SQRT(SUMSQ(Attributs!$BD$2:$BD$18)+SUMSQ(Attributs!$BE$2:$BE$18)))*(SQRT(SUMSQ(Attributs!$F$2:$F$18)+SUMSQ(Attributs!$G$2:$G$18)))),0)</f>
        <v/>
      </c>
      <c r="E29" s="2">
        <f>IFERROR((SUMPRODUCT(Attributs!$BD$2:$BD$18,Attributs!$H$2:$H$18)+SUMPRODUCT(Attributs!$BE$2:$BE$18,Attributs!$I$2:$I$18))/((SQRT(SUMSQ(Attributs!$BD$2:$BD$18)+SUMSQ(Attributs!$BE$2:$BE$18)))*(SQRT(SUMSQ(Attributs!$H$2:$H$18)+SUMSQ(Attributs!$I$2:$I$18)))),0)</f>
        <v/>
      </c>
      <c r="F29" s="2">
        <f>IFERROR((SUMPRODUCT(Attributs!$BD$2:$BD$18,Attributs!$J$2:$J$18)+SUMPRODUCT(Attributs!$BE$2:$BE$18,Attributs!$K$2:$K$18))/((SQRT(SUMSQ(Attributs!$BD$2:$BD$18)+SUMSQ(Attributs!$BE$2:$BE$18)))*(SQRT(SUMSQ(Attributs!$J$2:$J$18)+SUMSQ(Attributs!$K$2:$K$18)))),0)</f>
        <v/>
      </c>
      <c r="G29" s="2">
        <f>IFERROR((SUMPRODUCT(Attributs!$BD$2:$BD$18,Attributs!$L$2:$L$18)+SUMPRODUCT(Attributs!$BE$2:$BE$18,Attributs!$M$2:$M$18))/((SQRT(SUMSQ(Attributs!$BD$2:$BD$18)+SUMSQ(Attributs!$BE$2:$BE$18)))*(SQRT(SUMSQ(Attributs!$L$2:$L$18)+SUMSQ(Attributs!$M$2:$M$18)))),0)</f>
        <v/>
      </c>
      <c r="H29" s="2">
        <f>IFERROR((SUMPRODUCT(Attributs!$BD$2:$BD$18,Attributs!$N$2:$N$18)+SUMPRODUCT(Attributs!$BE$2:$BE$18,Attributs!$O$2:$O$18))/((SQRT(SUMSQ(Attributs!$BD$2:$BD$18)+SUMSQ(Attributs!$BE$2:$BE$18)))*(SQRT(SUMSQ(Attributs!$N$2:$N$18)+SUMSQ(Attributs!$O$2:$O$18)))),0)</f>
        <v/>
      </c>
      <c r="I29" s="2">
        <f>IFERROR((SUMPRODUCT(Attributs!$BD$2:$BD$18,Attributs!$P$2:$P$18)+SUMPRODUCT(Attributs!$BE$2:$BE$18,Attributs!$Q$2:$Q$18))/((SQRT(SUMSQ(Attributs!$BD$2:$BD$18)+SUMSQ(Attributs!$BE$2:$BE$18)))*(SQRT(SUMSQ(Attributs!$P$2:$P$18)+SUMSQ(Attributs!$Q$2:$Q$18)))),0)</f>
        <v/>
      </c>
      <c r="J29" s="2">
        <f>IFERROR((SUMPRODUCT(Attributs!$BD$2:$BD$18,Attributs!$R$2:$R$18)+SUMPRODUCT(Attributs!$BE$2:$BE$18,Attributs!$S$2:$S$18))/((SQRT(SUMSQ(Attributs!$BD$2:$BD$18)+SUMSQ(Attributs!$BE$2:$BE$18)))*(SQRT(SUMSQ(Attributs!$R$2:$R$18)+SUMSQ(Attributs!$S$2:$S$18)))),0)</f>
        <v/>
      </c>
      <c r="K29" s="2">
        <f>IFERROR((SUMPRODUCT(Attributs!$BD$2:$BD$18,Attributs!$T$2:$T$18)+SUMPRODUCT(Attributs!$BE$2:$BE$18,Attributs!$U$2:$U$18))/((SQRT(SUMSQ(Attributs!$BD$2:$BD$18)+SUMSQ(Attributs!$BE$2:$BE$18)))*(SQRT(SUMSQ(Attributs!$T$2:$T$18)+SUMSQ(Attributs!$U$2:$U$18)))),0)</f>
        <v/>
      </c>
      <c r="L29" s="2">
        <f>IFERROR((SUMPRODUCT(Attributs!$BD$2:$BD$18,Attributs!$V$2:$V$18)+SUMPRODUCT(Attributs!$BE$2:$BE$18,Attributs!$W$2:$W$18))/((SQRT(SUMSQ(Attributs!$BD$2:$BD$18)+SUMSQ(Attributs!$BE$2:$BE$18)))*(SQRT(SUMSQ(Attributs!$V$2:$V$18)+SUMSQ(Attributs!$W$2:$W$18)))),0)</f>
        <v/>
      </c>
      <c r="M29" s="2">
        <f>IFERROR((SUMPRODUCT(Attributs!$BD$2:$BD$18,Attributs!$X$2:$X$18)+SUMPRODUCT(Attributs!$BE$2:$BE$18,Attributs!$Y$2:$Y$18))/((SQRT(SUMSQ(Attributs!$BD$2:$BD$18)+SUMSQ(Attributs!$BE$2:$BE$18)))*(SQRT(SUMSQ(Attributs!$X$2:$X$18)+SUMSQ(Attributs!$Y$2:$Y$18)))),0)</f>
        <v/>
      </c>
      <c r="N29" s="2">
        <f>IFERROR((SUMPRODUCT(Attributs!$BD$2:$BD$18,Attributs!$Z$2:$Z$18)+SUMPRODUCT(Attributs!$BE$2:$BE$18,Attributs!$AA$2:$AA$18))/((SQRT(SUMSQ(Attributs!$BD$2:$BD$18)+SUMSQ(Attributs!$BE$2:$BE$18)))*(SQRT(SUMSQ(Attributs!$Z$2:$Z$18)+SUMSQ(Attributs!$AA$2:$AA$18)))),0)</f>
        <v/>
      </c>
      <c r="O29" s="2">
        <f>IFERROR((SUMPRODUCT(Attributs!$BD$2:$BD$18,Attributs!$AB$2:$AB$18)+SUMPRODUCT(Attributs!$BE$2:$BE$18,Attributs!$AC$2:$AC$18))/((SQRT(SUMSQ(Attributs!$BD$2:$BD$18)+SUMSQ(Attributs!$BE$2:$BE$18)))*(SQRT(SUMSQ(Attributs!$AB$2:$AB$18)+SUMSQ(Attributs!$AC$2:$AC$18)))),0)</f>
        <v/>
      </c>
      <c r="P29" s="2">
        <f>IFERROR((SUMPRODUCT(Attributs!$BD$2:$BD$18,Attributs!$AD$2:$AD$18)+SUMPRODUCT(Attributs!$BE$2:$BE$18,Attributs!$AE$2:$AE$18))/((SQRT(SUMSQ(Attributs!$BD$2:$BD$18)+SUMSQ(Attributs!$BE$2:$BE$18)))*(SQRT(SUMSQ(Attributs!$AD$2:$AD$18)+SUMSQ(Attributs!$AE$2:$AE$18)))),0)</f>
        <v/>
      </c>
      <c r="Q29" s="2">
        <f>IFERROR((SUMPRODUCT(Attributs!$BD$2:$BD$18,Attributs!$AF$2:$AF$18)+SUMPRODUCT(Attributs!$BE$2:$BE$18,Attributs!$AG$2:$AG$18))/((SQRT(SUMSQ(Attributs!$BD$2:$BD$18)+SUMSQ(Attributs!$BE$2:$BE$18)))*(SQRT(SUMSQ(Attributs!$AF$2:$AF$18)+SUMSQ(Attributs!$AG$2:$AG$18)))),0)</f>
        <v/>
      </c>
      <c r="R29" s="2">
        <f>IFERROR((SUMPRODUCT(Attributs!$BD$2:$BD$18,Attributs!$AH$2:$AH$18)+SUMPRODUCT(Attributs!$BE$2:$BE$18,Attributs!$AI$2:$AI$18))/((SQRT(SUMSQ(Attributs!$BD$2:$BD$18)+SUMSQ(Attributs!$BE$2:$BE$18)))*(SQRT(SUMSQ(Attributs!$AH$2:$AH$18)+SUMSQ(Attributs!$AI$2:$AI$18)))),0)</f>
        <v/>
      </c>
      <c r="S29" s="2">
        <f>IFERROR((SUMPRODUCT(Attributs!$BD$2:$BD$18,Attributs!$AJ$2:$AJ$18)+SUMPRODUCT(Attributs!$BE$2:$BE$18,Attributs!$AK$2:$AK$18))/((SQRT(SUMSQ(Attributs!$BD$2:$BD$18)+SUMSQ(Attributs!$BE$2:$BE$18)))*(SQRT(SUMSQ(Attributs!$AJ$2:$AJ$18)+SUMSQ(Attributs!$AK$2:$AK$18)))),0)</f>
        <v/>
      </c>
      <c r="T29" s="2">
        <f>IFERROR((SUMPRODUCT(Attributs!$BD$2:$BD$18,Attributs!$AL$2:$AL$18)+SUMPRODUCT(Attributs!$BE$2:$BE$18,Attributs!$AM$2:$AM$18))/((SQRT(SUMSQ(Attributs!$BD$2:$BD$18)+SUMSQ(Attributs!$BE$2:$BE$18)))*(SQRT(SUMSQ(Attributs!$AL$2:$AL$18)+SUMSQ(Attributs!$AM$2:$AM$18)))),0)</f>
        <v/>
      </c>
      <c r="U29" s="2">
        <f>IFERROR((SUMPRODUCT(Attributs!$BD$2:$BD$18,Attributs!$AN$2:$AN$18)+SUMPRODUCT(Attributs!$BE$2:$BE$18,Attributs!$AO$2:$AO$18))/((SQRT(SUMSQ(Attributs!$BD$2:$BD$18)+SUMSQ(Attributs!$BE$2:$BE$18)))*(SQRT(SUMSQ(Attributs!$AN$2:$AN$18)+SUMSQ(Attributs!$AO$2:$AO$18)))),0)</f>
        <v/>
      </c>
      <c r="V29" s="2">
        <f>IFERROR((SUMPRODUCT(Attributs!$BD$2:$BD$18,Attributs!$AP$2:$AP$18)+SUMPRODUCT(Attributs!$BE$2:$BE$18,Attributs!$AQ$2:$AQ$18))/((SQRT(SUMSQ(Attributs!$BD$2:$BD$18)+SUMSQ(Attributs!$BE$2:$BE$18)))*(SQRT(SUMSQ(Attributs!$AP$2:$AP$18)+SUMSQ(Attributs!$AQ$2:$AQ$18)))),0)</f>
        <v/>
      </c>
      <c r="W29" s="2">
        <f>IFERROR((SUMPRODUCT(Attributs!$BD$2:$BD$18,Attributs!$AR$2:$AR$18)+SUMPRODUCT(Attributs!$BE$2:$BE$18,Attributs!$AS$2:$AS$18))/((SQRT(SUMSQ(Attributs!$BD$2:$BD$18)+SUMSQ(Attributs!$BE$2:$BE$18)))*(SQRT(SUMSQ(Attributs!$AR$2:$AR$18)+SUMSQ(Attributs!$AS$2:$AS$18)))),0)</f>
        <v/>
      </c>
      <c r="X29" s="2">
        <f>IFERROR((SUMPRODUCT(Attributs!$BD$2:$BD$18,Attributs!$AT$2:$AT$18)+SUMPRODUCT(Attributs!$BE$2:$BE$18,Attributs!$AU$2:$AU$18))/((SQRT(SUMSQ(Attributs!$BD$2:$BD$18)+SUMSQ(Attributs!$BE$2:$BE$18)))*(SQRT(SUMSQ(Attributs!$AT$2:$AT$18)+SUMSQ(Attributs!$AU$2:$AU$18)))),0)</f>
        <v/>
      </c>
      <c r="Y29" s="2">
        <f>IFERROR((SUMPRODUCT(Attributs!$BD$2:$BD$18,Attributs!$AV$2:$AV$18)+SUMPRODUCT(Attributs!$BE$2:$BE$18,Attributs!$AW$2:$AW$18))/((SQRT(SUMSQ(Attributs!$BD$2:$BD$18)+SUMSQ(Attributs!$BE$2:$BE$18)))*(SQRT(SUMSQ(Attributs!$AV$2:$AV$18)+SUMSQ(Attributs!$AW$2:$AW$18)))),0)</f>
        <v/>
      </c>
      <c r="Z29" s="2">
        <f>IFERROR((SUMPRODUCT(Attributs!$BD$2:$BD$18,Attributs!$AX$2:$AX$18)+SUMPRODUCT(Attributs!$BE$2:$BE$18,Attributs!$AY$2:$AY$18))/((SQRT(SUMSQ(Attributs!$BD$2:$BD$18)+SUMSQ(Attributs!$BE$2:$BE$18)))*(SQRT(SUMSQ(Attributs!$AX$2:$AX$18)+SUMSQ(Attributs!$AY$2:$AY$18)))),0)</f>
        <v/>
      </c>
      <c r="AA29" s="2">
        <f>IFERROR((SUMPRODUCT(Attributs!$BD$2:$BD$18,Attributs!$AZ$2:$AZ$18)+SUMPRODUCT(Attributs!$BE$2:$BE$18,Attributs!$BA$2:$BA$18))/((SQRT(SUMSQ(Attributs!$BD$2:$BD$18)+SUMSQ(Attributs!$BE$2:$BE$18)))*(SQRT(SUMSQ(Attributs!$AZ$2:$AZ$18)+SUMSQ(Attributs!$BA$2:$BA$18)))),0)</f>
        <v/>
      </c>
      <c r="AB29" s="2">
        <f>IFERROR((SUMPRODUCT(Attributs!$BD$2:$BD$18,Attributs!$BB$2:$BB$18)+SUMPRODUCT(Attributs!$BE$2:$BE$18,Attributs!$BC$2:$BC$18))/((SQRT(SUMSQ(Attributs!$BD$2:$BD$18)+SUMSQ(Attributs!$BE$2:$BE$18)))*(SQRT(SUMSQ(Attributs!$BB$2:$BB$18)+SUMSQ(Attributs!$BC$2:$BC$18)))),0)</f>
        <v/>
      </c>
      <c r="AC29" s="2">
        <f>IFERROR((SUMPRODUCT(Attributs!$BD$2:$BD$18,Attributs!$BD$2:$BD$18)+SUMPRODUCT(Attributs!$BE$2:$BE$18,Attributs!$BE$2:$BE$18))/((SQRT(SUMSQ(Attributs!$BD$2:$BD$18)+SUMSQ(Attributs!$BE$2:$BE$18)))*(SQRT(SUMSQ(Attributs!$BD$2:$BD$18)+SUMSQ(Attributs!$BE$2:$BE$18)))),0)</f>
        <v/>
      </c>
      <c r="AD29" s="2">
        <f>IFERROR((SUMPRODUCT(Attributs!$BD$2:$BD$18,Attributs!$BF$2:$BF$18)+SUMPRODUCT(Attributs!$BE$2:$BE$18,Attributs!$BG$2:$BG$18))/((SQRT(SUMSQ(Attributs!$BD$2:$BD$18)+SUMSQ(Attributs!$BE$2:$BE$18)))*(SQRT(SUMSQ(Attributs!$BF$2:$BF$18)+SUMSQ(Attributs!$BG$2:$BG$18)))),0)</f>
        <v/>
      </c>
      <c r="AE29" s="2">
        <f>IFERROR((SUMPRODUCT(Attributs!$BD$2:$BD$18,Attributs!$BH$2:$BH$18)+SUMPRODUCT(Attributs!$BE$2:$BE$18,Attributs!$BI$2:$BI$18))/((SQRT(SUMSQ(Attributs!$BD$2:$BD$18)+SUMSQ(Attributs!$BE$2:$BE$18)))*(SQRT(SUMSQ(Attributs!$BH$2:$BH$18)+SUMSQ(Attributs!$BI$2:$BI$18)))),0)</f>
        <v/>
      </c>
      <c r="AF29" s="2">
        <f>IFERROR((SUMPRODUCT(Attributs!$BD$2:$BD$18,Attributs!$BJ$2:$BJ$18)+SUMPRODUCT(Attributs!$BE$2:$BE$18,Attributs!$BK$2:$BK$18))/((SQRT(SUMSQ(Attributs!$BD$2:$BD$18)+SUMSQ(Attributs!$BE$2:$BE$18)))*(SQRT(SUMSQ(Attributs!$BJ$2:$BJ$18)+SUMSQ(Attributs!$BK$2:$BK$18)))),0)</f>
        <v/>
      </c>
      <c r="AG29" s="2">
        <f>IFERROR((SUMPRODUCT(Attributs!$BD$2:$BD$18,Attributs!$BL$2:$BL$18)+SUMPRODUCT(Attributs!$BE$2:$BE$18,Attributs!$BM$2:$BM$18))/((SQRT(SUMSQ(Attributs!$BD$2:$BD$18)+SUMSQ(Attributs!$BE$2:$BE$18)))*(SQRT(SUMSQ(Attributs!$BL$2:$BL$18)+SUMSQ(Attributs!$BM$2:$BM$18)))),0)</f>
        <v/>
      </c>
      <c r="AH29" s="2">
        <f>IFERROR((SUMPRODUCT(Attributs!$BD$2:$BD$18,Attributs!$BN$2:$BN$18)+SUMPRODUCT(Attributs!$BE$2:$BE$18,Attributs!$BO$2:$BO$18))/((SQRT(SUMSQ(Attributs!$BD$2:$BD$18)+SUMSQ(Attributs!$BE$2:$BE$18)))*(SQRT(SUMSQ(Attributs!$BN$2:$BN$18)+SUMSQ(Attributs!$BO$2:$BO$18)))),0)</f>
        <v/>
      </c>
      <c r="AI29" s="2">
        <f>IFERROR((SUMPRODUCT(Attributs!$BD$2:$BD$18,Attributs!$BP$2:$BP$18)+SUMPRODUCT(Attributs!$BE$2:$BE$18,Attributs!$BQ$2:$BQ$18))/((SQRT(SUMSQ(Attributs!$BD$2:$BD$18)+SUMSQ(Attributs!$BE$2:$BE$18)))*(SQRT(SUMSQ(Attributs!$BP$2:$BP$18)+SUMSQ(Attributs!$BQ$2:$BQ$18)))),0)</f>
        <v/>
      </c>
      <c r="AJ29" s="2">
        <f>IFERROR((SUMPRODUCT(Attributs!$BD$2:$BD$18,Attributs!$BR$2:$BR$18)+SUMPRODUCT(Attributs!$BE$2:$BE$18,Attributs!$BS$2:$BS$18))/((SQRT(SUMSQ(Attributs!$BD$2:$BD$18)+SUMSQ(Attributs!$BE$2:$BE$18)))*(SQRT(SUMSQ(Attributs!$BR$2:$BR$18)+SUMSQ(Attributs!$BS$2:$BS$18)))),0)</f>
        <v/>
      </c>
      <c r="AK29" s="2">
        <f>IFERROR((SUMPRODUCT(Attributs!$BD$2:$BD$18,Attributs!$BT$2:$BT$18)+SUMPRODUCT(Attributs!$BE$2:$BE$18,Attributs!$BU$2:$BU$18))/((SQRT(SUMSQ(Attributs!$BD$2:$BD$18)+SUMSQ(Attributs!$BE$2:$BE$18)))*(SQRT(SUMSQ(Attributs!$BT$2:$BT$18)+SUMSQ(Attributs!$BU$2:$BU$18)))),0)</f>
        <v/>
      </c>
      <c r="AL29" s="2">
        <f>IFERROR((SUMPRODUCT(Attributs!$BD$2:$BD$18,Attributs!$BV$2:$BV$18)+SUMPRODUCT(Attributs!$BE$2:$BE$18,Attributs!$BW$2:$BW$18))/((SQRT(SUMSQ(Attributs!$BD$2:$BD$18)+SUMSQ(Attributs!$BE$2:$BE$18)))*(SQRT(SUMSQ(Attributs!$BV$2:$BV$18)+SUMSQ(Attributs!$BW$2:$BW$18)))),0)</f>
        <v/>
      </c>
      <c r="AM29" s="2">
        <f>IFERROR((SUMPRODUCT(Attributs!$BD$2:$BD$18,Attributs!$BX$2:$BX$18)+SUMPRODUCT(Attributs!$BE$2:$BE$18,Attributs!$BY$2:$BY$18))/((SQRT(SUMSQ(Attributs!$BD$2:$BD$18)+SUMSQ(Attributs!$BE$2:$BE$18)))*(SQRT(SUMSQ(Attributs!$BX$2:$BX$18)+SUMSQ(Attributs!$BY$2:$BY$18)))),0)</f>
        <v/>
      </c>
      <c r="AN29" s="2">
        <f>IFERROR((SUMPRODUCT(Attributs!$BD$2:$BD$18,Attributs!$BZ$2:$BZ$18)+SUMPRODUCT(Attributs!$BE$2:$BE$18,Attributs!$CA$2:$CA$18))/((SQRT(SUMSQ(Attributs!$BD$2:$BD$18)+SUMSQ(Attributs!$BE$2:$BE$18)))*(SQRT(SUMSQ(Attributs!$BZ$2:$BZ$18)+SUMSQ(Attributs!$CA$2:$CA$18)))),0)</f>
        <v/>
      </c>
      <c r="AO29" s="2">
        <f>IFERROR((SUMPRODUCT(Attributs!$BD$2:$BD$18,Attributs!$CB$2:$CB$18)+SUMPRODUCT(Attributs!$BE$2:$BE$18,Attributs!$CC$2:$CC$18))/((SQRT(SUMSQ(Attributs!$BD$2:$BD$18)+SUMSQ(Attributs!$BE$2:$BE$18)))*(SQRT(SUMSQ(Attributs!$CB$2:$CB$18)+SUMSQ(Attributs!$CC$2:$CC$18)))),0)</f>
        <v/>
      </c>
      <c r="AP29" s="2">
        <f>IFERROR((SUMPRODUCT(Attributs!$BD$2:$BD$18,Attributs!$CD$2:$CD$18)+SUMPRODUCT(Attributs!$BE$2:$BE$18,Attributs!$CE$2:$CE$18))/((SQRT(SUMSQ(Attributs!$BD$2:$BD$18)+SUMSQ(Attributs!$BE$2:$BE$18)))*(SQRT(SUMSQ(Attributs!$CD$2:$CD$18)+SUMSQ(Attributs!$CE$2:$CE$18)))),0)</f>
        <v/>
      </c>
      <c r="AQ29" s="2">
        <f>IFERROR((SUMPRODUCT(Attributs!$BD$2:$BD$18,Attributs!$CF$2:$CF$18)+SUMPRODUCT(Attributs!$BE$2:$BE$18,Attributs!$CG$2:$CG$18))/((SQRT(SUMSQ(Attributs!$BD$2:$BD$18)+SUMSQ(Attributs!$BE$2:$BE$18)))*(SQRT(SUMSQ(Attributs!$CF$2:$CF$18)+SUMSQ(Attributs!$CG$2:$CG$18)))),0)</f>
        <v/>
      </c>
      <c r="AR29" s="2">
        <f>IFERROR((SUMPRODUCT(Attributs!$BD$2:$BD$18,Attributs!$CH$2:$CH$18)+SUMPRODUCT(Attributs!$BE$2:$BE$18,Attributs!$CI$2:$CI$18))/((SQRT(SUMSQ(Attributs!$BD$2:$BD$18)+SUMSQ(Attributs!$BE$2:$BE$18)))*(SQRT(SUMSQ(Attributs!$CH$2:$CH$18)+SUMSQ(Attributs!$CI$2:$CI$18)))),0)</f>
        <v/>
      </c>
      <c r="AS29" s="2">
        <f>IFERROR((SUMPRODUCT(Attributs!$BD$2:$BD$18,Attributs!$CJ$2:$CJ$18)+SUMPRODUCT(Attributs!$BE$2:$BE$18,Attributs!$CK$2:$CK$18))/((SQRT(SUMSQ(Attributs!$BD$2:$BD$18)+SUMSQ(Attributs!$BE$2:$BE$18)))*(SQRT(SUMSQ(Attributs!$CJ$2:$CJ$18)+SUMSQ(Attributs!$CK$2:$CK$18)))),0)</f>
        <v/>
      </c>
      <c r="AT29" s="2">
        <f>IFERROR((SUMPRODUCT(Attributs!$BD$2:$BD$18,Attributs!$CL$2:$CL$18)+SUMPRODUCT(Attributs!$BE$2:$BE$18,Attributs!$CM$2:$CM$18))/((SQRT(SUMSQ(Attributs!$BD$2:$BD$18)+SUMSQ(Attributs!$BE$2:$BE$18)))*(SQRT(SUMSQ(Attributs!$CL$2:$CL$18)+SUMSQ(Attributs!$CM$2:$CM$18)))),0)</f>
        <v/>
      </c>
      <c r="AU29" s="2">
        <f>IFERROR((SUMPRODUCT(Attributs!$BD$2:$BD$18,Attributs!$CN$2:$CN$18)+SUMPRODUCT(Attributs!$BE$2:$BE$18,Attributs!$CO$2:$CO$18))/((SQRT(SUMSQ(Attributs!$BD$2:$BD$18)+SUMSQ(Attributs!$BE$2:$BE$18)))*(SQRT(SUMSQ(Attributs!$CN$2:$CN$18)+SUMSQ(Attributs!$CO$2:$CO$18)))),0)</f>
        <v/>
      </c>
      <c r="AV29" s="2">
        <f>IFERROR((SUMPRODUCT(Attributs!$BD$2:$BD$18,Attributs!$CP$2:$CP$18)+SUMPRODUCT(Attributs!$BE$2:$BE$18,Attributs!$CQ$2:$CQ$18))/((SQRT(SUMSQ(Attributs!$BD$2:$BD$18)+SUMSQ(Attributs!$BE$2:$BE$18)))*(SQRT(SUMSQ(Attributs!$CP$2:$CP$18)+SUMSQ(Attributs!$CQ$2:$CQ$18)))),0)</f>
        <v/>
      </c>
      <c r="AW29" s="2">
        <f>IFERROR((SUMPRODUCT(Attributs!$BD$2:$BD$18,Attributs!$CR$2:$CR$18)+SUMPRODUCT(Attributs!$BE$2:$BE$18,Attributs!$CS$2:$CS$18))/((SQRT(SUMSQ(Attributs!$BD$2:$BD$18)+SUMSQ(Attributs!$BE$2:$BE$18)))*(SQRT(SUMSQ(Attributs!$CR$2:$CR$18)+SUMSQ(Attributs!$CS$2:$CS$18)))),0)</f>
        <v/>
      </c>
      <c r="AX29" s="2">
        <f>IFERROR((SUMPRODUCT(Attributs!$BD$2:$BD$18,Attributs!$CT$2:$CT$18)+SUMPRODUCT(Attributs!$BE$2:$BE$18,Attributs!$CU$2:$CU$18))/((SQRT(SUMSQ(Attributs!$BD$2:$BD$18)+SUMSQ(Attributs!$BE$2:$BE$18)))*(SQRT(SUMSQ(Attributs!$CT$2:$CT$18)+SUMSQ(Attributs!$CU$2:$CU$18)))),0)</f>
        <v/>
      </c>
      <c r="AY29" s="2">
        <f>IFERROR((SUMPRODUCT(Attributs!$BD$2:$BD$18,Attributs!$CV$2:$CV$18)+SUMPRODUCT(Attributs!$BE$2:$BE$18,Attributs!$CW$2:$CW$18))/((SQRT(SUMSQ(Attributs!$BD$2:$BD$18)+SUMSQ(Attributs!$BE$2:$BE$18)))*(SQRT(SUMSQ(Attributs!$CV$2:$CV$18)+SUMSQ(Attributs!$CW$2:$CW$18)))),0)</f>
        <v/>
      </c>
      <c r="AZ29" s="2">
        <f>IFERROR((SUMPRODUCT(Attributs!$BD$2:$BD$18,Attributs!$CX$2:$CX$18)+SUMPRODUCT(Attributs!$BE$2:$BE$18,Attributs!$CY$2:$CY$18))/((SQRT(SUMSQ(Attributs!$BD$2:$BD$18)+SUMSQ(Attributs!$BE$2:$BE$18)))*(SQRT(SUMSQ(Attributs!$CX$2:$CX$18)+SUMSQ(Attributs!$CY$2:$CY$18)))),0)</f>
        <v/>
      </c>
      <c r="BA29" s="2">
        <f>IFERROR((SUMPRODUCT(Attributs!$BD$2:$BD$18,Attributs!$CZ$2:$CZ$18)+SUMPRODUCT(Attributs!$BE$2:$BE$18,Attributs!$DA$2:$DA$18))/((SQRT(SUMSQ(Attributs!$BD$2:$BD$18)+SUMSQ(Attributs!$BE$2:$BE$18)))*(SQRT(SUMSQ(Attributs!$CZ$2:$CZ$18)+SUMSQ(Attributs!$DA$2:$DA$18)))),0)</f>
        <v/>
      </c>
      <c r="BB29" s="2">
        <f>IFERROR((SUMPRODUCT(Attributs!$BD$2:$BD$18,Attributs!$DB$2:$DB$18)+SUMPRODUCT(Attributs!$BE$2:$BE$18,Attributs!$DC$2:$DC$18))/((SQRT(SUMSQ(Attributs!$BD$2:$BD$18)+SUMSQ(Attributs!$BE$2:$BE$18)))*(SQRT(SUMSQ(Attributs!$DB$2:$DB$18)+SUMSQ(Attributs!$DC$2:$DC$18)))),0)</f>
        <v/>
      </c>
      <c r="BC29" s="2">
        <f>IFERROR((SUMPRODUCT(Attributs!$BD$2:$BD$18,Attributs!$DD$2:$DD$18)+SUMPRODUCT(Attributs!$BE$2:$BE$18,Attributs!$DE$2:$DE$18))/((SQRT(SUMSQ(Attributs!$BD$2:$BD$18)+SUMSQ(Attributs!$BE$2:$BE$18)))*(SQRT(SUMSQ(Attributs!$DD$2:$DD$18)+SUMSQ(Attributs!$DE$2:$DE$18)))),0)</f>
        <v/>
      </c>
      <c r="BD29" s="2">
        <f>IFERROR((SUMPRODUCT(Attributs!$BD$2:$BD$18,Attributs!$DF$2:$DF$18)+SUMPRODUCT(Attributs!$BE$2:$BE$18,Attributs!$DG$2:$DG$18))/((SQRT(SUMSQ(Attributs!$BD$2:$BD$18)+SUMSQ(Attributs!$BE$2:$BE$18)))*(SQRT(SUMSQ(Attributs!$DF$2:$DF$18)+SUMSQ(Attributs!$DG$2:$DG$18)))),0)</f>
        <v/>
      </c>
      <c r="BE29" s="2">
        <f>IFERROR((SUMPRODUCT(Attributs!$BD$2:$BD$18,Attributs!$DH$2:$DH$18)+SUMPRODUCT(Attributs!$BE$2:$BE$18,Attributs!$DI$2:$DI$18))/((SQRT(SUMSQ(Attributs!$BD$2:$BD$18)+SUMSQ(Attributs!$BE$2:$BE$18)))*(SQRT(SUMSQ(Attributs!$DH$2:$DH$18)+SUMSQ(Attributs!$DI$2:$DI$18)))),0)</f>
        <v/>
      </c>
      <c r="BF29" s="2">
        <f>IFERROR((SUMPRODUCT(Attributs!$BD$2:$BD$18,Attributs!$DJ$2:$DJ$18)+SUMPRODUCT(Attributs!$BE$2:$BE$18,Attributs!$DK$2:$DK$18))/((SQRT(SUMSQ(Attributs!$BD$2:$BD$18)+SUMSQ(Attributs!$BE$2:$BE$18)))*(SQRT(SUMSQ(Attributs!$DJ$2:$DJ$18)+SUMSQ(Attributs!$DK$2:$DK$18)))),0)</f>
        <v/>
      </c>
      <c r="BG29" s="2">
        <f>IFERROR((SUMPRODUCT(Attributs!$BD$2:$BD$18,Attributs!$DL$2:$DL$18)+SUMPRODUCT(Attributs!$BE$2:$BE$18,Attributs!$DM$2:$DM$18))/((SQRT(SUMSQ(Attributs!$BD$2:$BD$18)+SUMSQ(Attributs!$BE$2:$BE$18)))*(SQRT(SUMSQ(Attributs!$DL$2:$DL$18)+SUMSQ(Attributs!$DM$2:$DM$18)))),0)</f>
        <v/>
      </c>
      <c r="BH29" s="2">
        <f>IFERROR((SUMPRODUCT(Attributs!$BD$2:$BD$18,Attributs!$DN$2:$DN$18)+SUMPRODUCT(Attributs!$BE$2:$BE$18,Attributs!$DO$2:$DO$18))/((SQRT(SUMSQ(Attributs!$BD$2:$BD$18)+SUMSQ(Attributs!$BE$2:$BE$18)))*(SQRT(SUMSQ(Attributs!$DN$2:$DN$18)+SUMSQ(Attributs!$DO$2:$DO$18)))),0)</f>
        <v/>
      </c>
      <c r="BI29" s="2">
        <f>IFERROR((SUMPRODUCT(Attributs!$BD$2:$BD$18,Attributs!$DP$2:$DP$18)+SUMPRODUCT(Attributs!$BE$2:$BE$18,Attributs!$DQ$2:$DQ$18))/((SQRT(SUMSQ(Attributs!$BD$2:$BD$18)+SUMSQ(Attributs!$BE$2:$BE$18)))*(SQRT(SUMSQ(Attributs!$DP$2:$DP$18)+SUMSQ(Attributs!$DQ$2:$DQ$18)))),0)</f>
        <v/>
      </c>
      <c r="BJ29" s="2">
        <f>IFERROR((SUMPRODUCT(Attributs!$BD$2:$BD$18,Attributs!$DR$2:$DR$18)+SUMPRODUCT(Attributs!$BE$2:$BE$18,Attributs!$DS$2:$DS$18))/((SQRT(SUMSQ(Attributs!$BD$2:$BD$18)+SUMSQ(Attributs!$BE$2:$BE$18)))*(SQRT(SUMSQ(Attributs!$DR$2:$DR$18)+SUMSQ(Attributs!$DS$2:$DS$18)))),0)</f>
        <v/>
      </c>
      <c r="BK29" s="2">
        <f>IFERROR((SUMPRODUCT(Attributs!$BD$2:$BD$18,Attributs!$DT$2:$DT$18)+SUMPRODUCT(Attributs!$BE$2:$BE$18,Attributs!$DU$2:$DU$18))/((SQRT(SUMSQ(Attributs!$BD$2:$BD$18)+SUMSQ(Attributs!$BE$2:$BE$18)))*(SQRT(SUMSQ(Attributs!$DT$2:$DT$18)+SUMSQ(Attributs!$DU$2:$DU$18)))),0)</f>
        <v/>
      </c>
      <c r="BL29" s="2">
        <f>IFERROR((SUMPRODUCT(Attributs!$BD$2:$BD$18,Attributs!$DV$2:$DV$18)+SUMPRODUCT(Attributs!$BE$2:$BE$18,Attributs!$DW$2:$DW$18))/((SQRT(SUMSQ(Attributs!$BD$2:$BD$18)+SUMSQ(Attributs!$BE$2:$BE$18)))*(SQRT(SUMSQ(Attributs!$DV$2:$DV$18)+SUMSQ(Attributs!$DW$2:$DW$18)))),0)</f>
        <v/>
      </c>
    </row>
    <row r="30">
      <c r="A30" s="3" t="inlineStr">
        <is>
          <t>SE_mongodb.Badges.UserId</t>
        </is>
      </c>
      <c r="B30" s="2">
        <f>IFERROR((SUMPRODUCT(Attributs!$BF$2:$BF$18,Attributs!$B$2:$B$18)+SUMPRODUCT(Attributs!$BG$2:$BG$18,Attributs!$C$2:$C$18))/((SQRT(SUMSQ(Attributs!$BF$2:$BF$18)+SUMSQ(Attributs!$BG$2:$BG$18)))*(SQRT(SUMSQ(Attributs!$B$2:$B$18)+SUMSQ(Attributs!$C$2:$C$18)))),0)</f>
        <v/>
      </c>
      <c r="C30" s="2">
        <f>IFERROR((SUMPRODUCT(Attributs!$BF$2:$BF$18,Attributs!$D$2:$D$18)+SUMPRODUCT(Attributs!$BG$2:$BG$18,Attributs!$E$2:$E$18))/((SQRT(SUMSQ(Attributs!$BF$2:$BF$18)+SUMSQ(Attributs!$BG$2:$BG$18)))*(SQRT(SUMSQ(Attributs!$D$2:$D$18)+SUMSQ(Attributs!$E$2:$E$18)))),0)</f>
        <v/>
      </c>
      <c r="D30" s="2">
        <f>IFERROR((SUMPRODUCT(Attributs!$BF$2:$BF$18,Attributs!$F$2:$F$18)+SUMPRODUCT(Attributs!$BG$2:$BG$18,Attributs!$G$2:$G$18))/((SQRT(SUMSQ(Attributs!$BF$2:$BF$18)+SUMSQ(Attributs!$BG$2:$BG$18)))*(SQRT(SUMSQ(Attributs!$F$2:$F$18)+SUMSQ(Attributs!$G$2:$G$18)))),0)</f>
        <v/>
      </c>
      <c r="E30" s="2">
        <f>IFERROR((SUMPRODUCT(Attributs!$BF$2:$BF$18,Attributs!$H$2:$H$18)+SUMPRODUCT(Attributs!$BG$2:$BG$18,Attributs!$I$2:$I$18))/((SQRT(SUMSQ(Attributs!$BF$2:$BF$18)+SUMSQ(Attributs!$BG$2:$BG$18)))*(SQRT(SUMSQ(Attributs!$H$2:$H$18)+SUMSQ(Attributs!$I$2:$I$18)))),0)</f>
        <v/>
      </c>
      <c r="F30" s="2">
        <f>IFERROR((SUMPRODUCT(Attributs!$BF$2:$BF$18,Attributs!$J$2:$J$18)+SUMPRODUCT(Attributs!$BG$2:$BG$18,Attributs!$K$2:$K$18))/((SQRT(SUMSQ(Attributs!$BF$2:$BF$18)+SUMSQ(Attributs!$BG$2:$BG$18)))*(SQRT(SUMSQ(Attributs!$J$2:$J$18)+SUMSQ(Attributs!$K$2:$K$18)))),0)</f>
        <v/>
      </c>
      <c r="G30" s="2">
        <f>IFERROR((SUMPRODUCT(Attributs!$BF$2:$BF$18,Attributs!$L$2:$L$18)+SUMPRODUCT(Attributs!$BG$2:$BG$18,Attributs!$M$2:$M$18))/((SQRT(SUMSQ(Attributs!$BF$2:$BF$18)+SUMSQ(Attributs!$BG$2:$BG$18)))*(SQRT(SUMSQ(Attributs!$L$2:$L$18)+SUMSQ(Attributs!$M$2:$M$18)))),0)</f>
        <v/>
      </c>
      <c r="H30" s="2">
        <f>IFERROR((SUMPRODUCT(Attributs!$BF$2:$BF$18,Attributs!$N$2:$N$18)+SUMPRODUCT(Attributs!$BG$2:$BG$18,Attributs!$O$2:$O$18))/((SQRT(SUMSQ(Attributs!$BF$2:$BF$18)+SUMSQ(Attributs!$BG$2:$BG$18)))*(SQRT(SUMSQ(Attributs!$N$2:$N$18)+SUMSQ(Attributs!$O$2:$O$18)))),0)</f>
        <v/>
      </c>
      <c r="I30" s="2">
        <f>IFERROR((SUMPRODUCT(Attributs!$BF$2:$BF$18,Attributs!$P$2:$P$18)+SUMPRODUCT(Attributs!$BG$2:$BG$18,Attributs!$Q$2:$Q$18))/((SQRT(SUMSQ(Attributs!$BF$2:$BF$18)+SUMSQ(Attributs!$BG$2:$BG$18)))*(SQRT(SUMSQ(Attributs!$P$2:$P$18)+SUMSQ(Attributs!$Q$2:$Q$18)))),0)</f>
        <v/>
      </c>
      <c r="J30" s="2">
        <f>IFERROR((SUMPRODUCT(Attributs!$BF$2:$BF$18,Attributs!$R$2:$R$18)+SUMPRODUCT(Attributs!$BG$2:$BG$18,Attributs!$S$2:$S$18))/((SQRT(SUMSQ(Attributs!$BF$2:$BF$18)+SUMSQ(Attributs!$BG$2:$BG$18)))*(SQRT(SUMSQ(Attributs!$R$2:$R$18)+SUMSQ(Attributs!$S$2:$S$18)))),0)</f>
        <v/>
      </c>
      <c r="K30" s="2">
        <f>IFERROR((SUMPRODUCT(Attributs!$BF$2:$BF$18,Attributs!$T$2:$T$18)+SUMPRODUCT(Attributs!$BG$2:$BG$18,Attributs!$U$2:$U$18))/((SQRT(SUMSQ(Attributs!$BF$2:$BF$18)+SUMSQ(Attributs!$BG$2:$BG$18)))*(SQRT(SUMSQ(Attributs!$T$2:$T$18)+SUMSQ(Attributs!$U$2:$U$18)))),0)</f>
        <v/>
      </c>
      <c r="L30" s="2">
        <f>IFERROR((SUMPRODUCT(Attributs!$BF$2:$BF$18,Attributs!$V$2:$V$18)+SUMPRODUCT(Attributs!$BG$2:$BG$18,Attributs!$W$2:$W$18))/((SQRT(SUMSQ(Attributs!$BF$2:$BF$18)+SUMSQ(Attributs!$BG$2:$BG$18)))*(SQRT(SUMSQ(Attributs!$V$2:$V$18)+SUMSQ(Attributs!$W$2:$W$18)))),0)</f>
        <v/>
      </c>
      <c r="M30" s="2">
        <f>IFERROR((SUMPRODUCT(Attributs!$BF$2:$BF$18,Attributs!$X$2:$X$18)+SUMPRODUCT(Attributs!$BG$2:$BG$18,Attributs!$Y$2:$Y$18))/((SQRT(SUMSQ(Attributs!$BF$2:$BF$18)+SUMSQ(Attributs!$BG$2:$BG$18)))*(SQRT(SUMSQ(Attributs!$X$2:$X$18)+SUMSQ(Attributs!$Y$2:$Y$18)))),0)</f>
        <v/>
      </c>
      <c r="N30" s="2">
        <f>IFERROR((SUMPRODUCT(Attributs!$BF$2:$BF$18,Attributs!$Z$2:$Z$18)+SUMPRODUCT(Attributs!$BG$2:$BG$18,Attributs!$AA$2:$AA$18))/((SQRT(SUMSQ(Attributs!$BF$2:$BF$18)+SUMSQ(Attributs!$BG$2:$BG$18)))*(SQRT(SUMSQ(Attributs!$Z$2:$Z$18)+SUMSQ(Attributs!$AA$2:$AA$18)))),0)</f>
        <v/>
      </c>
      <c r="O30" s="2">
        <f>IFERROR((SUMPRODUCT(Attributs!$BF$2:$BF$18,Attributs!$AB$2:$AB$18)+SUMPRODUCT(Attributs!$BG$2:$BG$18,Attributs!$AC$2:$AC$18))/((SQRT(SUMSQ(Attributs!$BF$2:$BF$18)+SUMSQ(Attributs!$BG$2:$BG$18)))*(SQRT(SUMSQ(Attributs!$AB$2:$AB$18)+SUMSQ(Attributs!$AC$2:$AC$18)))),0)</f>
        <v/>
      </c>
      <c r="P30" s="2">
        <f>IFERROR((SUMPRODUCT(Attributs!$BF$2:$BF$18,Attributs!$AD$2:$AD$18)+SUMPRODUCT(Attributs!$BG$2:$BG$18,Attributs!$AE$2:$AE$18))/((SQRT(SUMSQ(Attributs!$BF$2:$BF$18)+SUMSQ(Attributs!$BG$2:$BG$18)))*(SQRT(SUMSQ(Attributs!$AD$2:$AD$18)+SUMSQ(Attributs!$AE$2:$AE$18)))),0)</f>
        <v/>
      </c>
      <c r="Q30" s="2">
        <f>IFERROR((SUMPRODUCT(Attributs!$BF$2:$BF$18,Attributs!$AF$2:$AF$18)+SUMPRODUCT(Attributs!$BG$2:$BG$18,Attributs!$AG$2:$AG$18))/((SQRT(SUMSQ(Attributs!$BF$2:$BF$18)+SUMSQ(Attributs!$BG$2:$BG$18)))*(SQRT(SUMSQ(Attributs!$AF$2:$AF$18)+SUMSQ(Attributs!$AG$2:$AG$18)))),0)</f>
        <v/>
      </c>
      <c r="R30" s="2">
        <f>IFERROR((SUMPRODUCT(Attributs!$BF$2:$BF$18,Attributs!$AH$2:$AH$18)+SUMPRODUCT(Attributs!$BG$2:$BG$18,Attributs!$AI$2:$AI$18))/((SQRT(SUMSQ(Attributs!$BF$2:$BF$18)+SUMSQ(Attributs!$BG$2:$BG$18)))*(SQRT(SUMSQ(Attributs!$AH$2:$AH$18)+SUMSQ(Attributs!$AI$2:$AI$18)))),0)</f>
        <v/>
      </c>
      <c r="S30" s="2">
        <f>IFERROR((SUMPRODUCT(Attributs!$BF$2:$BF$18,Attributs!$AJ$2:$AJ$18)+SUMPRODUCT(Attributs!$BG$2:$BG$18,Attributs!$AK$2:$AK$18))/((SQRT(SUMSQ(Attributs!$BF$2:$BF$18)+SUMSQ(Attributs!$BG$2:$BG$18)))*(SQRT(SUMSQ(Attributs!$AJ$2:$AJ$18)+SUMSQ(Attributs!$AK$2:$AK$18)))),0)</f>
        <v/>
      </c>
      <c r="T30" s="2">
        <f>IFERROR((SUMPRODUCT(Attributs!$BF$2:$BF$18,Attributs!$AL$2:$AL$18)+SUMPRODUCT(Attributs!$BG$2:$BG$18,Attributs!$AM$2:$AM$18))/((SQRT(SUMSQ(Attributs!$BF$2:$BF$18)+SUMSQ(Attributs!$BG$2:$BG$18)))*(SQRT(SUMSQ(Attributs!$AL$2:$AL$18)+SUMSQ(Attributs!$AM$2:$AM$18)))),0)</f>
        <v/>
      </c>
      <c r="U30" s="2">
        <f>IFERROR((SUMPRODUCT(Attributs!$BF$2:$BF$18,Attributs!$AN$2:$AN$18)+SUMPRODUCT(Attributs!$BG$2:$BG$18,Attributs!$AO$2:$AO$18))/((SQRT(SUMSQ(Attributs!$BF$2:$BF$18)+SUMSQ(Attributs!$BG$2:$BG$18)))*(SQRT(SUMSQ(Attributs!$AN$2:$AN$18)+SUMSQ(Attributs!$AO$2:$AO$18)))),0)</f>
        <v/>
      </c>
      <c r="V30" s="2">
        <f>IFERROR((SUMPRODUCT(Attributs!$BF$2:$BF$18,Attributs!$AP$2:$AP$18)+SUMPRODUCT(Attributs!$BG$2:$BG$18,Attributs!$AQ$2:$AQ$18))/((SQRT(SUMSQ(Attributs!$BF$2:$BF$18)+SUMSQ(Attributs!$BG$2:$BG$18)))*(SQRT(SUMSQ(Attributs!$AP$2:$AP$18)+SUMSQ(Attributs!$AQ$2:$AQ$18)))),0)</f>
        <v/>
      </c>
      <c r="W30" s="2">
        <f>IFERROR((SUMPRODUCT(Attributs!$BF$2:$BF$18,Attributs!$AR$2:$AR$18)+SUMPRODUCT(Attributs!$BG$2:$BG$18,Attributs!$AS$2:$AS$18))/((SQRT(SUMSQ(Attributs!$BF$2:$BF$18)+SUMSQ(Attributs!$BG$2:$BG$18)))*(SQRT(SUMSQ(Attributs!$AR$2:$AR$18)+SUMSQ(Attributs!$AS$2:$AS$18)))),0)</f>
        <v/>
      </c>
      <c r="X30" s="2">
        <f>IFERROR((SUMPRODUCT(Attributs!$BF$2:$BF$18,Attributs!$AT$2:$AT$18)+SUMPRODUCT(Attributs!$BG$2:$BG$18,Attributs!$AU$2:$AU$18))/((SQRT(SUMSQ(Attributs!$BF$2:$BF$18)+SUMSQ(Attributs!$BG$2:$BG$18)))*(SQRT(SUMSQ(Attributs!$AT$2:$AT$18)+SUMSQ(Attributs!$AU$2:$AU$18)))),0)</f>
        <v/>
      </c>
      <c r="Y30" s="2">
        <f>IFERROR((SUMPRODUCT(Attributs!$BF$2:$BF$18,Attributs!$AV$2:$AV$18)+SUMPRODUCT(Attributs!$BG$2:$BG$18,Attributs!$AW$2:$AW$18))/((SQRT(SUMSQ(Attributs!$BF$2:$BF$18)+SUMSQ(Attributs!$BG$2:$BG$18)))*(SQRT(SUMSQ(Attributs!$AV$2:$AV$18)+SUMSQ(Attributs!$AW$2:$AW$18)))),0)</f>
        <v/>
      </c>
      <c r="Z30" s="2">
        <f>IFERROR((SUMPRODUCT(Attributs!$BF$2:$BF$18,Attributs!$AX$2:$AX$18)+SUMPRODUCT(Attributs!$BG$2:$BG$18,Attributs!$AY$2:$AY$18))/((SQRT(SUMSQ(Attributs!$BF$2:$BF$18)+SUMSQ(Attributs!$BG$2:$BG$18)))*(SQRT(SUMSQ(Attributs!$AX$2:$AX$18)+SUMSQ(Attributs!$AY$2:$AY$18)))),0)</f>
        <v/>
      </c>
      <c r="AA30" s="2">
        <f>IFERROR((SUMPRODUCT(Attributs!$BF$2:$BF$18,Attributs!$AZ$2:$AZ$18)+SUMPRODUCT(Attributs!$BG$2:$BG$18,Attributs!$BA$2:$BA$18))/((SQRT(SUMSQ(Attributs!$BF$2:$BF$18)+SUMSQ(Attributs!$BG$2:$BG$18)))*(SQRT(SUMSQ(Attributs!$AZ$2:$AZ$18)+SUMSQ(Attributs!$BA$2:$BA$18)))),0)</f>
        <v/>
      </c>
      <c r="AB30" s="2">
        <f>IFERROR((SUMPRODUCT(Attributs!$BF$2:$BF$18,Attributs!$BB$2:$BB$18)+SUMPRODUCT(Attributs!$BG$2:$BG$18,Attributs!$BC$2:$BC$18))/((SQRT(SUMSQ(Attributs!$BF$2:$BF$18)+SUMSQ(Attributs!$BG$2:$BG$18)))*(SQRT(SUMSQ(Attributs!$BB$2:$BB$18)+SUMSQ(Attributs!$BC$2:$BC$18)))),0)</f>
        <v/>
      </c>
      <c r="AC30" s="2">
        <f>IFERROR((SUMPRODUCT(Attributs!$BF$2:$BF$18,Attributs!$BD$2:$BD$18)+SUMPRODUCT(Attributs!$BG$2:$BG$18,Attributs!$BE$2:$BE$18))/((SQRT(SUMSQ(Attributs!$BF$2:$BF$18)+SUMSQ(Attributs!$BG$2:$BG$18)))*(SQRT(SUMSQ(Attributs!$BD$2:$BD$18)+SUMSQ(Attributs!$BE$2:$BE$18)))),0)</f>
        <v/>
      </c>
      <c r="AD30" s="2">
        <f>IFERROR((SUMPRODUCT(Attributs!$BF$2:$BF$18,Attributs!$BF$2:$BF$18)+SUMPRODUCT(Attributs!$BG$2:$BG$18,Attributs!$BG$2:$BG$18))/((SQRT(SUMSQ(Attributs!$BF$2:$BF$18)+SUMSQ(Attributs!$BG$2:$BG$18)))*(SQRT(SUMSQ(Attributs!$BF$2:$BF$18)+SUMSQ(Attributs!$BG$2:$BG$18)))),0)</f>
        <v/>
      </c>
      <c r="AE30" s="2">
        <f>IFERROR((SUMPRODUCT(Attributs!$BF$2:$BF$18,Attributs!$BH$2:$BH$18)+SUMPRODUCT(Attributs!$BG$2:$BG$18,Attributs!$BI$2:$BI$18))/((SQRT(SUMSQ(Attributs!$BF$2:$BF$18)+SUMSQ(Attributs!$BG$2:$BG$18)))*(SQRT(SUMSQ(Attributs!$BH$2:$BH$18)+SUMSQ(Attributs!$BI$2:$BI$18)))),0)</f>
        <v/>
      </c>
      <c r="AF30" s="2">
        <f>IFERROR((SUMPRODUCT(Attributs!$BF$2:$BF$18,Attributs!$BJ$2:$BJ$18)+SUMPRODUCT(Attributs!$BG$2:$BG$18,Attributs!$BK$2:$BK$18))/((SQRT(SUMSQ(Attributs!$BF$2:$BF$18)+SUMSQ(Attributs!$BG$2:$BG$18)))*(SQRT(SUMSQ(Attributs!$BJ$2:$BJ$18)+SUMSQ(Attributs!$BK$2:$BK$18)))),0)</f>
        <v/>
      </c>
      <c r="AG30" s="2">
        <f>IFERROR((SUMPRODUCT(Attributs!$BF$2:$BF$18,Attributs!$BL$2:$BL$18)+SUMPRODUCT(Attributs!$BG$2:$BG$18,Attributs!$BM$2:$BM$18))/((SQRT(SUMSQ(Attributs!$BF$2:$BF$18)+SUMSQ(Attributs!$BG$2:$BG$18)))*(SQRT(SUMSQ(Attributs!$BL$2:$BL$18)+SUMSQ(Attributs!$BM$2:$BM$18)))),0)</f>
        <v/>
      </c>
      <c r="AH30" s="2">
        <f>IFERROR((SUMPRODUCT(Attributs!$BF$2:$BF$18,Attributs!$BN$2:$BN$18)+SUMPRODUCT(Attributs!$BG$2:$BG$18,Attributs!$BO$2:$BO$18))/((SQRT(SUMSQ(Attributs!$BF$2:$BF$18)+SUMSQ(Attributs!$BG$2:$BG$18)))*(SQRT(SUMSQ(Attributs!$BN$2:$BN$18)+SUMSQ(Attributs!$BO$2:$BO$18)))),0)</f>
        <v/>
      </c>
      <c r="AI30" s="2">
        <f>IFERROR((SUMPRODUCT(Attributs!$BF$2:$BF$18,Attributs!$BP$2:$BP$18)+SUMPRODUCT(Attributs!$BG$2:$BG$18,Attributs!$BQ$2:$BQ$18))/((SQRT(SUMSQ(Attributs!$BF$2:$BF$18)+SUMSQ(Attributs!$BG$2:$BG$18)))*(SQRT(SUMSQ(Attributs!$BP$2:$BP$18)+SUMSQ(Attributs!$BQ$2:$BQ$18)))),0)</f>
        <v/>
      </c>
      <c r="AJ30" s="2">
        <f>IFERROR((SUMPRODUCT(Attributs!$BF$2:$BF$18,Attributs!$BR$2:$BR$18)+SUMPRODUCT(Attributs!$BG$2:$BG$18,Attributs!$BS$2:$BS$18))/((SQRT(SUMSQ(Attributs!$BF$2:$BF$18)+SUMSQ(Attributs!$BG$2:$BG$18)))*(SQRT(SUMSQ(Attributs!$BR$2:$BR$18)+SUMSQ(Attributs!$BS$2:$BS$18)))),0)</f>
        <v/>
      </c>
      <c r="AK30" s="2">
        <f>IFERROR((SUMPRODUCT(Attributs!$BF$2:$BF$18,Attributs!$BT$2:$BT$18)+SUMPRODUCT(Attributs!$BG$2:$BG$18,Attributs!$BU$2:$BU$18))/((SQRT(SUMSQ(Attributs!$BF$2:$BF$18)+SUMSQ(Attributs!$BG$2:$BG$18)))*(SQRT(SUMSQ(Attributs!$BT$2:$BT$18)+SUMSQ(Attributs!$BU$2:$BU$18)))),0)</f>
        <v/>
      </c>
      <c r="AL30" s="2">
        <f>IFERROR((SUMPRODUCT(Attributs!$BF$2:$BF$18,Attributs!$BV$2:$BV$18)+SUMPRODUCT(Attributs!$BG$2:$BG$18,Attributs!$BW$2:$BW$18))/((SQRT(SUMSQ(Attributs!$BF$2:$BF$18)+SUMSQ(Attributs!$BG$2:$BG$18)))*(SQRT(SUMSQ(Attributs!$BV$2:$BV$18)+SUMSQ(Attributs!$BW$2:$BW$18)))),0)</f>
        <v/>
      </c>
      <c r="AM30" s="2">
        <f>IFERROR((SUMPRODUCT(Attributs!$BF$2:$BF$18,Attributs!$BX$2:$BX$18)+SUMPRODUCT(Attributs!$BG$2:$BG$18,Attributs!$BY$2:$BY$18))/((SQRT(SUMSQ(Attributs!$BF$2:$BF$18)+SUMSQ(Attributs!$BG$2:$BG$18)))*(SQRT(SUMSQ(Attributs!$BX$2:$BX$18)+SUMSQ(Attributs!$BY$2:$BY$18)))),0)</f>
        <v/>
      </c>
      <c r="AN30" s="2">
        <f>IFERROR((SUMPRODUCT(Attributs!$BF$2:$BF$18,Attributs!$BZ$2:$BZ$18)+SUMPRODUCT(Attributs!$BG$2:$BG$18,Attributs!$CA$2:$CA$18))/((SQRT(SUMSQ(Attributs!$BF$2:$BF$18)+SUMSQ(Attributs!$BG$2:$BG$18)))*(SQRT(SUMSQ(Attributs!$BZ$2:$BZ$18)+SUMSQ(Attributs!$CA$2:$CA$18)))),0)</f>
        <v/>
      </c>
      <c r="AO30" s="2">
        <f>IFERROR((SUMPRODUCT(Attributs!$BF$2:$BF$18,Attributs!$CB$2:$CB$18)+SUMPRODUCT(Attributs!$BG$2:$BG$18,Attributs!$CC$2:$CC$18))/((SQRT(SUMSQ(Attributs!$BF$2:$BF$18)+SUMSQ(Attributs!$BG$2:$BG$18)))*(SQRT(SUMSQ(Attributs!$CB$2:$CB$18)+SUMSQ(Attributs!$CC$2:$CC$18)))),0)</f>
        <v/>
      </c>
      <c r="AP30" s="2">
        <f>IFERROR((SUMPRODUCT(Attributs!$BF$2:$BF$18,Attributs!$CD$2:$CD$18)+SUMPRODUCT(Attributs!$BG$2:$BG$18,Attributs!$CE$2:$CE$18))/((SQRT(SUMSQ(Attributs!$BF$2:$BF$18)+SUMSQ(Attributs!$BG$2:$BG$18)))*(SQRT(SUMSQ(Attributs!$CD$2:$CD$18)+SUMSQ(Attributs!$CE$2:$CE$18)))),0)</f>
        <v/>
      </c>
      <c r="AQ30" s="2">
        <f>IFERROR((SUMPRODUCT(Attributs!$BF$2:$BF$18,Attributs!$CF$2:$CF$18)+SUMPRODUCT(Attributs!$BG$2:$BG$18,Attributs!$CG$2:$CG$18))/((SQRT(SUMSQ(Attributs!$BF$2:$BF$18)+SUMSQ(Attributs!$BG$2:$BG$18)))*(SQRT(SUMSQ(Attributs!$CF$2:$CF$18)+SUMSQ(Attributs!$CG$2:$CG$18)))),0)</f>
        <v/>
      </c>
      <c r="AR30" s="2">
        <f>IFERROR((SUMPRODUCT(Attributs!$BF$2:$BF$18,Attributs!$CH$2:$CH$18)+SUMPRODUCT(Attributs!$BG$2:$BG$18,Attributs!$CI$2:$CI$18))/((SQRT(SUMSQ(Attributs!$BF$2:$BF$18)+SUMSQ(Attributs!$BG$2:$BG$18)))*(SQRT(SUMSQ(Attributs!$CH$2:$CH$18)+SUMSQ(Attributs!$CI$2:$CI$18)))),0)</f>
        <v/>
      </c>
      <c r="AS30" s="2">
        <f>IFERROR((SUMPRODUCT(Attributs!$BF$2:$BF$18,Attributs!$CJ$2:$CJ$18)+SUMPRODUCT(Attributs!$BG$2:$BG$18,Attributs!$CK$2:$CK$18))/((SQRT(SUMSQ(Attributs!$BF$2:$BF$18)+SUMSQ(Attributs!$BG$2:$BG$18)))*(SQRT(SUMSQ(Attributs!$CJ$2:$CJ$18)+SUMSQ(Attributs!$CK$2:$CK$18)))),0)</f>
        <v/>
      </c>
      <c r="AT30" s="2">
        <f>IFERROR((SUMPRODUCT(Attributs!$BF$2:$BF$18,Attributs!$CL$2:$CL$18)+SUMPRODUCT(Attributs!$BG$2:$BG$18,Attributs!$CM$2:$CM$18))/((SQRT(SUMSQ(Attributs!$BF$2:$BF$18)+SUMSQ(Attributs!$BG$2:$BG$18)))*(SQRT(SUMSQ(Attributs!$CL$2:$CL$18)+SUMSQ(Attributs!$CM$2:$CM$18)))),0)</f>
        <v/>
      </c>
      <c r="AU30" s="2">
        <f>IFERROR((SUMPRODUCT(Attributs!$BF$2:$BF$18,Attributs!$CN$2:$CN$18)+SUMPRODUCT(Attributs!$BG$2:$BG$18,Attributs!$CO$2:$CO$18))/((SQRT(SUMSQ(Attributs!$BF$2:$BF$18)+SUMSQ(Attributs!$BG$2:$BG$18)))*(SQRT(SUMSQ(Attributs!$CN$2:$CN$18)+SUMSQ(Attributs!$CO$2:$CO$18)))),0)</f>
        <v/>
      </c>
      <c r="AV30" s="2">
        <f>IFERROR((SUMPRODUCT(Attributs!$BF$2:$BF$18,Attributs!$CP$2:$CP$18)+SUMPRODUCT(Attributs!$BG$2:$BG$18,Attributs!$CQ$2:$CQ$18))/((SQRT(SUMSQ(Attributs!$BF$2:$BF$18)+SUMSQ(Attributs!$BG$2:$BG$18)))*(SQRT(SUMSQ(Attributs!$CP$2:$CP$18)+SUMSQ(Attributs!$CQ$2:$CQ$18)))),0)</f>
        <v/>
      </c>
      <c r="AW30" s="2">
        <f>IFERROR((SUMPRODUCT(Attributs!$BF$2:$BF$18,Attributs!$CR$2:$CR$18)+SUMPRODUCT(Attributs!$BG$2:$BG$18,Attributs!$CS$2:$CS$18))/((SQRT(SUMSQ(Attributs!$BF$2:$BF$18)+SUMSQ(Attributs!$BG$2:$BG$18)))*(SQRT(SUMSQ(Attributs!$CR$2:$CR$18)+SUMSQ(Attributs!$CS$2:$CS$18)))),0)</f>
        <v/>
      </c>
      <c r="AX30" s="2">
        <f>IFERROR((SUMPRODUCT(Attributs!$BF$2:$BF$18,Attributs!$CT$2:$CT$18)+SUMPRODUCT(Attributs!$BG$2:$BG$18,Attributs!$CU$2:$CU$18))/((SQRT(SUMSQ(Attributs!$BF$2:$BF$18)+SUMSQ(Attributs!$BG$2:$BG$18)))*(SQRT(SUMSQ(Attributs!$CT$2:$CT$18)+SUMSQ(Attributs!$CU$2:$CU$18)))),0)</f>
        <v/>
      </c>
      <c r="AY30" s="2">
        <f>IFERROR((SUMPRODUCT(Attributs!$BF$2:$BF$18,Attributs!$CV$2:$CV$18)+SUMPRODUCT(Attributs!$BG$2:$BG$18,Attributs!$CW$2:$CW$18))/((SQRT(SUMSQ(Attributs!$BF$2:$BF$18)+SUMSQ(Attributs!$BG$2:$BG$18)))*(SQRT(SUMSQ(Attributs!$CV$2:$CV$18)+SUMSQ(Attributs!$CW$2:$CW$18)))),0)</f>
        <v/>
      </c>
      <c r="AZ30" s="2">
        <f>IFERROR((SUMPRODUCT(Attributs!$BF$2:$BF$18,Attributs!$CX$2:$CX$18)+SUMPRODUCT(Attributs!$BG$2:$BG$18,Attributs!$CY$2:$CY$18))/((SQRT(SUMSQ(Attributs!$BF$2:$BF$18)+SUMSQ(Attributs!$BG$2:$BG$18)))*(SQRT(SUMSQ(Attributs!$CX$2:$CX$18)+SUMSQ(Attributs!$CY$2:$CY$18)))),0)</f>
        <v/>
      </c>
      <c r="BA30" s="2">
        <f>IFERROR((SUMPRODUCT(Attributs!$BF$2:$BF$18,Attributs!$CZ$2:$CZ$18)+SUMPRODUCT(Attributs!$BG$2:$BG$18,Attributs!$DA$2:$DA$18))/((SQRT(SUMSQ(Attributs!$BF$2:$BF$18)+SUMSQ(Attributs!$BG$2:$BG$18)))*(SQRT(SUMSQ(Attributs!$CZ$2:$CZ$18)+SUMSQ(Attributs!$DA$2:$DA$18)))),0)</f>
        <v/>
      </c>
      <c r="BB30" s="2">
        <f>IFERROR((SUMPRODUCT(Attributs!$BF$2:$BF$18,Attributs!$DB$2:$DB$18)+SUMPRODUCT(Attributs!$BG$2:$BG$18,Attributs!$DC$2:$DC$18))/((SQRT(SUMSQ(Attributs!$BF$2:$BF$18)+SUMSQ(Attributs!$BG$2:$BG$18)))*(SQRT(SUMSQ(Attributs!$DB$2:$DB$18)+SUMSQ(Attributs!$DC$2:$DC$18)))),0)</f>
        <v/>
      </c>
      <c r="BC30" s="2">
        <f>IFERROR((SUMPRODUCT(Attributs!$BF$2:$BF$18,Attributs!$DD$2:$DD$18)+SUMPRODUCT(Attributs!$BG$2:$BG$18,Attributs!$DE$2:$DE$18))/((SQRT(SUMSQ(Attributs!$BF$2:$BF$18)+SUMSQ(Attributs!$BG$2:$BG$18)))*(SQRT(SUMSQ(Attributs!$DD$2:$DD$18)+SUMSQ(Attributs!$DE$2:$DE$18)))),0)</f>
        <v/>
      </c>
      <c r="BD30" s="2">
        <f>IFERROR((SUMPRODUCT(Attributs!$BF$2:$BF$18,Attributs!$DF$2:$DF$18)+SUMPRODUCT(Attributs!$BG$2:$BG$18,Attributs!$DG$2:$DG$18))/((SQRT(SUMSQ(Attributs!$BF$2:$BF$18)+SUMSQ(Attributs!$BG$2:$BG$18)))*(SQRT(SUMSQ(Attributs!$DF$2:$DF$18)+SUMSQ(Attributs!$DG$2:$DG$18)))),0)</f>
        <v/>
      </c>
      <c r="BE30" s="2">
        <f>IFERROR((SUMPRODUCT(Attributs!$BF$2:$BF$18,Attributs!$DH$2:$DH$18)+SUMPRODUCT(Attributs!$BG$2:$BG$18,Attributs!$DI$2:$DI$18))/((SQRT(SUMSQ(Attributs!$BF$2:$BF$18)+SUMSQ(Attributs!$BG$2:$BG$18)))*(SQRT(SUMSQ(Attributs!$DH$2:$DH$18)+SUMSQ(Attributs!$DI$2:$DI$18)))),0)</f>
        <v/>
      </c>
      <c r="BF30" s="2">
        <f>IFERROR((SUMPRODUCT(Attributs!$BF$2:$BF$18,Attributs!$DJ$2:$DJ$18)+SUMPRODUCT(Attributs!$BG$2:$BG$18,Attributs!$DK$2:$DK$18))/((SQRT(SUMSQ(Attributs!$BF$2:$BF$18)+SUMSQ(Attributs!$BG$2:$BG$18)))*(SQRT(SUMSQ(Attributs!$DJ$2:$DJ$18)+SUMSQ(Attributs!$DK$2:$DK$18)))),0)</f>
        <v/>
      </c>
      <c r="BG30" s="2">
        <f>IFERROR((SUMPRODUCT(Attributs!$BF$2:$BF$18,Attributs!$DL$2:$DL$18)+SUMPRODUCT(Attributs!$BG$2:$BG$18,Attributs!$DM$2:$DM$18))/((SQRT(SUMSQ(Attributs!$BF$2:$BF$18)+SUMSQ(Attributs!$BG$2:$BG$18)))*(SQRT(SUMSQ(Attributs!$DL$2:$DL$18)+SUMSQ(Attributs!$DM$2:$DM$18)))),0)</f>
        <v/>
      </c>
      <c r="BH30" s="2">
        <f>IFERROR((SUMPRODUCT(Attributs!$BF$2:$BF$18,Attributs!$DN$2:$DN$18)+SUMPRODUCT(Attributs!$BG$2:$BG$18,Attributs!$DO$2:$DO$18))/((SQRT(SUMSQ(Attributs!$BF$2:$BF$18)+SUMSQ(Attributs!$BG$2:$BG$18)))*(SQRT(SUMSQ(Attributs!$DN$2:$DN$18)+SUMSQ(Attributs!$DO$2:$DO$18)))),0)</f>
        <v/>
      </c>
      <c r="BI30" s="2">
        <f>IFERROR((SUMPRODUCT(Attributs!$BF$2:$BF$18,Attributs!$DP$2:$DP$18)+SUMPRODUCT(Attributs!$BG$2:$BG$18,Attributs!$DQ$2:$DQ$18))/((SQRT(SUMSQ(Attributs!$BF$2:$BF$18)+SUMSQ(Attributs!$BG$2:$BG$18)))*(SQRT(SUMSQ(Attributs!$DP$2:$DP$18)+SUMSQ(Attributs!$DQ$2:$DQ$18)))),0)</f>
        <v/>
      </c>
      <c r="BJ30" s="2">
        <f>IFERROR((SUMPRODUCT(Attributs!$BF$2:$BF$18,Attributs!$DR$2:$DR$18)+SUMPRODUCT(Attributs!$BG$2:$BG$18,Attributs!$DS$2:$DS$18))/((SQRT(SUMSQ(Attributs!$BF$2:$BF$18)+SUMSQ(Attributs!$BG$2:$BG$18)))*(SQRT(SUMSQ(Attributs!$DR$2:$DR$18)+SUMSQ(Attributs!$DS$2:$DS$18)))),0)</f>
        <v/>
      </c>
      <c r="BK30" s="2">
        <f>IFERROR((SUMPRODUCT(Attributs!$BF$2:$BF$18,Attributs!$DT$2:$DT$18)+SUMPRODUCT(Attributs!$BG$2:$BG$18,Attributs!$DU$2:$DU$18))/((SQRT(SUMSQ(Attributs!$BF$2:$BF$18)+SUMSQ(Attributs!$BG$2:$BG$18)))*(SQRT(SUMSQ(Attributs!$DT$2:$DT$18)+SUMSQ(Attributs!$DU$2:$DU$18)))),0)</f>
        <v/>
      </c>
      <c r="BL30" s="2">
        <f>IFERROR((SUMPRODUCT(Attributs!$BF$2:$BF$18,Attributs!$DV$2:$DV$18)+SUMPRODUCT(Attributs!$BG$2:$BG$18,Attributs!$DW$2:$DW$18))/((SQRT(SUMSQ(Attributs!$BF$2:$BF$18)+SUMSQ(Attributs!$BG$2:$BG$18)))*(SQRT(SUMSQ(Attributs!$DV$2:$DV$18)+SUMSQ(Attributs!$DW$2:$DW$18)))),0)</f>
        <v/>
      </c>
    </row>
    <row r="31">
      <c r="A31" s="3" t="inlineStr">
        <is>
          <t>SE_mongodb.Badges.Name</t>
        </is>
      </c>
      <c r="B31" s="2">
        <f>IFERROR((SUMPRODUCT(Attributs!$BH$2:$BH$18,Attributs!$B$2:$B$18)+SUMPRODUCT(Attributs!$BI$2:$BI$18,Attributs!$C$2:$C$18))/((SQRT(SUMSQ(Attributs!$BH$2:$BH$18)+SUMSQ(Attributs!$BI$2:$BI$18)))*(SQRT(SUMSQ(Attributs!$B$2:$B$18)+SUMSQ(Attributs!$C$2:$C$18)))),0)</f>
        <v/>
      </c>
      <c r="C31" s="2">
        <f>IFERROR((SUMPRODUCT(Attributs!$BH$2:$BH$18,Attributs!$D$2:$D$18)+SUMPRODUCT(Attributs!$BI$2:$BI$18,Attributs!$E$2:$E$18))/((SQRT(SUMSQ(Attributs!$BH$2:$BH$18)+SUMSQ(Attributs!$BI$2:$BI$18)))*(SQRT(SUMSQ(Attributs!$D$2:$D$18)+SUMSQ(Attributs!$E$2:$E$18)))),0)</f>
        <v/>
      </c>
      <c r="D31" s="2">
        <f>IFERROR((SUMPRODUCT(Attributs!$BH$2:$BH$18,Attributs!$F$2:$F$18)+SUMPRODUCT(Attributs!$BI$2:$BI$18,Attributs!$G$2:$G$18))/((SQRT(SUMSQ(Attributs!$BH$2:$BH$18)+SUMSQ(Attributs!$BI$2:$BI$18)))*(SQRT(SUMSQ(Attributs!$F$2:$F$18)+SUMSQ(Attributs!$G$2:$G$18)))),0)</f>
        <v/>
      </c>
      <c r="E31" s="2">
        <f>IFERROR((SUMPRODUCT(Attributs!$BH$2:$BH$18,Attributs!$H$2:$H$18)+SUMPRODUCT(Attributs!$BI$2:$BI$18,Attributs!$I$2:$I$18))/((SQRT(SUMSQ(Attributs!$BH$2:$BH$18)+SUMSQ(Attributs!$BI$2:$BI$18)))*(SQRT(SUMSQ(Attributs!$H$2:$H$18)+SUMSQ(Attributs!$I$2:$I$18)))),0)</f>
        <v/>
      </c>
      <c r="F31" s="2">
        <f>IFERROR((SUMPRODUCT(Attributs!$BH$2:$BH$18,Attributs!$J$2:$J$18)+SUMPRODUCT(Attributs!$BI$2:$BI$18,Attributs!$K$2:$K$18))/((SQRT(SUMSQ(Attributs!$BH$2:$BH$18)+SUMSQ(Attributs!$BI$2:$BI$18)))*(SQRT(SUMSQ(Attributs!$J$2:$J$18)+SUMSQ(Attributs!$K$2:$K$18)))),0)</f>
        <v/>
      </c>
      <c r="G31" s="2">
        <f>IFERROR((SUMPRODUCT(Attributs!$BH$2:$BH$18,Attributs!$L$2:$L$18)+SUMPRODUCT(Attributs!$BI$2:$BI$18,Attributs!$M$2:$M$18))/((SQRT(SUMSQ(Attributs!$BH$2:$BH$18)+SUMSQ(Attributs!$BI$2:$BI$18)))*(SQRT(SUMSQ(Attributs!$L$2:$L$18)+SUMSQ(Attributs!$M$2:$M$18)))),0)</f>
        <v/>
      </c>
      <c r="H31" s="2">
        <f>IFERROR((SUMPRODUCT(Attributs!$BH$2:$BH$18,Attributs!$N$2:$N$18)+SUMPRODUCT(Attributs!$BI$2:$BI$18,Attributs!$O$2:$O$18))/((SQRT(SUMSQ(Attributs!$BH$2:$BH$18)+SUMSQ(Attributs!$BI$2:$BI$18)))*(SQRT(SUMSQ(Attributs!$N$2:$N$18)+SUMSQ(Attributs!$O$2:$O$18)))),0)</f>
        <v/>
      </c>
      <c r="I31" s="2">
        <f>IFERROR((SUMPRODUCT(Attributs!$BH$2:$BH$18,Attributs!$P$2:$P$18)+SUMPRODUCT(Attributs!$BI$2:$BI$18,Attributs!$Q$2:$Q$18))/((SQRT(SUMSQ(Attributs!$BH$2:$BH$18)+SUMSQ(Attributs!$BI$2:$BI$18)))*(SQRT(SUMSQ(Attributs!$P$2:$P$18)+SUMSQ(Attributs!$Q$2:$Q$18)))),0)</f>
        <v/>
      </c>
      <c r="J31" s="2">
        <f>IFERROR((SUMPRODUCT(Attributs!$BH$2:$BH$18,Attributs!$R$2:$R$18)+SUMPRODUCT(Attributs!$BI$2:$BI$18,Attributs!$S$2:$S$18))/((SQRT(SUMSQ(Attributs!$BH$2:$BH$18)+SUMSQ(Attributs!$BI$2:$BI$18)))*(SQRT(SUMSQ(Attributs!$R$2:$R$18)+SUMSQ(Attributs!$S$2:$S$18)))),0)</f>
        <v/>
      </c>
      <c r="K31" s="2">
        <f>IFERROR((SUMPRODUCT(Attributs!$BH$2:$BH$18,Attributs!$T$2:$T$18)+SUMPRODUCT(Attributs!$BI$2:$BI$18,Attributs!$U$2:$U$18))/((SQRT(SUMSQ(Attributs!$BH$2:$BH$18)+SUMSQ(Attributs!$BI$2:$BI$18)))*(SQRT(SUMSQ(Attributs!$T$2:$T$18)+SUMSQ(Attributs!$U$2:$U$18)))),0)</f>
        <v/>
      </c>
      <c r="L31" s="2">
        <f>IFERROR((SUMPRODUCT(Attributs!$BH$2:$BH$18,Attributs!$V$2:$V$18)+SUMPRODUCT(Attributs!$BI$2:$BI$18,Attributs!$W$2:$W$18))/((SQRT(SUMSQ(Attributs!$BH$2:$BH$18)+SUMSQ(Attributs!$BI$2:$BI$18)))*(SQRT(SUMSQ(Attributs!$V$2:$V$18)+SUMSQ(Attributs!$W$2:$W$18)))),0)</f>
        <v/>
      </c>
      <c r="M31" s="2">
        <f>IFERROR((SUMPRODUCT(Attributs!$BH$2:$BH$18,Attributs!$X$2:$X$18)+SUMPRODUCT(Attributs!$BI$2:$BI$18,Attributs!$Y$2:$Y$18))/((SQRT(SUMSQ(Attributs!$BH$2:$BH$18)+SUMSQ(Attributs!$BI$2:$BI$18)))*(SQRT(SUMSQ(Attributs!$X$2:$X$18)+SUMSQ(Attributs!$Y$2:$Y$18)))),0)</f>
        <v/>
      </c>
      <c r="N31" s="2">
        <f>IFERROR((SUMPRODUCT(Attributs!$BH$2:$BH$18,Attributs!$Z$2:$Z$18)+SUMPRODUCT(Attributs!$BI$2:$BI$18,Attributs!$AA$2:$AA$18))/((SQRT(SUMSQ(Attributs!$BH$2:$BH$18)+SUMSQ(Attributs!$BI$2:$BI$18)))*(SQRT(SUMSQ(Attributs!$Z$2:$Z$18)+SUMSQ(Attributs!$AA$2:$AA$18)))),0)</f>
        <v/>
      </c>
      <c r="O31" s="2">
        <f>IFERROR((SUMPRODUCT(Attributs!$BH$2:$BH$18,Attributs!$AB$2:$AB$18)+SUMPRODUCT(Attributs!$BI$2:$BI$18,Attributs!$AC$2:$AC$18))/((SQRT(SUMSQ(Attributs!$BH$2:$BH$18)+SUMSQ(Attributs!$BI$2:$BI$18)))*(SQRT(SUMSQ(Attributs!$AB$2:$AB$18)+SUMSQ(Attributs!$AC$2:$AC$18)))),0)</f>
        <v/>
      </c>
      <c r="P31" s="2">
        <f>IFERROR((SUMPRODUCT(Attributs!$BH$2:$BH$18,Attributs!$AD$2:$AD$18)+SUMPRODUCT(Attributs!$BI$2:$BI$18,Attributs!$AE$2:$AE$18))/((SQRT(SUMSQ(Attributs!$BH$2:$BH$18)+SUMSQ(Attributs!$BI$2:$BI$18)))*(SQRT(SUMSQ(Attributs!$AD$2:$AD$18)+SUMSQ(Attributs!$AE$2:$AE$18)))),0)</f>
        <v/>
      </c>
      <c r="Q31" s="2">
        <f>IFERROR((SUMPRODUCT(Attributs!$BH$2:$BH$18,Attributs!$AF$2:$AF$18)+SUMPRODUCT(Attributs!$BI$2:$BI$18,Attributs!$AG$2:$AG$18))/((SQRT(SUMSQ(Attributs!$BH$2:$BH$18)+SUMSQ(Attributs!$BI$2:$BI$18)))*(SQRT(SUMSQ(Attributs!$AF$2:$AF$18)+SUMSQ(Attributs!$AG$2:$AG$18)))),0)</f>
        <v/>
      </c>
      <c r="R31" s="2">
        <f>IFERROR((SUMPRODUCT(Attributs!$BH$2:$BH$18,Attributs!$AH$2:$AH$18)+SUMPRODUCT(Attributs!$BI$2:$BI$18,Attributs!$AI$2:$AI$18))/((SQRT(SUMSQ(Attributs!$BH$2:$BH$18)+SUMSQ(Attributs!$BI$2:$BI$18)))*(SQRT(SUMSQ(Attributs!$AH$2:$AH$18)+SUMSQ(Attributs!$AI$2:$AI$18)))),0)</f>
        <v/>
      </c>
      <c r="S31" s="2">
        <f>IFERROR((SUMPRODUCT(Attributs!$BH$2:$BH$18,Attributs!$AJ$2:$AJ$18)+SUMPRODUCT(Attributs!$BI$2:$BI$18,Attributs!$AK$2:$AK$18))/((SQRT(SUMSQ(Attributs!$BH$2:$BH$18)+SUMSQ(Attributs!$BI$2:$BI$18)))*(SQRT(SUMSQ(Attributs!$AJ$2:$AJ$18)+SUMSQ(Attributs!$AK$2:$AK$18)))),0)</f>
        <v/>
      </c>
      <c r="T31" s="2">
        <f>IFERROR((SUMPRODUCT(Attributs!$BH$2:$BH$18,Attributs!$AL$2:$AL$18)+SUMPRODUCT(Attributs!$BI$2:$BI$18,Attributs!$AM$2:$AM$18))/((SQRT(SUMSQ(Attributs!$BH$2:$BH$18)+SUMSQ(Attributs!$BI$2:$BI$18)))*(SQRT(SUMSQ(Attributs!$AL$2:$AL$18)+SUMSQ(Attributs!$AM$2:$AM$18)))),0)</f>
        <v/>
      </c>
      <c r="U31" s="2">
        <f>IFERROR((SUMPRODUCT(Attributs!$BH$2:$BH$18,Attributs!$AN$2:$AN$18)+SUMPRODUCT(Attributs!$BI$2:$BI$18,Attributs!$AO$2:$AO$18))/((SQRT(SUMSQ(Attributs!$BH$2:$BH$18)+SUMSQ(Attributs!$BI$2:$BI$18)))*(SQRT(SUMSQ(Attributs!$AN$2:$AN$18)+SUMSQ(Attributs!$AO$2:$AO$18)))),0)</f>
        <v/>
      </c>
      <c r="V31" s="2">
        <f>IFERROR((SUMPRODUCT(Attributs!$BH$2:$BH$18,Attributs!$AP$2:$AP$18)+SUMPRODUCT(Attributs!$BI$2:$BI$18,Attributs!$AQ$2:$AQ$18))/((SQRT(SUMSQ(Attributs!$BH$2:$BH$18)+SUMSQ(Attributs!$BI$2:$BI$18)))*(SQRT(SUMSQ(Attributs!$AP$2:$AP$18)+SUMSQ(Attributs!$AQ$2:$AQ$18)))),0)</f>
        <v/>
      </c>
      <c r="W31" s="2">
        <f>IFERROR((SUMPRODUCT(Attributs!$BH$2:$BH$18,Attributs!$AR$2:$AR$18)+SUMPRODUCT(Attributs!$BI$2:$BI$18,Attributs!$AS$2:$AS$18))/((SQRT(SUMSQ(Attributs!$BH$2:$BH$18)+SUMSQ(Attributs!$BI$2:$BI$18)))*(SQRT(SUMSQ(Attributs!$AR$2:$AR$18)+SUMSQ(Attributs!$AS$2:$AS$18)))),0)</f>
        <v/>
      </c>
      <c r="X31" s="2">
        <f>IFERROR((SUMPRODUCT(Attributs!$BH$2:$BH$18,Attributs!$AT$2:$AT$18)+SUMPRODUCT(Attributs!$BI$2:$BI$18,Attributs!$AU$2:$AU$18))/((SQRT(SUMSQ(Attributs!$BH$2:$BH$18)+SUMSQ(Attributs!$BI$2:$BI$18)))*(SQRT(SUMSQ(Attributs!$AT$2:$AT$18)+SUMSQ(Attributs!$AU$2:$AU$18)))),0)</f>
        <v/>
      </c>
      <c r="Y31" s="2">
        <f>IFERROR((SUMPRODUCT(Attributs!$BH$2:$BH$18,Attributs!$AV$2:$AV$18)+SUMPRODUCT(Attributs!$BI$2:$BI$18,Attributs!$AW$2:$AW$18))/((SQRT(SUMSQ(Attributs!$BH$2:$BH$18)+SUMSQ(Attributs!$BI$2:$BI$18)))*(SQRT(SUMSQ(Attributs!$AV$2:$AV$18)+SUMSQ(Attributs!$AW$2:$AW$18)))),0)</f>
        <v/>
      </c>
      <c r="Z31" s="2">
        <f>IFERROR((SUMPRODUCT(Attributs!$BH$2:$BH$18,Attributs!$AX$2:$AX$18)+SUMPRODUCT(Attributs!$BI$2:$BI$18,Attributs!$AY$2:$AY$18))/((SQRT(SUMSQ(Attributs!$BH$2:$BH$18)+SUMSQ(Attributs!$BI$2:$BI$18)))*(SQRT(SUMSQ(Attributs!$AX$2:$AX$18)+SUMSQ(Attributs!$AY$2:$AY$18)))),0)</f>
        <v/>
      </c>
      <c r="AA31" s="2">
        <f>IFERROR((SUMPRODUCT(Attributs!$BH$2:$BH$18,Attributs!$AZ$2:$AZ$18)+SUMPRODUCT(Attributs!$BI$2:$BI$18,Attributs!$BA$2:$BA$18))/((SQRT(SUMSQ(Attributs!$BH$2:$BH$18)+SUMSQ(Attributs!$BI$2:$BI$18)))*(SQRT(SUMSQ(Attributs!$AZ$2:$AZ$18)+SUMSQ(Attributs!$BA$2:$BA$18)))),0)</f>
        <v/>
      </c>
      <c r="AB31" s="2">
        <f>IFERROR((SUMPRODUCT(Attributs!$BH$2:$BH$18,Attributs!$BB$2:$BB$18)+SUMPRODUCT(Attributs!$BI$2:$BI$18,Attributs!$BC$2:$BC$18))/((SQRT(SUMSQ(Attributs!$BH$2:$BH$18)+SUMSQ(Attributs!$BI$2:$BI$18)))*(SQRT(SUMSQ(Attributs!$BB$2:$BB$18)+SUMSQ(Attributs!$BC$2:$BC$18)))),0)</f>
        <v/>
      </c>
      <c r="AC31" s="2">
        <f>IFERROR((SUMPRODUCT(Attributs!$BH$2:$BH$18,Attributs!$BD$2:$BD$18)+SUMPRODUCT(Attributs!$BI$2:$BI$18,Attributs!$BE$2:$BE$18))/((SQRT(SUMSQ(Attributs!$BH$2:$BH$18)+SUMSQ(Attributs!$BI$2:$BI$18)))*(SQRT(SUMSQ(Attributs!$BD$2:$BD$18)+SUMSQ(Attributs!$BE$2:$BE$18)))),0)</f>
        <v/>
      </c>
      <c r="AD31" s="2">
        <f>IFERROR((SUMPRODUCT(Attributs!$BH$2:$BH$18,Attributs!$BF$2:$BF$18)+SUMPRODUCT(Attributs!$BI$2:$BI$18,Attributs!$BG$2:$BG$18))/((SQRT(SUMSQ(Attributs!$BH$2:$BH$18)+SUMSQ(Attributs!$BI$2:$BI$18)))*(SQRT(SUMSQ(Attributs!$BF$2:$BF$18)+SUMSQ(Attributs!$BG$2:$BG$18)))),0)</f>
        <v/>
      </c>
      <c r="AE31" s="2">
        <f>IFERROR((SUMPRODUCT(Attributs!$BH$2:$BH$18,Attributs!$BH$2:$BH$18)+SUMPRODUCT(Attributs!$BI$2:$BI$18,Attributs!$BI$2:$BI$18))/((SQRT(SUMSQ(Attributs!$BH$2:$BH$18)+SUMSQ(Attributs!$BI$2:$BI$18)))*(SQRT(SUMSQ(Attributs!$BH$2:$BH$18)+SUMSQ(Attributs!$BI$2:$BI$18)))),0)</f>
        <v/>
      </c>
      <c r="AF31" s="2">
        <f>IFERROR((SUMPRODUCT(Attributs!$BH$2:$BH$18,Attributs!$BJ$2:$BJ$18)+SUMPRODUCT(Attributs!$BI$2:$BI$18,Attributs!$BK$2:$BK$18))/((SQRT(SUMSQ(Attributs!$BH$2:$BH$18)+SUMSQ(Attributs!$BI$2:$BI$18)))*(SQRT(SUMSQ(Attributs!$BJ$2:$BJ$18)+SUMSQ(Attributs!$BK$2:$BK$18)))),0)</f>
        <v/>
      </c>
      <c r="AG31" s="2">
        <f>IFERROR((SUMPRODUCT(Attributs!$BH$2:$BH$18,Attributs!$BL$2:$BL$18)+SUMPRODUCT(Attributs!$BI$2:$BI$18,Attributs!$BM$2:$BM$18))/((SQRT(SUMSQ(Attributs!$BH$2:$BH$18)+SUMSQ(Attributs!$BI$2:$BI$18)))*(SQRT(SUMSQ(Attributs!$BL$2:$BL$18)+SUMSQ(Attributs!$BM$2:$BM$18)))),0)</f>
        <v/>
      </c>
      <c r="AH31" s="2">
        <f>IFERROR((SUMPRODUCT(Attributs!$BH$2:$BH$18,Attributs!$BN$2:$BN$18)+SUMPRODUCT(Attributs!$BI$2:$BI$18,Attributs!$BO$2:$BO$18))/((SQRT(SUMSQ(Attributs!$BH$2:$BH$18)+SUMSQ(Attributs!$BI$2:$BI$18)))*(SQRT(SUMSQ(Attributs!$BN$2:$BN$18)+SUMSQ(Attributs!$BO$2:$BO$18)))),0)</f>
        <v/>
      </c>
      <c r="AI31" s="2">
        <f>IFERROR((SUMPRODUCT(Attributs!$BH$2:$BH$18,Attributs!$BP$2:$BP$18)+SUMPRODUCT(Attributs!$BI$2:$BI$18,Attributs!$BQ$2:$BQ$18))/((SQRT(SUMSQ(Attributs!$BH$2:$BH$18)+SUMSQ(Attributs!$BI$2:$BI$18)))*(SQRT(SUMSQ(Attributs!$BP$2:$BP$18)+SUMSQ(Attributs!$BQ$2:$BQ$18)))),0)</f>
        <v/>
      </c>
      <c r="AJ31" s="2">
        <f>IFERROR((SUMPRODUCT(Attributs!$BH$2:$BH$18,Attributs!$BR$2:$BR$18)+SUMPRODUCT(Attributs!$BI$2:$BI$18,Attributs!$BS$2:$BS$18))/((SQRT(SUMSQ(Attributs!$BH$2:$BH$18)+SUMSQ(Attributs!$BI$2:$BI$18)))*(SQRT(SUMSQ(Attributs!$BR$2:$BR$18)+SUMSQ(Attributs!$BS$2:$BS$18)))),0)</f>
        <v/>
      </c>
      <c r="AK31" s="2">
        <f>IFERROR((SUMPRODUCT(Attributs!$BH$2:$BH$18,Attributs!$BT$2:$BT$18)+SUMPRODUCT(Attributs!$BI$2:$BI$18,Attributs!$BU$2:$BU$18))/((SQRT(SUMSQ(Attributs!$BH$2:$BH$18)+SUMSQ(Attributs!$BI$2:$BI$18)))*(SQRT(SUMSQ(Attributs!$BT$2:$BT$18)+SUMSQ(Attributs!$BU$2:$BU$18)))),0)</f>
        <v/>
      </c>
      <c r="AL31" s="2">
        <f>IFERROR((SUMPRODUCT(Attributs!$BH$2:$BH$18,Attributs!$BV$2:$BV$18)+SUMPRODUCT(Attributs!$BI$2:$BI$18,Attributs!$BW$2:$BW$18))/((SQRT(SUMSQ(Attributs!$BH$2:$BH$18)+SUMSQ(Attributs!$BI$2:$BI$18)))*(SQRT(SUMSQ(Attributs!$BV$2:$BV$18)+SUMSQ(Attributs!$BW$2:$BW$18)))),0)</f>
        <v/>
      </c>
      <c r="AM31" s="2">
        <f>IFERROR((SUMPRODUCT(Attributs!$BH$2:$BH$18,Attributs!$BX$2:$BX$18)+SUMPRODUCT(Attributs!$BI$2:$BI$18,Attributs!$BY$2:$BY$18))/((SQRT(SUMSQ(Attributs!$BH$2:$BH$18)+SUMSQ(Attributs!$BI$2:$BI$18)))*(SQRT(SUMSQ(Attributs!$BX$2:$BX$18)+SUMSQ(Attributs!$BY$2:$BY$18)))),0)</f>
        <v/>
      </c>
      <c r="AN31" s="2">
        <f>IFERROR((SUMPRODUCT(Attributs!$BH$2:$BH$18,Attributs!$BZ$2:$BZ$18)+SUMPRODUCT(Attributs!$BI$2:$BI$18,Attributs!$CA$2:$CA$18))/((SQRT(SUMSQ(Attributs!$BH$2:$BH$18)+SUMSQ(Attributs!$BI$2:$BI$18)))*(SQRT(SUMSQ(Attributs!$BZ$2:$BZ$18)+SUMSQ(Attributs!$CA$2:$CA$18)))),0)</f>
        <v/>
      </c>
      <c r="AO31" s="2">
        <f>IFERROR((SUMPRODUCT(Attributs!$BH$2:$BH$18,Attributs!$CB$2:$CB$18)+SUMPRODUCT(Attributs!$BI$2:$BI$18,Attributs!$CC$2:$CC$18))/((SQRT(SUMSQ(Attributs!$BH$2:$BH$18)+SUMSQ(Attributs!$BI$2:$BI$18)))*(SQRT(SUMSQ(Attributs!$CB$2:$CB$18)+SUMSQ(Attributs!$CC$2:$CC$18)))),0)</f>
        <v/>
      </c>
      <c r="AP31" s="2">
        <f>IFERROR((SUMPRODUCT(Attributs!$BH$2:$BH$18,Attributs!$CD$2:$CD$18)+SUMPRODUCT(Attributs!$BI$2:$BI$18,Attributs!$CE$2:$CE$18))/((SQRT(SUMSQ(Attributs!$BH$2:$BH$18)+SUMSQ(Attributs!$BI$2:$BI$18)))*(SQRT(SUMSQ(Attributs!$CD$2:$CD$18)+SUMSQ(Attributs!$CE$2:$CE$18)))),0)</f>
        <v/>
      </c>
      <c r="AQ31" s="2">
        <f>IFERROR((SUMPRODUCT(Attributs!$BH$2:$BH$18,Attributs!$CF$2:$CF$18)+SUMPRODUCT(Attributs!$BI$2:$BI$18,Attributs!$CG$2:$CG$18))/((SQRT(SUMSQ(Attributs!$BH$2:$BH$18)+SUMSQ(Attributs!$BI$2:$BI$18)))*(SQRT(SUMSQ(Attributs!$CF$2:$CF$18)+SUMSQ(Attributs!$CG$2:$CG$18)))),0)</f>
        <v/>
      </c>
      <c r="AR31" s="2">
        <f>IFERROR((SUMPRODUCT(Attributs!$BH$2:$BH$18,Attributs!$CH$2:$CH$18)+SUMPRODUCT(Attributs!$BI$2:$BI$18,Attributs!$CI$2:$CI$18))/((SQRT(SUMSQ(Attributs!$BH$2:$BH$18)+SUMSQ(Attributs!$BI$2:$BI$18)))*(SQRT(SUMSQ(Attributs!$CH$2:$CH$18)+SUMSQ(Attributs!$CI$2:$CI$18)))),0)</f>
        <v/>
      </c>
      <c r="AS31" s="2">
        <f>IFERROR((SUMPRODUCT(Attributs!$BH$2:$BH$18,Attributs!$CJ$2:$CJ$18)+SUMPRODUCT(Attributs!$BI$2:$BI$18,Attributs!$CK$2:$CK$18))/((SQRT(SUMSQ(Attributs!$BH$2:$BH$18)+SUMSQ(Attributs!$BI$2:$BI$18)))*(SQRT(SUMSQ(Attributs!$CJ$2:$CJ$18)+SUMSQ(Attributs!$CK$2:$CK$18)))),0)</f>
        <v/>
      </c>
      <c r="AT31" s="2">
        <f>IFERROR((SUMPRODUCT(Attributs!$BH$2:$BH$18,Attributs!$CL$2:$CL$18)+SUMPRODUCT(Attributs!$BI$2:$BI$18,Attributs!$CM$2:$CM$18))/((SQRT(SUMSQ(Attributs!$BH$2:$BH$18)+SUMSQ(Attributs!$BI$2:$BI$18)))*(SQRT(SUMSQ(Attributs!$CL$2:$CL$18)+SUMSQ(Attributs!$CM$2:$CM$18)))),0)</f>
        <v/>
      </c>
      <c r="AU31" s="2">
        <f>IFERROR((SUMPRODUCT(Attributs!$BH$2:$BH$18,Attributs!$CN$2:$CN$18)+SUMPRODUCT(Attributs!$BI$2:$BI$18,Attributs!$CO$2:$CO$18))/((SQRT(SUMSQ(Attributs!$BH$2:$BH$18)+SUMSQ(Attributs!$BI$2:$BI$18)))*(SQRT(SUMSQ(Attributs!$CN$2:$CN$18)+SUMSQ(Attributs!$CO$2:$CO$18)))),0)</f>
        <v/>
      </c>
      <c r="AV31" s="2">
        <f>IFERROR((SUMPRODUCT(Attributs!$BH$2:$BH$18,Attributs!$CP$2:$CP$18)+SUMPRODUCT(Attributs!$BI$2:$BI$18,Attributs!$CQ$2:$CQ$18))/((SQRT(SUMSQ(Attributs!$BH$2:$BH$18)+SUMSQ(Attributs!$BI$2:$BI$18)))*(SQRT(SUMSQ(Attributs!$CP$2:$CP$18)+SUMSQ(Attributs!$CQ$2:$CQ$18)))),0)</f>
        <v/>
      </c>
      <c r="AW31" s="2">
        <f>IFERROR((SUMPRODUCT(Attributs!$BH$2:$BH$18,Attributs!$CR$2:$CR$18)+SUMPRODUCT(Attributs!$BI$2:$BI$18,Attributs!$CS$2:$CS$18))/((SQRT(SUMSQ(Attributs!$BH$2:$BH$18)+SUMSQ(Attributs!$BI$2:$BI$18)))*(SQRT(SUMSQ(Attributs!$CR$2:$CR$18)+SUMSQ(Attributs!$CS$2:$CS$18)))),0)</f>
        <v/>
      </c>
      <c r="AX31" s="2">
        <f>IFERROR((SUMPRODUCT(Attributs!$BH$2:$BH$18,Attributs!$CT$2:$CT$18)+SUMPRODUCT(Attributs!$BI$2:$BI$18,Attributs!$CU$2:$CU$18))/((SQRT(SUMSQ(Attributs!$BH$2:$BH$18)+SUMSQ(Attributs!$BI$2:$BI$18)))*(SQRT(SUMSQ(Attributs!$CT$2:$CT$18)+SUMSQ(Attributs!$CU$2:$CU$18)))),0)</f>
        <v/>
      </c>
      <c r="AY31" s="2">
        <f>IFERROR((SUMPRODUCT(Attributs!$BH$2:$BH$18,Attributs!$CV$2:$CV$18)+SUMPRODUCT(Attributs!$BI$2:$BI$18,Attributs!$CW$2:$CW$18))/((SQRT(SUMSQ(Attributs!$BH$2:$BH$18)+SUMSQ(Attributs!$BI$2:$BI$18)))*(SQRT(SUMSQ(Attributs!$CV$2:$CV$18)+SUMSQ(Attributs!$CW$2:$CW$18)))),0)</f>
        <v/>
      </c>
      <c r="AZ31" s="2">
        <f>IFERROR((SUMPRODUCT(Attributs!$BH$2:$BH$18,Attributs!$CX$2:$CX$18)+SUMPRODUCT(Attributs!$BI$2:$BI$18,Attributs!$CY$2:$CY$18))/((SQRT(SUMSQ(Attributs!$BH$2:$BH$18)+SUMSQ(Attributs!$BI$2:$BI$18)))*(SQRT(SUMSQ(Attributs!$CX$2:$CX$18)+SUMSQ(Attributs!$CY$2:$CY$18)))),0)</f>
        <v/>
      </c>
      <c r="BA31" s="2">
        <f>IFERROR((SUMPRODUCT(Attributs!$BH$2:$BH$18,Attributs!$CZ$2:$CZ$18)+SUMPRODUCT(Attributs!$BI$2:$BI$18,Attributs!$DA$2:$DA$18))/((SQRT(SUMSQ(Attributs!$BH$2:$BH$18)+SUMSQ(Attributs!$BI$2:$BI$18)))*(SQRT(SUMSQ(Attributs!$CZ$2:$CZ$18)+SUMSQ(Attributs!$DA$2:$DA$18)))),0)</f>
        <v/>
      </c>
      <c r="BB31" s="2">
        <f>IFERROR((SUMPRODUCT(Attributs!$BH$2:$BH$18,Attributs!$DB$2:$DB$18)+SUMPRODUCT(Attributs!$BI$2:$BI$18,Attributs!$DC$2:$DC$18))/((SQRT(SUMSQ(Attributs!$BH$2:$BH$18)+SUMSQ(Attributs!$BI$2:$BI$18)))*(SQRT(SUMSQ(Attributs!$DB$2:$DB$18)+SUMSQ(Attributs!$DC$2:$DC$18)))),0)</f>
        <v/>
      </c>
      <c r="BC31" s="2">
        <f>IFERROR((SUMPRODUCT(Attributs!$BH$2:$BH$18,Attributs!$DD$2:$DD$18)+SUMPRODUCT(Attributs!$BI$2:$BI$18,Attributs!$DE$2:$DE$18))/((SQRT(SUMSQ(Attributs!$BH$2:$BH$18)+SUMSQ(Attributs!$BI$2:$BI$18)))*(SQRT(SUMSQ(Attributs!$DD$2:$DD$18)+SUMSQ(Attributs!$DE$2:$DE$18)))),0)</f>
        <v/>
      </c>
      <c r="BD31" s="2">
        <f>IFERROR((SUMPRODUCT(Attributs!$BH$2:$BH$18,Attributs!$DF$2:$DF$18)+SUMPRODUCT(Attributs!$BI$2:$BI$18,Attributs!$DG$2:$DG$18))/((SQRT(SUMSQ(Attributs!$BH$2:$BH$18)+SUMSQ(Attributs!$BI$2:$BI$18)))*(SQRT(SUMSQ(Attributs!$DF$2:$DF$18)+SUMSQ(Attributs!$DG$2:$DG$18)))),0)</f>
        <v/>
      </c>
      <c r="BE31" s="2">
        <f>IFERROR((SUMPRODUCT(Attributs!$BH$2:$BH$18,Attributs!$DH$2:$DH$18)+SUMPRODUCT(Attributs!$BI$2:$BI$18,Attributs!$DI$2:$DI$18))/((SQRT(SUMSQ(Attributs!$BH$2:$BH$18)+SUMSQ(Attributs!$BI$2:$BI$18)))*(SQRT(SUMSQ(Attributs!$DH$2:$DH$18)+SUMSQ(Attributs!$DI$2:$DI$18)))),0)</f>
        <v/>
      </c>
      <c r="BF31" s="2">
        <f>IFERROR((SUMPRODUCT(Attributs!$BH$2:$BH$18,Attributs!$DJ$2:$DJ$18)+SUMPRODUCT(Attributs!$BI$2:$BI$18,Attributs!$DK$2:$DK$18))/((SQRT(SUMSQ(Attributs!$BH$2:$BH$18)+SUMSQ(Attributs!$BI$2:$BI$18)))*(SQRT(SUMSQ(Attributs!$DJ$2:$DJ$18)+SUMSQ(Attributs!$DK$2:$DK$18)))),0)</f>
        <v/>
      </c>
      <c r="BG31" s="2">
        <f>IFERROR((SUMPRODUCT(Attributs!$BH$2:$BH$18,Attributs!$DL$2:$DL$18)+SUMPRODUCT(Attributs!$BI$2:$BI$18,Attributs!$DM$2:$DM$18))/((SQRT(SUMSQ(Attributs!$BH$2:$BH$18)+SUMSQ(Attributs!$BI$2:$BI$18)))*(SQRT(SUMSQ(Attributs!$DL$2:$DL$18)+SUMSQ(Attributs!$DM$2:$DM$18)))),0)</f>
        <v/>
      </c>
      <c r="BH31" s="2">
        <f>IFERROR((SUMPRODUCT(Attributs!$BH$2:$BH$18,Attributs!$DN$2:$DN$18)+SUMPRODUCT(Attributs!$BI$2:$BI$18,Attributs!$DO$2:$DO$18))/((SQRT(SUMSQ(Attributs!$BH$2:$BH$18)+SUMSQ(Attributs!$BI$2:$BI$18)))*(SQRT(SUMSQ(Attributs!$DN$2:$DN$18)+SUMSQ(Attributs!$DO$2:$DO$18)))),0)</f>
        <v/>
      </c>
      <c r="BI31" s="2">
        <f>IFERROR((SUMPRODUCT(Attributs!$BH$2:$BH$18,Attributs!$DP$2:$DP$18)+SUMPRODUCT(Attributs!$BI$2:$BI$18,Attributs!$DQ$2:$DQ$18))/((SQRT(SUMSQ(Attributs!$BH$2:$BH$18)+SUMSQ(Attributs!$BI$2:$BI$18)))*(SQRT(SUMSQ(Attributs!$DP$2:$DP$18)+SUMSQ(Attributs!$DQ$2:$DQ$18)))),0)</f>
        <v/>
      </c>
      <c r="BJ31" s="2">
        <f>IFERROR((SUMPRODUCT(Attributs!$BH$2:$BH$18,Attributs!$DR$2:$DR$18)+SUMPRODUCT(Attributs!$BI$2:$BI$18,Attributs!$DS$2:$DS$18))/((SQRT(SUMSQ(Attributs!$BH$2:$BH$18)+SUMSQ(Attributs!$BI$2:$BI$18)))*(SQRT(SUMSQ(Attributs!$DR$2:$DR$18)+SUMSQ(Attributs!$DS$2:$DS$18)))),0)</f>
        <v/>
      </c>
      <c r="BK31" s="2">
        <f>IFERROR((SUMPRODUCT(Attributs!$BH$2:$BH$18,Attributs!$DT$2:$DT$18)+SUMPRODUCT(Attributs!$BI$2:$BI$18,Attributs!$DU$2:$DU$18))/((SQRT(SUMSQ(Attributs!$BH$2:$BH$18)+SUMSQ(Attributs!$BI$2:$BI$18)))*(SQRT(SUMSQ(Attributs!$DT$2:$DT$18)+SUMSQ(Attributs!$DU$2:$DU$18)))),0)</f>
        <v/>
      </c>
      <c r="BL31" s="2">
        <f>IFERROR((SUMPRODUCT(Attributs!$BH$2:$BH$18,Attributs!$DV$2:$DV$18)+SUMPRODUCT(Attributs!$BI$2:$BI$18,Attributs!$DW$2:$DW$18))/((SQRT(SUMSQ(Attributs!$BH$2:$BH$18)+SUMSQ(Attributs!$BI$2:$BI$18)))*(SQRT(SUMSQ(Attributs!$DV$2:$DV$18)+SUMSQ(Attributs!$DW$2:$DW$18)))),0)</f>
        <v/>
      </c>
    </row>
    <row r="32">
      <c r="A32" s="3" t="inlineStr">
        <is>
          <t>SE_mongodb.Badges.Date</t>
        </is>
      </c>
      <c r="B32" s="2">
        <f>IFERROR((SUMPRODUCT(Attributs!$BJ$2:$BJ$18,Attributs!$B$2:$B$18)+SUMPRODUCT(Attributs!$BK$2:$BK$18,Attributs!$C$2:$C$18))/((SQRT(SUMSQ(Attributs!$BJ$2:$BJ$18)+SUMSQ(Attributs!$BK$2:$BK$18)))*(SQRT(SUMSQ(Attributs!$B$2:$B$18)+SUMSQ(Attributs!$C$2:$C$18)))),0)</f>
        <v/>
      </c>
      <c r="C32" s="2">
        <f>IFERROR((SUMPRODUCT(Attributs!$BJ$2:$BJ$18,Attributs!$D$2:$D$18)+SUMPRODUCT(Attributs!$BK$2:$BK$18,Attributs!$E$2:$E$18))/((SQRT(SUMSQ(Attributs!$BJ$2:$BJ$18)+SUMSQ(Attributs!$BK$2:$BK$18)))*(SQRT(SUMSQ(Attributs!$D$2:$D$18)+SUMSQ(Attributs!$E$2:$E$18)))),0)</f>
        <v/>
      </c>
      <c r="D32" s="2">
        <f>IFERROR((SUMPRODUCT(Attributs!$BJ$2:$BJ$18,Attributs!$F$2:$F$18)+SUMPRODUCT(Attributs!$BK$2:$BK$18,Attributs!$G$2:$G$18))/((SQRT(SUMSQ(Attributs!$BJ$2:$BJ$18)+SUMSQ(Attributs!$BK$2:$BK$18)))*(SQRT(SUMSQ(Attributs!$F$2:$F$18)+SUMSQ(Attributs!$G$2:$G$18)))),0)</f>
        <v/>
      </c>
      <c r="E32" s="2">
        <f>IFERROR((SUMPRODUCT(Attributs!$BJ$2:$BJ$18,Attributs!$H$2:$H$18)+SUMPRODUCT(Attributs!$BK$2:$BK$18,Attributs!$I$2:$I$18))/((SQRT(SUMSQ(Attributs!$BJ$2:$BJ$18)+SUMSQ(Attributs!$BK$2:$BK$18)))*(SQRT(SUMSQ(Attributs!$H$2:$H$18)+SUMSQ(Attributs!$I$2:$I$18)))),0)</f>
        <v/>
      </c>
      <c r="F32" s="2">
        <f>IFERROR((SUMPRODUCT(Attributs!$BJ$2:$BJ$18,Attributs!$J$2:$J$18)+SUMPRODUCT(Attributs!$BK$2:$BK$18,Attributs!$K$2:$K$18))/((SQRT(SUMSQ(Attributs!$BJ$2:$BJ$18)+SUMSQ(Attributs!$BK$2:$BK$18)))*(SQRT(SUMSQ(Attributs!$J$2:$J$18)+SUMSQ(Attributs!$K$2:$K$18)))),0)</f>
        <v/>
      </c>
      <c r="G32" s="2">
        <f>IFERROR((SUMPRODUCT(Attributs!$BJ$2:$BJ$18,Attributs!$L$2:$L$18)+SUMPRODUCT(Attributs!$BK$2:$BK$18,Attributs!$M$2:$M$18))/((SQRT(SUMSQ(Attributs!$BJ$2:$BJ$18)+SUMSQ(Attributs!$BK$2:$BK$18)))*(SQRT(SUMSQ(Attributs!$L$2:$L$18)+SUMSQ(Attributs!$M$2:$M$18)))),0)</f>
        <v/>
      </c>
      <c r="H32" s="2">
        <f>IFERROR((SUMPRODUCT(Attributs!$BJ$2:$BJ$18,Attributs!$N$2:$N$18)+SUMPRODUCT(Attributs!$BK$2:$BK$18,Attributs!$O$2:$O$18))/((SQRT(SUMSQ(Attributs!$BJ$2:$BJ$18)+SUMSQ(Attributs!$BK$2:$BK$18)))*(SQRT(SUMSQ(Attributs!$N$2:$N$18)+SUMSQ(Attributs!$O$2:$O$18)))),0)</f>
        <v/>
      </c>
      <c r="I32" s="2">
        <f>IFERROR((SUMPRODUCT(Attributs!$BJ$2:$BJ$18,Attributs!$P$2:$P$18)+SUMPRODUCT(Attributs!$BK$2:$BK$18,Attributs!$Q$2:$Q$18))/((SQRT(SUMSQ(Attributs!$BJ$2:$BJ$18)+SUMSQ(Attributs!$BK$2:$BK$18)))*(SQRT(SUMSQ(Attributs!$P$2:$P$18)+SUMSQ(Attributs!$Q$2:$Q$18)))),0)</f>
        <v/>
      </c>
      <c r="J32" s="2">
        <f>IFERROR((SUMPRODUCT(Attributs!$BJ$2:$BJ$18,Attributs!$R$2:$R$18)+SUMPRODUCT(Attributs!$BK$2:$BK$18,Attributs!$S$2:$S$18))/((SQRT(SUMSQ(Attributs!$BJ$2:$BJ$18)+SUMSQ(Attributs!$BK$2:$BK$18)))*(SQRT(SUMSQ(Attributs!$R$2:$R$18)+SUMSQ(Attributs!$S$2:$S$18)))),0)</f>
        <v/>
      </c>
      <c r="K32" s="2">
        <f>IFERROR((SUMPRODUCT(Attributs!$BJ$2:$BJ$18,Attributs!$T$2:$T$18)+SUMPRODUCT(Attributs!$BK$2:$BK$18,Attributs!$U$2:$U$18))/((SQRT(SUMSQ(Attributs!$BJ$2:$BJ$18)+SUMSQ(Attributs!$BK$2:$BK$18)))*(SQRT(SUMSQ(Attributs!$T$2:$T$18)+SUMSQ(Attributs!$U$2:$U$18)))),0)</f>
        <v/>
      </c>
      <c r="L32" s="2">
        <f>IFERROR((SUMPRODUCT(Attributs!$BJ$2:$BJ$18,Attributs!$V$2:$V$18)+SUMPRODUCT(Attributs!$BK$2:$BK$18,Attributs!$W$2:$W$18))/((SQRT(SUMSQ(Attributs!$BJ$2:$BJ$18)+SUMSQ(Attributs!$BK$2:$BK$18)))*(SQRT(SUMSQ(Attributs!$V$2:$V$18)+SUMSQ(Attributs!$W$2:$W$18)))),0)</f>
        <v/>
      </c>
      <c r="M32" s="2">
        <f>IFERROR((SUMPRODUCT(Attributs!$BJ$2:$BJ$18,Attributs!$X$2:$X$18)+SUMPRODUCT(Attributs!$BK$2:$BK$18,Attributs!$Y$2:$Y$18))/((SQRT(SUMSQ(Attributs!$BJ$2:$BJ$18)+SUMSQ(Attributs!$BK$2:$BK$18)))*(SQRT(SUMSQ(Attributs!$X$2:$X$18)+SUMSQ(Attributs!$Y$2:$Y$18)))),0)</f>
        <v/>
      </c>
      <c r="N32" s="2">
        <f>IFERROR((SUMPRODUCT(Attributs!$BJ$2:$BJ$18,Attributs!$Z$2:$Z$18)+SUMPRODUCT(Attributs!$BK$2:$BK$18,Attributs!$AA$2:$AA$18))/((SQRT(SUMSQ(Attributs!$BJ$2:$BJ$18)+SUMSQ(Attributs!$BK$2:$BK$18)))*(SQRT(SUMSQ(Attributs!$Z$2:$Z$18)+SUMSQ(Attributs!$AA$2:$AA$18)))),0)</f>
        <v/>
      </c>
      <c r="O32" s="2">
        <f>IFERROR((SUMPRODUCT(Attributs!$BJ$2:$BJ$18,Attributs!$AB$2:$AB$18)+SUMPRODUCT(Attributs!$BK$2:$BK$18,Attributs!$AC$2:$AC$18))/((SQRT(SUMSQ(Attributs!$BJ$2:$BJ$18)+SUMSQ(Attributs!$BK$2:$BK$18)))*(SQRT(SUMSQ(Attributs!$AB$2:$AB$18)+SUMSQ(Attributs!$AC$2:$AC$18)))),0)</f>
        <v/>
      </c>
      <c r="P32" s="2">
        <f>IFERROR((SUMPRODUCT(Attributs!$BJ$2:$BJ$18,Attributs!$AD$2:$AD$18)+SUMPRODUCT(Attributs!$BK$2:$BK$18,Attributs!$AE$2:$AE$18))/((SQRT(SUMSQ(Attributs!$BJ$2:$BJ$18)+SUMSQ(Attributs!$BK$2:$BK$18)))*(SQRT(SUMSQ(Attributs!$AD$2:$AD$18)+SUMSQ(Attributs!$AE$2:$AE$18)))),0)</f>
        <v/>
      </c>
      <c r="Q32" s="2">
        <f>IFERROR((SUMPRODUCT(Attributs!$BJ$2:$BJ$18,Attributs!$AF$2:$AF$18)+SUMPRODUCT(Attributs!$BK$2:$BK$18,Attributs!$AG$2:$AG$18))/((SQRT(SUMSQ(Attributs!$BJ$2:$BJ$18)+SUMSQ(Attributs!$BK$2:$BK$18)))*(SQRT(SUMSQ(Attributs!$AF$2:$AF$18)+SUMSQ(Attributs!$AG$2:$AG$18)))),0)</f>
        <v/>
      </c>
      <c r="R32" s="2">
        <f>IFERROR((SUMPRODUCT(Attributs!$BJ$2:$BJ$18,Attributs!$AH$2:$AH$18)+SUMPRODUCT(Attributs!$BK$2:$BK$18,Attributs!$AI$2:$AI$18))/((SQRT(SUMSQ(Attributs!$BJ$2:$BJ$18)+SUMSQ(Attributs!$BK$2:$BK$18)))*(SQRT(SUMSQ(Attributs!$AH$2:$AH$18)+SUMSQ(Attributs!$AI$2:$AI$18)))),0)</f>
        <v/>
      </c>
      <c r="S32" s="2">
        <f>IFERROR((SUMPRODUCT(Attributs!$BJ$2:$BJ$18,Attributs!$AJ$2:$AJ$18)+SUMPRODUCT(Attributs!$BK$2:$BK$18,Attributs!$AK$2:$AK$18))/((SQRT(SUMSQ(Attributs!$BJ$2:$BJ$18)+SUMSQ(Attributs!$BK$2:$BK$18)))*(SQRT(SUMSQ(Attributs!$AJ$2:$AJ$18)+SUMSQ(Attributs!$AK$2:$AK$18)))),0)</f>
        <v/>
      </c>
      <c r="T32" s="2">
        <f>IFERROR((SUMPRODUCT(Attributs!$BJ$2:$BJ$18,Attributs!$AL$2:$AL$18)+SUMPRODUCT(Attributs!$BK$2:$BK$18,Attributs!$AM$2:$AM$18))/((SQRT(SUMSQ(Attributs!$BJ$2:$BJ$18)+SUMSQ(Attributs!$BK$2:$BK$18)))*(SQRT(SUMSQ(Attributs!$AL$2:$AL$18)+SUMSQ(Attributs!$AM$2:$AM$18)))),0)</f>
        <v/>
      </c>
      <c r="U32" s="2">
        <f>IFERROR((SUMPRODUCT(Attributs!$BJ$2:$BJ$18,Attributs!$AN$2:$AN$18)+SUMPRODUCT(Attributs!$BK$2:$BK$18,Attributs!$AO$2:$AO$18))/((SQRT(SUMSQ(Attributs!$BJ$2:$BJ$18)+SUMSQ(Attributs!$BK$2:$BK$18)))*(SQRT(SUMSQ(Attributs!$AN$2:$AN$18)+SUMSQ(Attributs!$AO$2:$AO$18)))),0)</f>
        <v/>
      </c>
      <c r="V32" s="2">
        <f>IFERROR((SUMPRODUCT(Attributs!$BJ$2:$BJ$18,Attributs!$AP$2:$AP$18)+SUMPRODUCT(Attributs!$BK$2:$BK$18,Attributs!$AQ$2:$AQ$18))/((SQRT(SUMSQ(Attributs!$BJ$2:$BJ$18)+SUMSQ(Attributs!$BK$2:$BK$18)))*(SQRT(SUMSQ(Attributs!$AP$2:$AP$18)+SUMSQ(Attributs!$AQ$2:$AQ$18)))),0)</f>
        <v/>
      </c>
      <c r="W32" s="2">
        <f>IFERROR((SUMPRODUCT(Attributs!$BJ$2:$BJ$18,Attributs!$AR$2:$AR$18)+SUMPRODUCT(Attributs!$BK$2:$BK$18,Attributs!$AS$2:$AS$18))/((SQRT(SUMSQ(Attributs!$BJ$2:$BJ$18)+SUMSQ(Attributs!$BK$2:$BK$18)))*(SQRT(SUMSQ(Attributs!$AR$2:$AR$18)+SUMSQ(Attributs!$AS$2:$AS$18)))),0)</f>
        <v/>
      </c>
      <c r="X32" s="2">
        <f>IFERROR((SUMPRODUCT(Attributs!$BJ$2:$BJ$18,Attributs!$AT$2:$AT$18)+SUMPRODUCT(Attributs!$BK$2:$BK$18,Attributs!$AU$2:$AU$18))/((SQRT(SUMSQ(Attributs!$BJ$2:$BJ$18)+SUMSQ(Attributs!$BK$2:$BK$18)))*(SQRT(SUMSQ(Attributs!$AT$2:$AT$18)+SUMSQ(Attributs!$AU$2:$AU$18)))),0)</f>
        <v/>
      </c>
      <c r="Y32" s="2">
        <f>IFERROR((SUMPRODUCT(Attributs!$BJ$2:$BJ$18,Attributs!$AV$2:$AV$18)+SUMPRODUCT(Attributs!$BK$2:$BK$18,Attributs!$AW$2:$AW$18))/((SQRT(SUMSQ(Attributs!$BJ$2:$BJ$18)+SUMSQ(Attributs!$BK$2:$BK$18)))*(SQRT(SUMSQ(Attributs!$AV$2:$AV$18)+SUMSQ(Attributs!$AW$2:$AW$18)))),0)</f>
        <v/>
      </c>
      <c r="Z32" s="2">
        <f>IFERROR((SUMPRODUCT(Attributs!$BJ$2:$BJ$18,Attributs!$AX$2:$AX$18)+SUMPRODUCT(Attributs!$BK$2:$BK$18,Attributs!$AY$2:$AY$18))/((SQRT(SUMSQ(Attributs!$BJ$2:$BJ$18)+SUMSQ(Attributs!$BK$2:$BK$18)))*(SQRT(SUMSQ(Attributs!$AX$2:$AX$18)+SUMSQ(Attributs!$AY$2:$AY$18)))),0)</f>
        <v/>
      </c>
      <c r="AA32" s="2">
        <f>IFERROR((SUMPRODUCT(Attributs!$BJ$2:$BJ$18,Attributs!$AZ$2:$AZ$18)+SUMPRODUCT(Attributs!$BK$2:$BK$18,Attributs!$BA$2:$BA$18))/((SQRT(SUMSQ(Attributs!$BJ$2:$BJ$18)+SUMSQ(Attributs!$BK$2:$BK$18)))*(SQRT(SUMSQ(Attributs!$AZ$2:$AZ$18)+SUMSQ(Attributs!$BA$2:$BA$18)))),0)</f>
        <v/>
      </c>
      <c r="AB32" s="2">
        <f>IFERROR((SUMPRODUCT(Attributs!$BJ$2:$BJ$18,Attributs!$BB$2:$BB$18)+SUMPRODUCT(Attributs!$BK$2:$BK$18,Attributs!$BC$2:$BC$18))/((SQRT(SUMSQ(Attributs!$BJ$2:$BJ$18)+SUMSQ(Attributs!$BK$2:$BK$18)))*(SQRT(SUMSQ(Attributs!$BB$2:$BB$18)+SUMSQ(Attributs!$BC$2:$BC$18)))),0)</f>
        <v/>
      </c>
      <c r="AC32" s="2">
        <f>IFERROR((SUMPRODUCT(Attributs!$BJ$2:$BJ$18,Attributs!$BD$2:$BD$18)+SUMPRODUCT(Attributs!$BK$2:$BK$18,Attributs!$BE$2:$BE$18))/((SQRT(SUMSQ(Attributs!$BJ$2:$BJ$18)+SUMSQ(Attributs!$BK$2:$BK$18)))*(SQRT(SUMSQ(Attributs!$BD$2:$BD$18)+SUMSQ(Attributs!$BE$2:$BE$18)))),0)</f>
        <v/>
      </c>
      <c r="AD32" s="2">
        <f>IFERROR((SUMPRODUCT(Attributs!$BJ$2:$BJ$18,Attributs!$BF$2:$BF$18)+SUMPRODUCT(Attributs!$BK$2:$BK$18,Attributs!$BG$2:$BG$18))/((SQRT(SUMSQ(Attributs!$BJ$2:$BJ$18)+SUMSQ(Attributs!$BK$2:$BK$18)))*(SQRT(SUMSQ(Attributs!$BF$2:$BF$18)+SUMSQ(Attributs!$BG$2:$BG$18)))),0)</f>
        <v/>
      </c>
      <c r="AE32" s="2">
        <f>IFERROR((SUMPRODUCT(Attributs!$BJ$2:$BJ$18,Attributs!$BH$2:$BH$18)+SUMPRODUCT(Attributs!$BK$2:$BK$18,Attributs!$BI$2:$BI$18))/((SQRT(SUMSQ(Attributs!$BJ$2:$BJ$18)+SUMSQ(Attributs!$BK$2:$BK$18)))*(SQRT(SUMSQ(Attributs!$BH$2:$BH$18)+SUMSQ(Attributs!$BI$2:$BI$18)))),0)</f>
        <v/>
      </c>
      <c r="AF32" s="2">
        <f>IFERROR((SUMPRODUCT(Attributs!$BJ$2:$BJ$18,Attributs!$BJ$2:$BJ$18)+SUMPRODUCT(Attributs!$BK$2:$BK$18,Attributs!$BK$2:$BK$18))/((SQRT(SUMSQ(Attributs!$BJ$2:$BJ$18)+SUMSQ(Attributs!$BK$2:$BK$18)))*(SQRT(SUMSQ(Attributs!$BJ$2:$BJ$18)+SUMSQ(Attributs!$BK$2:$BK$18)))),0)</f>
        <v/>
      </c>
      <c r="AG32" s="2">
        <f>IFERROR((SUMPRODUCT(Attributs!$BJ$2:$BJ$18,Attributs!$BL$2:$BL$18)+SUMPRODUCT(Attributs!$BK$2:$BK$18,Attributs!$BM$2:$BM$18))/((SQRT(SUMSQ(Attributs!$BJ$2:$BJ$18)+SUMSQ(Attributs!$BK$2:$BK$18)))*(SQRT(SUMSQ(Attributs!$BL$2:$BL$18)+SUMSQ(Attributs!$BM$2:$BM$18)))),0)</f>
        <v/>
      </c>
      <c r="AH32" s="2">
        <f>IFERROR((SUMPRODUCT(Attributs!$BJ$2:$BJ$18,Attributs!$BN$2:$BN$18)+SUMPRODUCT(Attributs!$BK$2:$BK$18,Attributs!$BO$2:$BO$18))/((SQRT(SUMSQ(Attributs!$BJ$2:$BJ$18)+SUMSQ(Attributs!$BK$2:$BK$18)))*(SQRT(SUMSQ(Attributs!$BN$2:$BN$18)+SUMSQ(Attributs!$BO$2:$BO$18)))),0)</f>
        <v/>
      </c>
      <c r="AI32" s="2">
        <f>IFERROR((SUMPRODUCT(Attributs!$BJ$2:$BJ$18,Attributs!$BP$2:$BP$18)+SUMPRODUCT(Attributs!$BK$2:$BK$18,Attributs!$BQ$2:$BQ$18))/((SQRT(SUMSQ(Attributs!$BJ$2:$BJ$18)+SUMSQ(Attributs!$BK$2:$BK$18)))*(SQRT(SUMSQ(Attributs!$BP$2:$BP$18)+SUMSQ(Attributs!$BQ$2:$BQ$18)))),0)</f>
        <v/>
      </c>
      <c r="AJ32" s="2">
        <f>IFERROR((SUMPRODUCT(Attributs!$BJ$2:$BJ$18,Attributs!$BR$2:$BR$18)+SUMPRODUCT(Attributs!$BK$2:$BK$18,Attributs!$BS$2:$BS$18))/((SQRT(SUMSQ(Attributs!$BJ$2:$BJ$18)+SUMSQ(Attributs!$BK$2:$BK$18)))*(SQRT(SUMSQ(Attributs!$BR$2:$BR$18)+SUMSQ(Attributs!$BS$2:$BS$18)))),0)</f>
        <v/>
      </c>
      <c r="AK32" s="2">
        <f>IFERROR((SUMPRODUCT(Attributs!$BJ$2:$BJ$18,Attributs!$BT$2:$BT$18)+SUMPRODUCT(Attributs!$BK$2:$BK$18,Attributs!$BU$2:$BU$18))/((SQRT(SUMSQ(Attributs!$BJ$2:$BJ$18)+SUMSQ(Attributs!$BK$2:$BK$18)))*(SQRT(SUMSQ(Attributs!$BT$2:$BT$18)+SUMSQ(Attributs!$BU$2:$BU$18)))),0)</f>
        <v/>
      </c>
      <c r="AL32" s="2">
        <f>IFERROR((SUMPRODUCT(Attributs!$BJ$2:$BJ$18,Attributs!$BV$2:$BV$18)+SUMPRODUCT(Attributs!$BK$2:$BK$18,Attributs!$BW$2:$BW$18))/((SQRT(SUMSQ(Attributs!$BJ$2:$BJ$18)+SUMSQ(Attributs!$BK$2:$BK$18)))*(SQRT(SUMSQ(Attributs!$BV$2:$BV$18)+SUMSQ(Attributs!$BW$2:$BW$18)))),0)</f>
        <v/>
      </c>
      <c r="AM32" s="2">
        <f>IFERROR((SUMPRODUCT(Attributs!$BJ$2:$BJ$18,Attributs!$BX$2:$BX$18)+SUMPRODUCT(Attributs!$BK$2:$BK$18,Attributs!$BY$2:$BY$18))/((SQRT(SUMSQ(Attributs!$BJ$2:$BJ$18)+SUMSQ(Attributs!$BK$2:$BK$18)))*(SQRT(SUMSQ(Attributs!$BX$2:$BX$18)+SUMSQ(Attributs!$BY$2:$BY$18)))),0)</f>
        <v/>
      </c>
      <c r="AN32" s="2">
        <f>IFERROR((SUMPRODUCT(Attributs!$BJ$2:$BJ$18,Attributs!$BZ$2:$BZ$18)+SUMPRODUCT(Attributs!$BK$2:$BK$18,Attributs!$CA$2:$CA$18))/((SQRT(SUMSQ(Attributs!$BJ$2:$BJ$18)+SUMSQ(Attributs!$BK$2:$BK$18)))*(SQRT(SUMSQ(Attributs!$BZ$2:$BZ$18)+SUMSQ(Attributs!$CA$2:$CA$18)))),0)</f>
        <v/>
      </c>
      <c r="AO32" s="2">
        <f>IFERROR((SUMPRODUCT(Attributs!$BJ$2:$BJ$18,Attributs!$CB$2:$CB$18)+SUMPRODUCT(Attributs!$BK$2:$BK$18,Attributs!$CC$2:$CC$18))/((SQRT(SUMSQ(Attributs!$BJ$2:$BJ$18)+SUMSQ(Attributs!$BK$2:$BK$18)))*(SQRT(SUMSQ(Attributs!$CB$2:$CB$18)+SUMSQ(Attributs!$CC$2:$CC$18)))),0)</f>
        <v/>
      </c>
      <c r="AP32" s="2">
        <f>IFERROR((SUMPRODUCT(Attributs!$BJ$2:$BJ$18,Attributs!$CD$2:$CD$18)+SUMPRODUCT(Attributs!$BK$2:$BK$18,Attributs!$CE$2:$CE$18))/((SQRT(SUMSQ(Attributs!$BJ$2:$BJ$18)+SUMSQ(Attributs!$BK$2:$BK$18)))*(SQRT(SUMSQ(Attributs!$CD$2:$CD$18)+SUMSQ(Attributs!$CE$2:$CE$18)))),0)</f>
        <v/>
      </c>
      <c r="AQ32" s="2">
        <f>IFERROR((SUMPRODUCT(Attributs!$BJ$2:$BJ$18,Attributs!$CF$2:$CF$18)+SUMPRODUCT(Attributs!$BK$2:$BK$18,Attributs!$CG$2:$CG$18))/((SQRT(SUMSQ(Attributs!$BJ$2:$BJ$18)+SUMSQ(Attributs!$BK$2:$BK$18)))*(SQRT(SUMSQ(Attributs!$CF$2:$CF$18)+SUMSQ(Attributs!$CG$2:$CG$18)))),0)</f>
        <v/>
      </c>
      <c r="AR32" s="2">
        <f>IFERROR((SUMPRODUCT(Attributs!$BJ$2:$BJ$18,Attributs!$CH$2:$CH$18)+SUMPRODUCT(Attributs!$BK$2:$BK$18,Attributs!$CI$2:$CI$18))/((SQRT(SUMSQ(Attributs!$BJ$2:$BJ$18)+SUMSQ(Attributs!$BK$2:$BK$18)))*(SQRT(SUMSQ(Attributs!$CH$2:$CH$18)+SUMSQ(Attributs!$CI$2:$CI$18)))),0)</f>
        <v/>
      </c>
      <c r="AS32" s="2">
        <f>IFERROR((SUMPRODUCT(Attributs!$BJ$2:$BJ$18,Attributs!$CJ$2:$CJ$18)+SUMPRODUCT(Attributs!$BK$2:$BK$18,Attributs!$CK$2:$CK$18))/((SQRT(SUMSQ(Attributs!$BJ$2:$BJ$18)+SUMSQ(Attributs!$BK$2:$BK$18)))*(SQRT(SUMSQ(Attributs!$CJ$2:$CJ$18)+SUMSQ(Attributs!$CK$2:$CK$18)))),0)</f>
        <v/>
      </c>
      <c r="AT32" s="2">
        <f>IFERROR((SUMPRODUCT(Attributs!$BJ$2:$BJ$18,Attributs!$CL$2:$CL$18)+SUMPRODUCT(Attributs!$BK$2:$BK$18,Attributs!$CM$2:$CM$18))/((SQRT(SUMSQ(Attributs!$BJ$2:$BJ$18)+SUMSQ(Attributs!$BK$2:$BK$18)))*(SQRT(SUMSQ(Attributs!$CL$2:$CL$18)+SUMSQ(Attributs!$CM$2:$CM$18)))),0)</f>
        <v/>
      </c>
      <c r="AU32" s="2">
        <f>IFERROR((SUMPRODUCT(Attributs!$BJ$2:$BJ$18,Attributs!$CN$2:$CN$18)+SUMPRODUCT(Attributs!$BK$2:$BK$18,Attributs!$CO$2:$CO$18))/((SQRT(SUMSQ(Attributs!$BJ$2:$BJ$18)+SUMSQ(Attributs!$BK$2:$BK$18)))*(SQRT(SUMSQ(Attributs!$CN$2:$CN$18)+SUMSQ(Attributs!$CO$2:$CO$18)))),0)</f>
        <v/>
      </c>
      <c r="AV32" s="2">
        <f>IFERROR((SUMPRODUCT(Attributs!$BJ$2:$BJ$18,Attributs!$CP$2:$CP$18)+SUMPRODUCT(Attributs!$BK$2:$BK$18,Attributs!$CQ$2:$CQ$18))/((SQRT(SUMSQ(Attributs!$BJ$2:$BJ$18)+SUMSQ(Attributs!$BK$2:$BK$18)))*(SQRT(SUMSQ(Attributs!$CP$2:$CP$18)+SUMSQ(Attributs!$CQ$2:$CQ$18)))),0)</f>
        <v/>
      </c>
      <c r="AW32" s="2">
        <f>IFERROR((SUMPRODUCT(Attributs!$BJ$2:$BJ$18,Attributs!$CR$2:$CR$18)+SUMPRODUCT(Attributs!$BK$2:$BK$18,Attributs!$CS$2:$CS$18))/((SQRT(SUMSQ(Attributs!$BJ$2:$BJ$18)+SUMSQ(Attributs!$BK$2:$BK$18)))*(SQRT(SUMSQ(Attributs!$CR$2:$CR$18)+SUMSQ(Attributs!$CS$2:$CS$18)))),0)</f>
        <v/>
      </c>
      <c r="AX32" s="2">
        <f>IFERROR((SUMPRODUCT(Attributs!$BJ$2:$BJ$18,Attributs!$CT$2:$CT$18)+SUMPRODUCT(Attributs!$BK$2:$BK$18,Attributs!$CU$2:$CU$18))/((SQRT(SUMSQ(Attributs!$BJ$2:$BJ$18)+SUMSQ(Attributs!$BK$2:$BK$18)))*(SQRT(SUMSQ(Attributs!$CT$2:$CT$18)+SUMSQ(Attributs!$CU$2:$CU$18)))),0)</f>
        <v/>
      </c>
      <c r="AY32" s="2">
        <f>IFERROR((SUMPRODUCT(Attributs!$BJ$2:$BJ$18,Attributs!$CV$2:$CV$18)+SUMPRODUCT(Attributs!$BK$2:$BK$18,Attributs!$CW$2:$CW$18))/((SQRT(SUMSQ(Attributs!$BJ$2:$BJ$18)+SUMSQ(Attributs!$BK$2:$BK$18)))*(SQRT(SUMSQ(Attributs!$CV$2:$CV$18)+SUMSQ(Attributs!$CW$2:$CW$18)))),0)</f>
        <v/>
      </c>
      <c r="AZ32" s="2">
        <f>IFERROR((SUMPRODUCT(Attributs!$BJ$2:$BJ$18,Attributs!$CX$2:$CX$18)+SUMPRODUCT(Attributs!$BK$2:$BK$18,Attributs!$CY$2:$CY$18))/((SQRT(SUMSQ(Attributs!$BJ$2:$BJ$18)+SUMSQ(Attributs!$BK$2:$BK$18)))*(SQRT(SUMSQ(Attributs!$CX$2:$CX$18)+SUMSQ(Attributs!$CY$2:$CY$18)))),0)</f>
        <v/>
      </c>
      <c r="BA32" s="2">
        <f>IFERROR((SUMPRODUCT(Attributs!$BJ$2:$BJ$18,Attributs!$CZ$2:$CZ$18)+SUMPRODUCT(Attributs!$BK$2:$BK$18,Attributs!$DA$2:$DA$18))/((SQRT(SUMSQ(Attributs!$BJ$2:$BJ$18)+SUMSQ(Attributs!$BK$2:$BK$18)))*(SQRT(SUMSQ(Attributs!$CZ$2:$CZ$18)+SUMSQ(Attributs!$DA$2:$DA$18)))),0)</f>
        <v/>
      </c>
      <c r="BB32" s="2">
        <f>IFERROR((SUMPRODUCT(Attributs!$BJ$2:$BJ$18,Attributs!$DB$2:$DB$18)+SUMPRODUCT(Attributs!$BK$2:$BK$18,Attributs!$DC$2:$DC$18))/((SQRT(SUMSQ(Attributs!$BJ$2:$BJ$18)+SUMSQ(Attributs!$BK$2:$BK$18)))*(SQRT(SUMSQ(Attributs!$DB$2:$DB$18)+SUMSQ(Attributs!$DC$2:$DC$18)))),0)</f>
        <v/>
      </c>
      <c r="BC32" s="2">
        <f>IFERROR((SUMPRODUCT(Attributs!$BJ$2:$BJ$18,Attributs!$DD$2:$DD$18)+SUMPRODUCT(Attributs!$BK$2:$BK$18,Attributs!$DE$2:$DE$18))/((SQRT(SUMSQ(Attributs!$BJ$2:$BJ$18)+SUMSQ(Attributs!$BK$2:$BK$18)))*(SQRT(SUMSQ(Attributs!$DD$2:$DD$18)+SUMSQ(Attributs!$DE$2:$DE$18)))),0)</f>
        <v/>
      </c>
      <c r="BD32" s="2">
        <f>IFERROR((SUMPRODUCT(Attributs!$BJ$2:$BJ$18,Attributs!$DF$2:$DF$18)+SUMPRODUCT(Attributs!$BK$2:$BK$18,Attributs!$DG$2:$DG$18))/((SQRT(SUMSQ(Attributs!$BJ$2:$BJ$18)+SUMSQ(Attributs!$BK$2:$BK$18)))*(SQRT(SUMSQ(Attributs!$DF$2:$DF$18)+SUMSQ(Attributs!$DG$2:$DG$18)))),0)</f>
        <v/>
      </c>
      <c r="BE32" s="2">
        <f>IFERROR((SUMPRODUCT(Attributs!$BJ$2:$BJ$18,Attributs!$DH$2:$DH$18)+SUMPRODUCT(Attributs!$BK$2:$BK$18,Attributs!$DI$2:$DI$18))/((SQRT(SUMSQ(Attributs!$BJ$2:$BJ$18)+SUMSQ(Attributs!$BK$2:$BK$18)))*(SQRT(SUMSQ(Attributs!$DH$2:$DH$18)+SUMSQ(Attributs!$DI$2:$DI$18)))),0)</f>
        <v/>
      </c>
      <c r="BF32" s="2">
        <f>IFERROR((SUMPRODUCT(Attributs!$BJ$2:$BJ$18,Attributs!$DJ$2:$DJ$18)+SUMPRODUCT(Attributs!$BK$2:$BK$18,Attributs!$DK$2:$DK$18))/((SQRT(SUMSQ(Attributs!$BJ$2:$BJ$18)+SUMSQ(Attributs!$BK$2:$BK$18)))*(SQRT(SUMSQ(Attributs!$DJ$2:$DJ$18)+SUMSQ(Attributs!$DK$2:$DK$18)))),0)</f>
        <v/>
      </c>
      <c r="BG32" s="2">
        <f>IFERROR((SUMPRODUCT(Attributs!$BJ$2:$BJ$18,Attributs!$DL$2:$DL$18)+SUMPRODUCT(Attributs!$BK$2:$BK$18,Attributs!$DM$2:$DM$18))/((SQRT(SUMSQ(Attributs!$BJ$2:$BJ$18)+SUMSQ(Attributs!$BK$2:$BK$18)))*(SQRT(SUMSQ(Attributs!$DL$2:$DL$18)+SUMSQ(Attributs!$DM$2:$DM$18)))),0)</f>
        <v/>
      </c>
      <c r="BH32" s="2">
        <f>IFERROR((SUMPRODUCT(Attributs!$BJ$2:$BJ$18,Attributs!$DN$2:$DN$18)+SUMPRODUCT(Attributs!$BK$2:$BK$18,Attributs!$DO$2:$DO$18))/((SQRT(SUMSQ(Attributs!$BJ$2:$BJ$18)+SUMSQ(Attributs!$BK$2:$BK$18)))*(SQRT(SUMSQ(Attributs!$DN$2:$DN$18)+SUMSQ(Attributs!$DO$2:$DO$18)))),0)</f>
        <v/>
      </c>
      <c r="BI32" s="2">
        <f>IFERROR((SUMPRODUCT(Attributs!$BJ$2:$BJ$18,Attributs!$DP$2:$DP$18)+SUMPRODUCT(Attributs!$BK$2:$BK$18,Attributs!$DQ$2:$DQ$18))/((SQRT(SUMSQ(Attributs!$BJ$2:$BJ$18)+SUMSQ(Attributs!$BK$2:$BK$18)))*(SQRT(SUMSQ(Attributs!$DP$2:$DP$18)+SUMSQ(Attributs!$DQ$2:$DQ$18)))),0)</f>
        <v/>
      </c>
      <c r="BJ32" s="2">
        <f>IFERROR((SUMPRODUCT(Attributs!$BJ$2:$BJ$18,Attributs!$DR$2:$DR$18)+SUMPRODUCT(Attributs!$BK$2:$BK$18,Attributs!$DS$2:$DS$18))/((SQRT(SUMSQ(Attributs!$BJ$2:$BJ$18)+SUMSQ(Attributs!$BK$2:$BK$18)))*(SQRT(SUMSQ(Attributs!$DR$2:$DR$18)+SUMSQ(Attributs!$DS$2:$DS$18)))),0)</f>
        <v/>
      </c>
      <c r="BK32" s="2">
        <f>IFERROR((SUMPRODUCT(Attributs!$BJ$2:$BJ$18,Attributs!$DT$2:$DT$18)+SUMPRODUCT(Attributs!$BK$2:$BK$18,Attributs!$DU$2:$DU$18))/((SQRT(SUMSQ(Attributs!$BJ$2:$BJ$18)+SUMSQ(Attributs!$BK$2:$BK$18)))*(SQRT(SUMSQ(Attributs!$DT$2:$DT$18)+SUMSQ(Attributs!$DU$2:$DU$18)))),0)</f>
        <v/>
      </c>
      <c r="BL32" s="2">
        <f>IFERROR((SUMPRODUCT(Attributs!$BJ$2:$BJ$18,Attributs!$DV$2:$DV$18)+SUMPRODUCT(Attributs!$BK$2:$BK$18,Attributs!$DW$2:$DW$18))/((SQRT(SUMSQ(Attributs!$BJ$2:$BJ$18)+SUMSQ(Attributs!$BK$2:$BK$18)))*(SQRT(SUMSQ(Attributs!$DV$2:$DV$18)+SUMSQ(Attributs!$DW$2:$DW$18)))),0)</f>
        <v/>
      </c>
    </row>
    <row r="33">
      <c r="A33" s="3" t="inlineStr">
        <is>
          <t>SE_mongodb.Posts.Id</t>
        </is>
      </c>
      <c r="B33" s="2">
        <f>IFERROR((SUMPRODUCT(Attributs!$BL$2:$BL$18,Attributs!$B$2:$B$18)+SUMPRODUCT(Attributs!$BM$2:$BM$18,Attributs!$C$2:$C$18))/((SQRT(SUMSQ(Attributs!$BL$2:$BL$18)+SUMSQ(Attributs!$BM$2:$BM$18)))*(SQRT(SUMSQ(Attributs!$B$2:$B$18)+SUMSQ(Attributs!$C$2:$C$18)))),0)</f>
        <v/>
      </c>
      <c r="C33" s="2">
        <f>IFERROR((SUMPRODUCT(Attributs!$BL$2:$BL$18,Attributs!$D$2:$D$18)+SUMPRODUCT(Attributs!$BM$2:$BM$18,Attributs!$E$2:$E$18))/((SQRT(SUMSQ(Attributs!$BL$2:$BL$18)+SUMSQ(Attributs!$BM$2:$BM$18)))*(SQRT(SUMSQ(Attributs!$D$2:$D$18)+SUMSQ(Attributs!$E$2:$E$18)))),0)</f>
        <v/>
      </c>
      <c r="D33" s="2">
        <f>IFERROR((SUMPRODUCT(Attributs!$BL$2:$BL$18,Attributs!$F$2:$F$18)+SUMPRODUCT(Attributs!$BM$2:$BM$18,Attributs!$G$2:$G$18))/((SQRT(SUMSQ(Attributs!$BL$2:$BL$18)+SUMSQ(Attributs!$BM$2:$BM$18)))*(SQRT(SUMSQ(Attributs!$F$2:$F$18)+SUMSQ(Attributs!$G$2:$G$18)))),0)</f>
        <v/>
      </c>
      <c r="E33" s="2">
        <f>IFERROR((SUMPRODUCT(Attributs!$BL$2:$BL$18,Attributs!$H$2:$H$18)+SUMPRODUCT(Attributs!$BM$2:$BM$18,Attributs!$I$2:$I$18))/((SQRT(SUMSQ(Attributs!$BL$2:$BL$18)+SUMSQ(Attributs!$BM$2:$BM$18)))*(SQRT(SUMSQ(Attributs!$H$2:$H$18)+SUMSQ(Attributs!$I$2:$I$18)))),0)</f>
        <v/>
      </c>
      <c r="F33" s="2">
        <f>IFERROR((SUMPRODUCT(Attributs!$BL$2:$BL$18,Attributs!$J$2:$J$18)+SUMPRODUCT(Attributs!$BM$2:$BM$18,Attributs!$K$2:$K$18))/((SQRT(SUMSQ(Attributs!$BL$2:$BL$18)+SUMSQ(Attributs!$BM$2:$BM$18)))*(SQRT(SUMSQ(Attributs!$J$2:$J$18)+SUMSQ(Attributs!$K$2:$K$18)))),0)</f>
        <v/>
      </c>
      <c r="G33" s="2">
        <f>IFERROR((SUMPRODUCT(Attributs!$BL$2:$BL$18,Attributs!$L$2:$L$18)+SUMPRODUCT(Attributs!$BM$2:$BM$18,Attributs!$M$2:$M$18))/((SQRT(SUMSQ(Attributs!$BL$2:$BL$18)+SUMSQ(Attributs!$BM$2:$BM$18)))*(SQRT(SUMSQ(Attributs!$L$2:$L$18)+SUMSQ(Attributs!$M$2:$M$18)))),0)</f>
        <v/>
      </c>
      <c r="H33" s="2">
        <f>IFERROR((SUMPRODUCT(Attributs!$BL$2:$BL$18,Attributs!$N$2:$N$18)+SUMPRODUCT(Attributs!$BM$2:$BM$18,Attributs!$O$2:$O$18))/((SQRT(SUMSQ(Attributs!$BL$2:$BL$18)+SUMSQ(Attributs!$BM$2:$BM$18)))*(SQRT(SUMSQ(Attributs!$N$2:$N$18)+SUMSQ(Attributs!$O$2:$O$18)))),0)</f>
        <v/>
      </c>
      <c r="I33" s="2">
        <f>IFERROR((SUMPRODUCT(Attributs!$BL$2:$BL$18,Attributs!$P$2:$P$18)+SUMPRODUCT(Attributs!$BM$2:$BM$18,Attributs!$Q$2:$Q$18))/((SQRT(SUMSQ(Attributs!$BL$2:$BL$18)+SUMSQ(Attributs!$BM$2:$BM$18)))*(SQRT(SUMSQ(Attributs!$P$2:$P$18)+SUMSQ(Attributs!$Q$2:$Q$18)))),0)</f>
        <v/>
      </c>
      <c r="J33" s="2">
        <f>IFERROR((SUMPRODUCT(Attributs!$BL$2:$BL$18,Attributs!$R$2:$R$18)+SUMPRODUCT(Attributs!$BM$2:$BM$18,Attributs!$S$2:$S$18))/((SQRT(SUMSQ(Attributs!$BL$2:$BL$18)+SUMSQ(Attributs!$BM$2:$BM$18)))*(SQRT(SUMSQ(Attributs!$R$2:$R$18)+SUMSQ(Attributs!$S$2:$S$18)))),0)</f>
        <v/>
      </c>
      <c r="K33" s="2">
        <f>IFERROR((SUMPRODUCT(Attributs!$BL$2:$BL$18,Attributs!$T$2:$T$18)+SUMPRODUCT(Attributs!$BM$2:$BM$18,Attributs!$U$2:$U$18))/((SQRT(SUMSQ(Attributs!$BL$2:$BL$18)+SUMSQ(Attributs!$BM$2:$BM$18)))*(SQRT(SUMSQ(Attributs!$T$2:$T$18)+SUMSQ(Attributs!$U$2:$U$18)))),0)</f>
        <v/>
      </c>
      <c r="L33" s="2">
        <f>IFERROR((SUMPRODUCT(Attributs!$BL$2:$BL$18,Attributs!$V$2:$V$18)+SUMPRODUCT(Attributs!$BM$2:$BM$18,Attributs!$W$2:$W$18))/((SQRT(SUMSQ(Attributs!$BL$2:$BL$18)+SUMSQ(Attributs!$BM$2:$BM$18)))*(SQRT(SUMSQ(Attributs!$V$2:$V$18)+SUMSQ(Attributs!$W$2:$W$18)))),0)</f>
        <v/>
      </c>
      <c r="M33" s="2">
        <f>IFERROR((SUMPRODUCT(Attributs!$BL$2:$BL$18,Attributs!$X$2:$X$18)+SUMPRODUCT(Attributs!$BM$2:$BM$18,Attributs!$Y$2:$Y$18))/((SQRT(SUMSQ(Attributs!$BL$2:$BL$18)+SUMSQ(Attributs!$BM$2:$BM$18)))*(SQRT(SUMSQ(Attributs!$X$2:$X$18)+SUMSQ(Attributs!$Y$2:$Y$18)))),0)</f>
        <v/>
      </c>
      <c r="N33" s="2">
        <f>IFERROR((SUMPRODUCT(Attributs!$BL$2:$BL$18,Attributs!$Z$2:$Z$18)+SUMPRODUCT(Attributs!$BM$2:$BM$18,Attributs!$AA$2:$AA$18))/((SQRT(SUMSQ(Attributs!$BL$2:$BL$18)+SUMSQ(Attributs!$BM$2:$BM$18)))*(SQRT(SUMSQ(Attributs!$Z$2:$Z$18)+SUMSQ(Attributs!$AA$2:$AA$18)))),0)</f>
        <v/>
      </c>
      <c r="O33" s="2">
        <f>IFERROR((SUMPRODUCT(Attributs!$BL$2:$BL$18,Attributs!$AB$2:$AB$18)+SUMPRODUCT(Attributs!$BM$2:$BM$18,Attributs!$AC$2:$AC$18))/((SQRT(SUMSQ(Attributs!$BL$2:$BL$18)+SUMSQ(Attributs!$BM$2:$BM$18)))*(SQRT(SUMSQ(Attributs!$AB$2:$AB$18)+SUMSQ(Attributs!$AC$2:$AC$18)))),0)</f>
        <v/>
      </c>
      <c r="P33" s="2">
        <f>IFERROR((SUMPRODUCT(Attributs!$BL$2:$BL$18,Attributs!$AD$2:$AD$18)+SUMPRODUCT(Attributs!$BM$2:$BM$18,Attributs!$AE$2:$AE$18))/((SQRT(SUMSQ(Attributs!$BL$2:$BL$18)+SUMSQ(Attributs!$BM$2:$BM$18)))*(SQRT(SUMSQ(Attributs!$AD$2:$AD$18)+SUMSQ(Attributs!$AE$2:$AE$18)))),0)</f>
        <v/>
      </c>
      <c r="Q33" s="2">
        <f>IFERROR((SUMPRODUCT(Attributs!$BL$2:$BL$18,Attributs!$AF$2:$AF$18)+SUMPRODUCT(Attributs!$BM$2:$BM$18,Attributs!$AG$2:$AG$18))/((SQRT(SUMSQ(Attributs!$BL$2:$BL$18)+SUMSQ(Attributs!$BM$2:$BM$18)))*(SQRT(SUMSQ(Attributs!$AF$2:$AF$18)+SUMSQ(Attributs!$AG$2:$AG$18)))),0)</f>
        <v/>
      </c>
      <c r="R33" s="2">
        <f>IFERROR((SUMPRODUCT(Attributs!$BL$2:$BL$18,Attributs!$AH$2:$AH$18)+SUMPRODUCT(Attributs!$BM$2:$BM$18,Attributs!$AI$2:$AI$18))/((SQRT(SUMSQ(Attributs!$BL$2:$BL$18)+SUMSQ(Attributs!$BM$2:$BM$18)))*(SQRT(SUMSQ(Attributs!$AH$2:$AH$18)+SUMSQ(Attributs!$AI$2:$AI$18)))),0)</f>
        <v/>
      </c>
      <c r="S33" s="2">
        <f>IFERROR((SUMPRODUCT(Attributs!$BL$2:$BL$18,Attributs!$AJ$2:$AJ$18)+SUMPRODUCT(Attributs!$BM$2:$BM$18,Attributs!$AK$2:$AK$18))/((SQRT(SUMSQ(Attributs!$BL$2:$BL$18)+SUMSQ(Attributs!$BM$2:$BM$18)))*(SQRT(SUMSQ(Attributs!$AJ$2:$AJ$18)+SUMSQ(Attributs!$AK$2:$AK$18)))),0)</f>
        <v/>
      </c>
      <c r="T33" s="2">
        <f>IFERROR((SUMPRODUCT(Attributs!$BL$2:$BL$18,Attributs!$AL$2:$AL$18)+SUMPRODUCT(Attributs!$BM$2:$BM$18,Attributs!$AM$2:$AM$18))/((SQRT(SUMSQ(Attributs!$BL$2:$BL$18)+SUMSQ(Attributs!$BM$2:$BM$18)))*(SQRT(SUMSQ(Attributs!$AL$2:$AL$18)+SUMSQ(Attributs!$AM$2:$AM$18)))),0)</f>
        <v/>
      </c>
      <c r="U33" s="2">
        <f>IFERROR((SUMPRODUCT(Attributs!$BL$2:$BL$18,Attributs!$AN$2:$AN$18)+SUMPRODUCT(Attributs!$BM$2:$BM$18,Attributs!$AO$2:$AO$18))/((SQRT(SUMSQ(Attributs!$BL$2:$BL$18)+SUMSQ(Attributs!$BM$2:$BM$18)))*(SQRT(SUMSQ(Attributs!$AN$2:$AN$18)+SUMSQ(Attributs!$AO$2:$AO$18)))),0)</f>
        <v/>
      </c>
      <c r="V33" s="2">
        <f>IFERROR((SUMPRODUCT(Attributs!$BL$2:$BL$18,Attributs!$AP$2:$AP$18)+SUMPRODUCT(Attributs!$BM$2:$BM$18,Attributs!$AQ$2:$AQ$18))/((SQRT(SUMSQ(Attributs!$BL$2:$BL$18)+SUMSQ(Attributs!$BM$2:$BM$18)))*(SQRT(SUMSQ(Attributs!$AP$2:$AP$18)+SUMSQ(Attributs!$AQ$2:$AQ$18)))),0)</f>
        <v/>
      </c>
      <c r="W33" s="2">
        <f>IFERROR((SUMPRODUCT(Attributs!$BL$2:$BL$18,Attributs!$AR$2:$AR$18)+SUMPRODUCT(Attributs!$BM$2:$BM$18,Attributs!$AS$2:$AS$18))/((SQRT(SUMSQ(Attributs!$BL$2:$BL$18)+SUMSQ(Attributs!$BM$2:$BM$18)))*(SQRT(SUMSQ(Attributs!$AR$2:$AR$18)+SUMSQ(Attributs!$AS$2:$AS$18)))),0)</f>
        <v/>
      </c>
      <c r="X33" s="2">
        <f>IFERROR((SUMPRODUCT(Attributs!$BL$2:$BL$18,Attributs!$AT$2:$AT$18)+SUMPRODUCT(Attributs!$BM$2:$BM$18,Attributs!$AU$2:$AU$18))/((SQRT(SUMSQ(Attributs!$BL$2:$BL$18)+SUMSQ(Attributs!$BM$2:$BM$18)))*(SQRT(SUMSQ(Attributs!$AT$2:$AT$18)+SUMSQ(Attributs!$AU$2:$AU$18)))),0)</f>
        <v/>
      </c>
      <c r="Y33" s="2">
        <f>IFERROR((SUMPRODUCT(Attributs!$BL$2:$BL$18,Attributs!$AV$2:$AV$18)+SUMPRODUCT(Attributs!$BM$2:$BM$18,Attributs!$AW$2:$AW$18))/((SQRT(SUMSQ(Attributs!$BL$2:$BL$18)+SUMSQ(Attributs!$BM$2:$BM$18)))*(SQRT(SUMSQ(Attributs!$AV$2:$AV$18)+SUMSQ(Attributs!$AW$2:$AW$18)))),0)</f>
        <v/>
      </c>
      <c r="Z33" s="2">
        <f>IFERROR((SUMPRODUCT(Attributs!$BL$2:$BL$18,Attributs!$AX$2:$AX$18)+SUMPRODUCT(Attributs!$BM$2:$BM$18,Attributs!$AY$2:$AY$18))/((SQRT(SUMSQ(Attributs!$BL$2:$BL$18)+SUMSQ(Attributs!$BM$2:$BM$18)))*(SQRT(SUMSQ(Attributs!$AX$2:$AX$18)+SUMSQ(Attributs!$AY$2:$AY$18)))),0)</f>
        <v/>
      </c>
      <c r="AA33" s="2">
        <f>IFERROR((SUMPRODUCT(Attributs!$BL$2:$BL$18,Attributs!$AZ$2:$AZ$18)+SUMPRODUCT(Attributs!$BM$2:$BM$18,Attributs!$BA$2:$BA$18))/((SQRT(SUMSQ(Attributs!$BL$2:$BL$18)+SUMSQ(Attributs!$BM$2:$BM$18)))*(SQRT(SUMSQ(Attributs!$AZ$2:$AZ$18)+SUMSQ(Attributs!$BA$2:$BA$18)))),0)</f>
        <v/>
      </c>
      <c r="AB33" s="2">
        <f>IFERROR((SUMPRODUCT(Attributs!$BL$2:$BL$18,Attributs!$BB$2:$BB$18)+SUMPRODUCT(Attributs!$BM$2:$BM$18,Attributs!$BC$2:$BC$18))/((SQRT(SUMSQ(Attributs!$BL$2:$BL$18)+SUMSQ(Attributs!$BM$2:$BM$18)))*(SQRT(SUMSQ(Attributs!$BB$2:$BB$18)+SUMSQ(Attributs!$BC$2:$BC$18)))),0)</f>
        <v/>
      </c>
      <c r="AC33" s="2">
        <f>IFERROR((SUMPRODUCT(Attributs!$BL$2:$BL$18,Attributs!$BD$2:$BD$18)+SUMPRODUCT(Attributs!$BM$2:$BM$18,Attributs!$BE$2:$BE$18))/((SQRT(SUMSQ(Attributs!$BL$2:$BL$18)+SUMSQ(Attributs!$BM$2:$BM$18)))*(SQRT(SUMSQ(Attributs!$BD$2:$BD$18)+SUMSQ(Attributs!$BE$2:$BE$18)))),0)</f>
        <v/>
      </c>
      <c r="AD33" s="2">
        <f>IFERROR((SUMPRODUCT(Attributs!$BL$2:$BL$18,Attributs!$BF$2:$BF$18)+SUMPRODUCT(Attributs!$BM$2:$BM$18,Attributs!$BG$2:$BG$18))/((SQRT(SUMSQ(Attributs!$BL$2:$BL$18)+SUMSQ(Attributs!$BM$2:$BM$18)))*(SQRT(SUMSQ(Attributs!$BF$2:$BF$18)+SUMSQ(Attributs!$BG$2:$BG$18)))),0)</f>
        <v/>
      </c>
      <c r="AE33" s="2">
        <f>IFERROR((SUMPRODUCT(Attributs!$BL$2:$BL$18,Attributs!$BH$2:$BH$18)+SUMPRODUCT(Attributs!$BM$2:$BM$18,Attributs!$BI$2:$BI$18))/((SQRT(SUMSQ(Attributs!$BL$2:$BL$18)+SUMSQ(Attributs!$BM$2:$BM$18)))*(SQRT(SUMSQ(Attributs!$BH$2:$BH$18)+SUMSQ(Attributs!$BI$2:$BI$18)))),0)</f>
        <v/>
      </c>
      <c r="AF33" s="2">
        <f>IFERROR((SUMPRODUCT(Attributs!$BL$2:$BL$18,Attributs!$BJ$2:$BJ$18)+SUMPRODUCT(Attributs!$BM$2:$BM$18,Attributs!$BK$2:$BK$18))/((SQRT(SUMSQ(Attributs!$BL$2:$BL$18)+SUMSQ(Attributs!$BM$2:$BM$18)))*(SQRT(SUMSQ(Attributs!$BJ$2:$BJ$18)+SUMSQ(Attributs!$BK$2:$BK$18)))),0)</f>
        <v/>
      </c>
      <c r="AG33" s="2">
        <f>IFERROR((SUMPRODUCT(Attributs!$BL$2:$BL$18,Attributs!$BL$2:$BL$18)+SUMPRODUCT(Attributs!$BM$2:$BM$18,Attributs!$BM$2:$BM$18))/((SQRT(SUMSQ(Attributs!$BL$2:$BL$18)+SUMSQ(Attributs!$BM$2:$BM$18)))*(SQRT(SUMSQ(Attributs!$BL$2:$BL$18)+SUMSQ(Attributs!$BM$2:$BM$18)))),0)</f>
        <v/>
      </c>
      <c r="AH33" s="2">
        <f>IFERROR((SUMPRODUCT(Attributs!$BL$2:$BL$18,Attributs!$BN$2:$BN$18)+SUMPRODUCT(Attributs!$BM$2:$BM$18,Attributs!$BO$2:$BO$18))/((SQRT(SUMSQ(Attributs!$BL$2:$BL$18)+SUMSQ(Attributs!$BM$2:$BM$18)))*(SQRT(SUMSQ(Attributs!$BN$2:$BN$18)+SUMSQ(Attributs!$BO$2:$BO$18)))),0)</f>
        <v/>
      </c>
      <c r="AI33" s="2">
        <f>IFERROR((SUMPRODUCT(Attributs!$BL$2:$BL$18,Attributs!$BP$2:$BP$18)+SUMPRODUCT(Attributs!$BM$2:$BM$18,Attributs!$BQ$2:$BQ$18))/((SQRT(SUMSQ(Attributs!$BL$2:$BL$18)+SUMSQ(Attributs!$BM$2:$BM$18)))*(SQRT(SUMSQ(Attributs!$BP$2:$BP$18)+SUMSQ(Attributs!$BQ$2:$BQ$18)))),0)</f>
        <v/>
      </c>
      <c r="AJ33" s="2">
        <f>IFERROR((SUMPRODUCT(Attributs!$BL$2:$BL$18,Attributs!$BR$2:$BR$18)+SUMPRODUCT(Attributs!$BM$2:$BM$18,Attributs!$BS$2:$BS$18))/((SQRT(SUMSQ(Attributs!$BL$2:$BL$18)+SUMSQ(Attributs!$BM$2:$BM$18)))*(SQRT(SUMSQ(Attributs!$BR$2:$BR$18)+SUMSQ(Attributs!$BS$2:$BS$18)))),0)</f>
        <v/>
      </c>
      <c r="AK33" s="2">
        <f>IFERROR((SUMPRODUCT(Attributs!$BL$2:$BL$18,Attributs!$BT$2:$BT$18)+SUMPRODUCT(Attributs!$BM$2:$BM$18,Attributs!$BU$2:$BU$18))/((SQRT(SUMSQ(Attributs!$BL$2:$BL$18)+SUMSQ(Attributs!$BM$2:$BM$18)))*(SQRT(SUMSQ(Attributs!$BT$2:$BT$18)+SUMSQ(Attributs!$BU$2:$BU$18)))),0)</f>
        <v/>
      </c>
      <c r="AL33" s="2">
        <f>IFERROR((SUMPRODUCT(Attributs!$BL$2:$BL$18,Attributs!$BV$2:$BV$18)+SUMPRODUCT(Attributs!$BM$2:$BM$18,Attributs!$BW$2:$BW$18))/((SQRT(SUMSQ(Attributs!$BL$2:$BL$18)+SUMSQ(Attributs!$BM$2:$BM$18)))*(SQRT(SUMSQ(Attributs!$BV$2:$BV$18)+SUMSQ(Attributs!$BW$2:$BW$18)))),0)</f>
        <v/>
      </c>
      <c r="AM33" s="2">
        <f>IFERROR((SUMPRODUCT(Attributs!$BL$2:$BL$18,Attributs!$BX$2:$BX$18)+SUMPRODUCT(Attributs!$BM$2:$BM$18,Attributs!$BY$2:$BY$18))/((SQRT(SUMSQ(Attributs!$BL$2:$BL$18)+SUMSQ(Attributs!$BM$2:$BM$18)))*(SQRT(SUMSQ(Attributs!$BX$2:$BX$18)+SUMSQ(Attributs!$BY$2:$BY$18)))),0)</f>
        <v/>
      </c>
      <c r="AN33" s="2">
        <f>IFERROR((SUMPRODUCT(Attributs!$BL$2:$BL$18,Attributs!$BZ$2:$BZ$18)+SUMPRODUCT(Attributs!$BM$2:$BM$18,Attributs!$CA$2:$CA$18))/((SQRT(SUMSQ(Attributs!$BL$2:$BL$18)+SUMSQ(Attributs!$BM$2:$BM$18)))*(SQRT(SUMSQ(Attributs!$BZ$2:$BZ$18)+SUMSQ(Attributs!$CA$2:$CA$18)))),0)</f>
        <v/>
      </c>
      <c r="AO33" s="2">
        <f>IFERROR((SUMPRODUCT(Attributs!$BL$2:$BL$18,Attributs!$CB$2:$CB$18)+SUMPRODUCT(Attributs!$BM$2:$BM$18,Attributs!$CC$2:$CC$18))/((SQRT(SUMSQ(Attributs!$BL$2:$BL$18)+SUMSQ(Attributs!$BM$2:$BM$18)))*(SQRT(SUMSQ(Attributs!$CB$2:$CB$18)+SUMSQ(Attributs!$CC$2:$CC$18)))),0)</f>
        <v/>
      </c>
      <c r="AP33" s="2">
        <f>IFERROR((SUMPRODUCT(Attributs!$BL$2:$BL$18,Attributs!$CD$2:$CD$18)+SUMPRODUCT(Attributs!$BM$2:$BM$18,Attributs!$CE$2:$CE$18))/((SQRT(SUMSQ(Attributs!$BL$2:$BL$18)+SUMSQ(Attributs!$BM$2:$BM$18)))*(SQRT(SUMSQ(Attributs!$CD$2:$CD$18)+SUMSQ(Attributs!$CE$2:$CE$18)))),0)</f>
        <v/>
      </c>
      <c r="AQ33" s="2">
        <f>IFERROR((SUMPRODUCT(Attributs!$BL$2:$BL$18,Attributs!$CF$2:$CF$18)+SUMPRODUCT(Attributs!$BM$2:$BM$18,Attributs!$CG$2:$CG$18))/((SQRT(SUMSQ(Attributs!$BL$2:$BL$18)+SUMSQ(Attributs!$BM$2:$BM$18)))*(SQRT(SUMSQ(Attributs!$CF$2:$CF$18)+SUMSQ(Attributs!$CG$2:$CG$18)))),0)</f>
        <v/>
      </c>
      <c r="AR33" s="2">
        <f>IFERROR((SUMPRODUCT(Attributs!$BL$2:$BL$18,Attributs!$CH$2:$CH$18)+SUMPRODUCT(Attributs!$BM$2:$BM$18,Attributs!$CI$2:$CI$18))/((SQRT(SUMSQ(Attributs!$BL$2:$BL$18)+SUMSQ(Attributs!$BM$2:$BM$18)))*(SQRT(SUMSQ(Attributs!$CH$2:$CH$18)+SUMSQ(Attributs!$CI$2:$CI$18)))),0)</f>
        <v/>
      </c>
      <c r="AS33" s="2">
        <f>IFERROR((SUMPRODUCT(Attributs!$BL$2:$BL$18,Attributs!$CJ$2:$CJ$18)+SUMPRODUCT(Attributs!$BM$2:$BM$18,Attributs!$CK$2:$CK$18))/((SQRT(SUMSQ(Attributs!$BL$2:$BL$18)+SUMSQ(Attributs!$BM$2:$BM$18)))*(SQRT(SUMSQ(Attributs!$CJ$2:$CJ$18)+SUMSQ(Attributs!$CK$2:$CK$18)))),0)</f>
        <v/>
      </c>
      <c r="AT33" s="2">
        <f>IFERROR((SUMPRODUCT(Attributs!$BL$2:$BL$18,Attributs!$CL$2:$CL$18)+SUMPRODUCT(Attributs!$BM$2:$BM$18,Attributs!$CM$2:$CM$18))/((SQRT(SUMSQ(Attributs!$BL$2:$BL$18)+SUMSQ(Attributs!$BM$2:$BM$18)))*(SQRT(SUMSQ(Attributs!$CL$2:$CL$18)+SUMSQ(Attributs!$CM$2:$CM$18)))),0)</f>
        <v/>
      </c>
      <c r="AU33" s="2">
        <f>IFERROR((SUMPRODUCT(Attributs!$BL$2:$BL$18,Attributs!$CN$2:$CN$18)+SUMPRODUCT(Attributs!$BM$2:$BM$18,Attributs!$CO$2:$CO$18))/((SQRT(SUMSQ(Attributs!$BL$2:$BL$18)+SUMSQ(Attributs!$BM$2:$BM$18)))*(SQRT(SUMSQ(Attributs!$CN$2:$CN$18)+SUMSQ(Attributs!$CO$2:$CO$18)))),0)</f>
        <v/>
      </c>
      <c r="AV33" s="2">
        <f>IFERROR((SUMPRODUCT(Attributs!$BL$2:$BL$18,Attributs!$CP$2:$CP$18)+SUMPRODUCT(Attributs!$BM$2:$BM$18,Attributs!$CQ$2:$CQ$18))/((SQRT(SUMSQ(Attributs!$BL$2:$BL$18)+SUMSQ(Attributs!$BM$2:$BM$18)))*(SQRT(SUMSQ(Attributs!$CP$2:$CP$18)+SUMSQ(Attributs!$CQ$2:$CQ$18)))),0)</f>
        <v/>
      </c>
      <c r="AW33" s="2">
        <f>IFERROR((SUMPRODUCT(Attributs!$BL$2:$BL$18,Attributs!$CR$2:$CR$18)+SUMPRODUCT(Attributs!$BM$2:$BM$18,Attributs!$CS$2:$CS$18))/((SQRT(SUMSQ(Attributs!$BL$2:$BL$18)+SUMSQ(Attributs!$BM$2:$BM$18)))*(SQRT(SUMSQ(Attributs!$CR$2:$CR$18)+SUMSQ(Attributs!$CS$2:$CS$18)))),0)</f>
        <v/>
      </c>
      <c r="AX33" s="2">
        <f>IFERROR((SUMPRODUCT(Attributs!$BL$2:$BL$18,Attributs!$CT$2:$CT$18)+SUMPRODUCT(Attributs!$BM$2:$BM$18,Attributs!$CU$2:$CU$18))/((SQRT(SUMSQ(Attributs!$BL$2:$BL$18)+SUMSQ(Attributs!$BM$2:$BM$18)))*(SQRT(SUMSQ(Attributs!$CT$2:$CT$18)+SUMSQ(Attributs!$CU$2:$CU$18)))),0)</f>
        <v/>
      </c>
      <c r="AY33" s="2">
        <f>IFERROR((SUMPRODUCT(Attributs!$BL$2:$BL$18,Attributs!$CV$2:$CV$18)+SUMPRODUCT(Attributs!$BM$2:$BM$18,Attributs!$CW$2:$CW$18))/((SQRT(SUMSQ(Attributs!$BL$2:$BL$18)+SUMSQ(Attributs!$BM$2:$BM$18)))*(SQRT(SUMSQ(Attributs!$CV$2:$CV$18)+SUMSQ(Attributs!$CW$2:$CW$18)))),0)</f>
        <v/>
      </c>
      <c r="AZ33" s="2">
        <f>IFERROR((SUMPRODUCT(Attributs!$BL$2:$BL$18,Attributs!$CX$2:$CX$18)+SUMPRODUCT(Attributs!$BM$2:$BM$18,Attributs!$CY$2:$CY$18))/((SQRT(SUMSQ(Attributs!$BL$2:$BL$18)+SUMSQ(Attributs!$BM$2:$BM$18)))*(SQRT(SUMSQ(Attributs!$CX$2:$CX$18)+SUMSQ(Attributs!$CY$2:$CY$18)))),0)</f>
        <v/>
      </c>
      <c r="BA33" s="2">
        <f>IFERROR((SUMPRODUCT(Attributs!$BL$2:$BL$18,Attributs!$CZ$2:$CZ$18)+SUMPRODUCT(Attributs!$BM$2:$BM$18,Attributs!$DA$2:$DA$18))/((SQRT(SUMSQ(Attributs!$BL$2:$BL$18)+SUMSQ(Attributs!$BM$2:$BM$18)))*(SQRT(SUMSQ(Attributs!$CZ$2:$CZ$18)+SUMSQ(Attributs!$DA$2:$DA$18)))),0)</f>
        <v/>
      </c>
      <c r="BB33" s="2">
        <f>IFERROR((SUMPRODUCT(Attributs!$BL$2:$BL$18,Attributs!$DB$2:$DB$18)+SUMPRODUCT(Attributs!$BM$2:$BM$18,Attributs!$DC$2:$DC$18))/((SQRT(SUMSQ(Attributs!$BL$2:$BL$18)+SUMSQ(Attributs!$BM$2:$BM$18)))*(SQRT(SUMSQ(Attributs!$DB$2:$DB$18)+SUMSQ(Attributs!$DC$2:$DC$18)))),0)</f>
        <v/>
      </c>
      <c r="BC33" s="2">
        <f>IFERROR((SUMPRODUCT(Attributs!$BL$2:$BL$18,Attributs!$DD$2:$DD$18)+SUMPRODUCT(Attributs!$BM$2:$BM$18,Attributs!$DE$2:$DE$18))/((SQRT(SUMSQ(Attributs!$BL$2:$BL$18)+SUMSQ(Attributs!$BM$2:$BM$18)))*(SQRT(SUMSQ(Attributs!$DD$2:$DD$18)+SUMSQ(Attributs!$DE$2:$DE$18)))),0)</f>
        <v/>
      </c>
      <c r="BD33" s="2">
        <f>IFERROR((SUMPRODUCT(Attributs!$BL$2:$BL$18,Attributs!$DF$2:$DF$18)+SUMPRODUCT(Attributs!$BM$2:$BM$18,Attributs!$DG$2:$DG$18))/((SQRT(SUMSQ(Attributs!$BL$2:$BL$18)+SUMSQ(Attributs!$BM$2:$BM$18)))*(SQRT(SUMSQ(Attributs!$DF$2:$DF$18)+SUMSQ(Attributs!$DG$2:$DG$18)))),0)</f>
        <v/>
      </c>
      <c r="BE33" s="2">
        <f>IFERROR((SUMPRODUCT(Attributs!$BL$2:$BL$18,Attributs!$DH$2:$DH$18)+SUMPRODUCT(Attributs!$BM$2:$BM$18,Attributs!$DI$2:$DI$18))/((SQRT(SUMSQ(Attributs!$BL$2:$BL$18)+SUMSQ(Attributs!$BM$2:$BM$18)))*(SQRT(SUMSQ(Attributs!$DH$2:$DH$18)+SUMSQ(Attributs!$DI$2:$DI$18)))),0)</f>
        <v/>
      </c>
      <c r="BF33" s="2">
        <f>IFERROR((SUMPRODUCT(Attributs!$BL$2:$BL$18,Attributs!$DJ$2:$DJ$18)+SUMPRODUCT(Attributs!$BM$2:$BM$18,Attributs!$DK$2:$DK$18))/((SQRT(SUMSQ(Attributs!$BL$2:$BL$18)+SUMSQ(Attributs!$BM$2:$BM$18)))*(SQRT(SUMSQ(Attributs!$DJ$2:$DJ$18)+SUMSQ(Attributs!$DK$2:$DK$18)))),0)</f>
        <v/>
      </c>
      <c r="BG33" s="2">
        <f>IFERROR((SUMPRODUCT(Attributs!$BL$2:$BL$18,Attributs!$DL$2:$DL$18)+SUMPRODUCT(Attributs!$BM$2:$BM$18,Attributs!$DM$2:$DM$18))/((SQRT(SUMSQ(Attributs!$BL$2:$BL$18)+SUMSQ(Attributs!$BM$2:$BM$18)))*(SQRT(SUMSQ(Attributs!$DL$2:$DL$18)+SUMSQ(Attributs!$DM$2:$DM$18)))),0)</f>
        <v/>
      </c>
      <c r="BH33" s="2">
        <f>IFERROR((SUMPRODUCT(Attributs!$BL$2:$BL$18,Attributs!$DN$2:$DN$18)+SUMPRODUCT(Attributs!$BM$2:$BM$18,Attributs!$DO$2:$DO$18))/((SQRT(SUMSQ(Attributs!$BL$2:$BL$18)+SUMSQ(Attributs!$BM$2:$BM$18)))*(SQRT(SUMSQ(Attributs!$DN$2:$DN$18)+SUMSQ(Attributs!$DO$2:$DO$18)))),0)</f>
        <v/>
      </c>
      <c r="BI33" s="2">
        <f>IFERROR((SUMPRODUCT(Attributs!$BL$2:$BL$18,Attributs!$DP$2:$DP$18)+SUMPRODUCT(Attributs!$BM$2:$BM$18,Attributs!$DQ$2:$DQ$18))/((SQRT(SUMSQ(Attributs!$BL$2:$BL$18)+SUMSQ(Attributs!$BM$2:$BM$18)))*(SQRT(SUMSQ(Attributs!$DP$2:$DP$18)+SUMSQ(Attributs!$DQ$2:$DQ$18)))),0)</f>
        <v/>
      </c>
      <c r="BJ33" s="2">
        <f>IFERROR((SUMPRODUCT(Attributs!$BL$2:$BL$18,Attributs!$DR$2:$DR$18)+SUMPRODUCT(Attributs!$BM$2:$BM$18,Attributs!$DS$2:$DS$18))/((SQRT(SUMSQ(Attributs!$BL$2:$BL$18)+SUMSQ(Attributs!$BM$2:$BM$18)))*(SQRT(SUMSQ(Attributs!$DR$2:$DR$18)+SUMSQ(Attributs!$DS$2:$DS$18)))),0)</f>
        <v/>
      </c>
      <c r="BK33" s="2">
        <f>IFERROR((SUMPRODUCT(Attributs!$BL$2:$BL$18,Attributs!$DT$2:$DT$18)+SUMPRODUCT(Attributs!$BM$2:$BM$18,Attributs!$DU$2:$DU$18))/((SQRT(SUMSQ(Attributs!$BL$2:$BL$18)+SUMSQ(Attributs!$BM$2:$BM$18)))*(SQRT(SUMSQ(Attributs!$DT$2:$DT$18)+SUMSQ(Attributs!$DU$2:$DU$18)))),0)</f>
        <v/>
      </c>
      <c r="BL33" s="2">
        <f>IFERROR((SUMPRODUCT(Attributs!$BL$2:$BL$18,Attributs!$DV$2:$DV$18)+SUMPRODUCT(Attributs!$BM$2:$BM$18,Attributs!$DW$2:$DW$18))/((SQRT(SUMSQ(Attributs!$BL$2:$BL$18)+SUMSQ(Attributs!$BM$2:$BM$18)))*(SQRT(SUMSQ(Attributs!$DV$2:$DV$18)+SUMSQ(Attributs!$DW$2:$DW$18)))),0)</f>
        <v/>
      </c>
    </row>
    <row r="34">
      <c r="A34" s="3" t="inlineStr">
        <is>
          <t>SE_mongodb.Posts.Tags</t>
        </is>
      </c>
      <c r="B34" s="2">
        <f>IFERROR((SUMPRODUCT(Attributs!$BN$2:$BN$18,Attributs!$B$2:$B$18)+SUMPRODUCT(Attributs!$BO$2:$BO$18,Attributs!$C$2:$C$18))/((SQRT(SUMSQ(Attributs!$BN$2:$BN$18)+SUMSQ(Attributs!$BO$2:$BO$18)))*(SQRT(SUMSQ(Attributs!$B$2:$B$18)+SUMSQ(Attributs!$C$2:$C$18)))),0)</f>
        <v/>
      </c>
      <c r="C34" s="2">
        <f>IFERROR((SUMPRODUCT(Attributs!$BN$2:$BN$18,Attributs!$D$2:$D$18)+SUMPRODUCT(Attributs!$BO$2:$BO$18,Attributs!$E$2:$E$18))/((SQRT(SUMSQ(Attributs!$BN$2:$BN$18)+SUMSQ(Attributs!$BO$2:$BO$18)))*(SQRT(SUMSQ(Attributs!$D$2:$D$18)+SUMSQ(Attributs!$E$2:$E$18)))),0)</f>
        <v/>
      </c>
      <c r="D34" s="2">
        <f>IFERROR((SUMPRODUCT(Attributs!$BN$2:$BN$18,Attributs!$F$2:$F$18)+SUMPRODUCT(Attributs!$BO$2:$BO$18,Attributs!$G$2:$G$18))/((SQRT(SUMSQ(Attributs!$BN$2:$BN$18)+SUMSQ(Attributs!$BO$2:$BO$18)))*(SQRT(SUMSQ(Attributs!$F$2:$F$18)+SUMSQ(Attributs!$G$2:$G$18)))),0)</f>
        <v/>
      </c>
      <c r="E34" s="2">
        <f>IFERROR((SUMPRODUCT(Attributs!$BN$2:$BN$18,Attributs!$H$2:$H$18)+SUMPRODUCT(Attributs!$BO$2:$BO$18,Attributs!$I$2:$I$18))/((SQRT(SUMSQ(Attributs!$BN$2:$BN$18)+SUMSQ(Attributs!$BO$2:$BO$18)))*(SQRT(SUMSQ(Attributs!$H$2:$H$18)+SUMSQ(Attributs!$I$2:$I$18)))),0)</f>
        <v/>
      </c>
      <c r="F34" s="2">
        <f>IFERROR((SUMPRODUCT(Attributs!$BN$2:$BN$18,Attributs!$J$2:$J$18)+SUMPRODUCT(Attributs!$BO$2:$BO$18,Attributs!$K$2:$K$18))/((SQRT(SUMSQ(Attributs!$BN$2:$BN$18)+SUMSQ(Attributs!$BO$2:$BO$18)))*(SQRT(SUMSQ(Attributs!$J$2:$J$18)+SUMSQ(Attributs!$K$2:$K$18)))),0)</f>
        <v/>
      </c>
      <c r="G34" s="2">
        <f>IFERROR((SUMPRODUCT(Attributs!$BN$2:$BN$18,Attributs!$L$2:$L$18)+SUMPRODUCT(Attributs!$BO$2:$BO$18,Attributs!$M$2:$M$18))/((SQRT(SUMSQ(Attributs!$BN$2:$BN$18)+SUMSQ(Attributs!$BO$2:$BO$18)))*(SQRT(SUMSQ(Attributs!$L$2:$L$18)+SUMSQ(Attributs!$M$2:$M$18)))),0)</f>
        <v/>
      </c>
      <c r="H34" s="2">
        <f>IFERROR((SUMPRODUCT(Attributs!$BN$2:$BN$18,Attributs!$N$2:$N$18)+SUMPRODUCT(Attributs!$BO$2:$BO$18,Attributs!$O$2:$O$18))/((SQRT(SUMSQ(Attributs!$BN$2:$BN$18)+SUMSQ(Attributs!$BO$2:$BO$18)))*(SQRT(SUMSQ(Attributs!$N$2:$N$18)+SUMSQ(Attributs!$O$2:$O$18)))),0)</f>
        <v/>
      </c>
      <c r="I34" s="2">
        <f>IFERROR((SUMPRODUCT(Attributs!$BN$2:$BN$18,Attributs!$P$2:$P$18)+SUMPRODUCT(Attributs!$BO$2:$BO$18,Attributs!$Q$2:$Q$18))/((SQRT(SUMSQ(Attributs!$BN$2:$BN$18)+SUMSQ(Attributs!$BO$2:$BO$18)))*(SQRT(SUMSQ(Attributs!$P$2:$P$18)+SUMSQ(Attributs!$Q$2:$Q$18)))),0)</f>
        <v/>
      </c>
      <c r="J34" s="2">
        <f>IFERROR((SUMPRODUCT(Attributs!$BN$2:$BN$18,Attributs!$R$2:$R$18)+SUMPRODUCT(Attributs!$BO$2:$BO$18,Attributs!$S$2:$S$18))/((SQRT(SUMSQ(Attributs!$BN$2:$BN$18)+SUMSQ(Attributs!$BO$2:$BO$18)))*(SQRT(SUMSQ(Attributs!$R$2:$R$18)+SUMSQ(Attributs!$S$2:$S$18)))),0)</f>
        <v/>
      </c>
      <c r="K34" s="2">
        <f>IFERROR((SUMPRODUCT(Attributs!$BN$2:$BN$18,Attributs!$T$2:$T$18)+SUMPRODUCT(Attributs!$BO$2:$BO$18,Attributs!$U$2:$U$18))/((SQRT(SUMSQ(Attributs!$BN$2:$BN$18)+SUMSQ(Attributs!$BO$2:$BO$18)))*(SQRT(SUMSQ(Attributs!$T$2:$T$18)+SUMSQ(Attributs!$U$2:$U$18)))),0)</f>
        <v/>
      </c>
      <c r="L34" s="2">
        <f>IFERROR((SUMPRODUCT(Attributs!$BN$2:$BN$18,Attributs!$V$2:$V$18)+SUMPRODUCT(Attributs!$BO$2:$BO$18,Attributs!$W$2:$W$18))/((SQRT(SUMSQ(Attributs!$BN$2:$BN$18)+SUMSQ(Attributs!$BO$2:$BO$18)))*(SQRT(SUMSQ(Attributs!$V$2:$V$18)+SUMSQ(Attributs!$W$2:$W$18)))),0)</f>
        <v/>
      </c>
      <c r="M34" s="2">
        <f>IFERROR((SUMPRODUCT(Attributs!$BN$2:$BN$18,Attributs!$X$2:$X$18)+SUMPRODUCT(Attributs!$BO$2:$BO$18,Attributs!$Y$2:$Y$18))/((SQRT(SUMSQ(Attributs!$BN$2:$BN$18)+SUMSQ(Attributs!$BO$2:$BO$18)))*(SQRT(SUMSQ(Attributs!$X$2:$X$18)+SUMSQ(Attributs!$Y$2:$Y$18)))),0)</f>
        <v/>
      </c>
      <c r="N34" s="2">
        <f>IFERROR((SUMPRODUCT(Attributs!$BN$2:$BN$18,Attributs!$Z$2:$Z$18)+SUMPRODUCT(Attributs!$BO$2:$BO$18,Attributs!$AA$2:$AA$18))/((SQRT(SUMSQ(Attributs!$BN$2:$BN$18)+SUMSQ(Attributs!$BO$2:$BO$18)))*(SQRT(SUMSQ(Attributs!$Z$2:$Z$18)+SUMSQ(Attributs!$AA$2:$AA$18)))),0)</f>
        <v/>
      </c>
      <c r="O34" s="2">
        <f>IFERROR((SUMPRODUCT(Attributs!$BN$2:$BN$18,Attributs!$AB$2:$AB$18)+SUMPRODUCT(Attributs!$BO$2:$BO$18,Attributs!$AC$2:$AC$18))/((SQRT(SUMSQ(Attributs!$BN$2:$BN$18)+SUMSQ(Attributs!$BO$2:$BO$18)))*(SQRT(SUMSQ(Attributs!$AB$2:$AB$18)+SUMSQ(Attributs!$AC$2:$AC$18)))),0)</f>
        <v/>
      </c>
      <c r="P34" s="2">
        <f>IFERROR((SUMPRODUCT(Attributs!$BN$2:$BN$18,Attributs!$AD$2:$AD$18)+SUMPRODUCT(Attributs!$BO$2:$BO$18,Attributs!$AE$2:$AE$18))/((SQRT(SUMSQ(Attributs!$BN$2:$BN$18)+SUMSQ(Attributs!$BO$2:$BO$18)))*(SQRT(SUMSQ(Attributs!$AD$2:$AD$18)+SUMSQ(Attributs!$AE$2:$AE$18)))),0)</f>
        <v/>
      </c>
      <c r="Q34" s="2">
        <f>IFERROR((SUMPRODUCT(Attributs!$BN$2:$BN$18,Attributs!$AF$2:$AF$18)+SUMPRODUCT(Attributs!$BO$2:$BO$18,Attributs!$AG$2:$AG$18))/((SQRT(SUMSQ(Attributs!$BN$2:$BN$18)+SUMSQ(Attributs!$BO$2:$BO$18)))*(SQRT(SUMSQ(Attributs!$AF$2:$AF$18)+SUMSQ(Attributs!$AG$2:$AG$18)))),0)</f>
        <v/>
      </c>
      <c r="R34" s="2">
        <f>IFERROR((SUMPRODUCT(Attributs!$BN$2:$BN$18,Attributs!$AH$2:$AH$18)+SUMPRODUCT(Attributs!$BO$2:$BO$18,Attributs!$AI$2:$AI$18))/((SQRT(SUMSQ(Attributs!$BN$2:$BN$18)+SUMSQ(Attributs!$BO$2:$BO$18)))*(SQRT(SUMSQ(Attributs!$AH$2:$AH$18)+SUMSQ(Attributs!$AI$2:$AI$18)))),0)</f>
        <v/>
      </c>
      <c r="S34" s="2">
        <f>IFERROR((SUMPRODUCT(Attributs!$BN$2:$BN$18,Attributs!$AJ$2:$AJ$18)+SUMPRODUCT(Attributs!$BO$2:$BO$18,Attributs!$AK$2:$AK$18))/((SQRT(SUMSQ(Attributs!$BN$2:$BN$18)+SUMSQ(Attributs!$BO$2:$BO$18)))*(SQRT(SUMSQ(Attributs!$AJ$2:$AJ$18)+SUMSQ(Attributs!$AK$2:$AK$18)))),0)</f>
        <v/>
      </c>
      <c r="T34" s="2">
        <f>IFERROR((SUMPRODUCT(Attributs!$BN$2:$BN$18,Attributs!$AL$2:$AL$18)+SUMPRODUCT(Attributs!$BO$2:$BO$18,Attributs!$AM$2:$AM$18))/((SQRT(SUMSQ(Attributs!$BN$2:$BN$18)+SUMSQ(Attributs!$BO$2:$BO$18)))*(SQRT(SUMSQ(Attributs!$AL$2:$AL$18)+SUMSQ(Attributs!$AM$2:$AM$18)))),0)</f>
        <v/>
      </c>
      <c r="U34" s="2">
        <f>IFERROR((SUMPRODUCT(Attributs!$BN$2:$BN$18,Attributs!$AN$2:$AN$18)+SUMPRODUCT(Attributs!$BO$2:$BO$18,Attributs!$AO$2:$AO$18))/((SQRT(SUMSQ(Attributs!$BN$2:$BN$18)+SUMSQ(Attributs!$BO$2:$BO$18)))*(SQRT(SUMSQ(Attributs!$AN$2:$AN$18)+SUMSQ(Attributs!$AO$2:$AO$18)))),0)</f>
        <v/>
      </c>
      <c r="V34" s="2">
        <f>IFERROR((SUMPRODUCT(Attributs!$BN$2:$BN$18,Attributs!$AP$2:$AP$18)+SUMPRODUCT(Attributs!$BO$2:$BO$18,Attributs!$AQ$2:$AQ$18))/((SQRT(SUMSQ(Attributs!$BN$2:$BN$18)+SUMSQ(Attributs!$BO$2:$BO$18)))*(SQRT(SUMSQ(Attributs!$AP$2:$AP$18)+SUMSQ(Attributs!$AQ$2:$AQ$18)))),0)</f>
        <v/>
      </c>
      <c r="W34" s="2">
        <f>IFERROR((SUMPRODUCT(Attributs!$BN$2:$BN$18,Attributs!$AR$2:$AR$18)+SUMPRODUCT(Attributs!$BO$2:$BO$18,Attributs!$AS$2:$AS$18))/((SQRT(SUMSQ(Attributs!$BN$2:$BN$18)+SUMSQ(Attributs!$BO$2:$BO$18)))*(SQRT(SUMSQ(Attributs!$AR$2:$AR$18)+SUMSQ(Attributs!$AS$2:$AS$18)))),0)</f>
        <v/>
      </c>
      <c r="X34" s="2">
        <f>IFERROR((SUMPRODUCT(Attributs!$BN$2:$BN$18,Attributs!$AT$2:$AT$18)+SUMPRODUCT(Attributs!$BO$2:$BO$18,Attributs!$AU$2:$AU$18))/((SQRT(SUMSQ(Attributs!$BN$2:$BN$18)+SUMSQ(Attributs!$BO$2:$BO$18)))*(SQRT(SUMSQ(Attributs!$AT$2:$AT$18)+SUMSQ(Attributs!$AU$2:$AU$18)))),0)</f>
        <v/>
      </c>
      <c r="Y34" s="2">
        <f>IFERROR((SUMPRODUCT(Attributs!$BN$2:$BN$18,Attributs!$AV$2:$AV$18)+SUMPRODUCT(Attributs!$BO$2:$BO$18,Attributs!$AW$2:$AW$18))/((SQRT(SUMSQ(Attributs!$BN$2:$BN$18)+SUMSQ(Attributs!$BO$2:$BO$18)))*(SQRT(SUMSQ(Attributs!$AV$2:$AV$18)+SUMSQ(Attributs!$AW$2:$AW$18)))),0)</f>
        <v/>
      </c>
      <c r="Z34" s="2">
        <f>IFERROR((SUMPRODUCT(Attributs!$BN$2:$BN$18,Attributs!$AX$2:$AX$18)+SUMPRODUCT(Attributs!$BO$2:$BO$18,Attributs!$AY$2:$AY$18))/((SQRT(SUMSQ(Attributs!$BN$2:$BN$18)+SUMSQ(Attributs!$BO$2:$BO$18)))*(SQRT(SUMSQ(Attributs!$AX$2:$AX$18)+SUMSQ(Attributs!$AY$2:$AY$18)))),0)</f>
        <v/>
      </c>
      <c r="AA34" s="2">
        <f>IFERROR((SUMPRODUCT(Attributs!$BN$2:$BN$18,Attributs!$AZ$2:$AZ$18)+SUMPRODUCT(Attributs!$BO$2:$BO$18,Attributs!$BA$2:$BA$18))/((SQRT(SUMSQ(Attributs!$BN$2:$BN$18)+SUMSQ(Attributs!$BO$2:$BO$18)))*(SQRT(SUMSQ(Attributs!$AZ$2:$AZ$18)+SUMSQ(Attributs!$BA$2:$BA$18)))),0)</f>
        <v/>
      </c>
      <c r="AB34" s="2">
        <f>IFERROR((SUMPRODUCT(Attributs!$BN$2:$BN$18,Attributs!$BB$2:$BB$18)+SUMPRODUCT(Attributs!$BO$2:$BO$18,Attributs!$BC$2:$BC$18))/((SQRT(SUMSQ(Attributs!$BN$2:$BN$18)+SUMSQ(Attributs!$BO$2:$BO$18)))*(SQRT(SUMSQ(Attributs!$BB$2:$BB$18)+SUMSQ(Attributs!$BC$2:$BC$18)))),0)</f>
        <v/>
      </c>
      <c r="AC34" s="2">
        <f>IFERROR((SUMPRODUCT(Attributs!$BN$2:$BN$18,Attributs!$BD$2:$BD$18)+SUMPRODUCT(Attributs!$BO$2:$BO$18,Attributs!$BE$2:$BE$18))/((SQRT(SUMSQ(Attributs!$BN$2:$BN$18)+SUMSQ(Attributs!$BO$2:$BO$18)))*(SQRT(SUMSQ(Attributs!$BD$2:$BD$18)+SUMSQ(Attributs!$BE$2:$BE$18)))),0)</f>
        <v/>
      </c>
      <c r="AD34" s="2">
        <f>IFERROR((SUMPRODUCT(Attributs!$BN$2:$BN$18,Attributs!$BF$2:$BF$18)+SUMPRODUCT(Attributs!$BO$2:$BO$18,Attributs!$BG$2:$BG$18))/((SQRT(SUMSQ(Attributs!$BN$2:$BN$18)+SUMSQ(Attributs!$BO$2:$BO$18)))*(SQRT(SUMSQ(Attributs!$BF$2:$BF$18)+SUMSQ(Attributs!$BG$2:$BG$18)))),0)</f>
        <v/>
      </c>
      <c r="AE34" s="2">
        <f>IFERROR((SUMPRODUCT(Attributs!$BN$2:$BN$18,Attributs!$BH$2:$BH$18)+SUMPRODUCT(Attributs!$BO$2:$BO$18,Attributs!$BI$2:$BI$18))/((SQRT(SUMSQ(Attributs!$BN$2:$BN$18)+SUMSQ(Attributs!$BO$2:$BO$18)))*(SQRT(SUMSQ(Attributs!$BH$2:$BH$18)+SUMSQ(Attributs!$BI$2:$BI$18)))),0)</f>
        <v/>
      </c>
      <c r="AF34" s="2">
        <f>IFERROR((SUMPRODUCT(Attributs!$BN$2:$BN$18,Attributs!$BJ$2:$BJ$18)+SUMPRODUCT(Attributs!$BO$2:$BO$18,Attributs!$BK$2:$BK$18))/((SQRT(SUMSQ(Attributs!$BN$2:$BN$18)+SUMSQ(Attributs!$BO$2:$BO$18)))*(SQRT(SUMSQ(Attributs!$BJ$2:$BJ$18)+SUMSQ(Attributs!$BK$2:$BK$18)))),0)</f>
        <v/>
      </c>
      <c r="AG34" s="2">
        <f>IFERROR((SUMPRODUCT(Attributs!$BN$2:$BN$18,Attributs!$BL$2:$BL$18)+SUMPRODUCT(Attributs!$BO$2:$BO$18,Attributs!$BM$2:$BM$18))/((SQRT(SUMSQ(Attributs!$BN$2:$BN$18)+SUMSQ(Attributs!$BO$2:$BO$18)))*(SQRT(SUMSQ(Attributs!$BL$2:$BL$18)+SUMSQ(Attributs!$BM$2:$BM$18)))),0)</f>
        <v/>
      </c>
      <c r="AH34" s="2">
        <f>IFERROR((SUMPRODUCT(Attributs!$BN$2:$BN$18,Attributs!$BN$2:$BN$18)+SUMPRODUCT(Attributs!$BO$2:$BO$18,Attributs!$BO$2:$BO$18))/((SQRT(SUMSQ(Attributs!$BN$2:$BN$18)+SUMSQ(Attributs!$BO$2:$BO$18)))*(SQRT(SUMSQ(Attributs!$BN$2:$BN$18)+SUMSQ(Attributs!$BO$2:$BO$18)))),0)</f>
        <v/>
      </c>
      <c r="AI34" s="2">
        <f>IFERROR((SUMPRODUCT(Attributs!$BN$2:$BN$18,Attributs!$BP$2:$BP$18)+SUMPRODUCT(Attributs!$BO$2:$BO$18,Attributs!$BQ$2:$BQ$18))/((SQRT(SUMSQ(Attributs!$BN$2:$BN$18)+SUMSQ(Attributs!$BO$2:$BO$18)))*(SQRT(SUMSQ(Attributs!$BP$2:$BP$18)+SUMSQ(Attributs!$BQ$2:$BQ$18)))),0)</f>
        <v/>
      </c>
      <c r="AJ34" s="2">
        <f>IFERROR((SUMPRODUCT(Attributs!$BN$2:$BN$18,Attributs!$BR$2:$BR$18)+SUMPRODUCT(Attributs!$BO$2:$BO$18,Attributs!$BS$2:$BS$18))/((SQRT(SUMSQ(Attributs!$BN$2:$BN$18)+SUMSQ(Attributs!$BO$2:$BO$18)))*(SQRT(SUMSQ(Attributs!$BR$2:$BR$18)+SUMSQ(Attributs!$BS$2:$BS$18)))),0)</f>
        <v/>
      </c>
      <c r="AK34" s="2">
        <f>IFERROR((SUMPRODUCT(Attributs!$BN$2:$BN$18,Attributs!$BT$2:$BT$18)+SUMPRODUCT(Attributs!$BO$2:$BO$18,Attributs!$BU$2:$BU$18))/((SQRT(SUMSQ(Attributs!$BN$2:$BN$18)+SUMSQ(Attributs!$BO$2:$BO$18)))*(SQRT(SUMSQ(Attributs!$BT$2:$BT$18)+SUMSQ(Attributs!$BU$2:$BU$18)))),0)</f>
        <v/>
      </c>
      <c r="AL34" s="2">
        <f>IFERROR((SUMPRODUCT(Attributs!$BN$2:$BN$18,Attributs!$BV$2:$BV$18)+SUMPRODUCT(Attributs!$BO$2:$BO$18,Attributs!$BW$2:$BW$18))/((SQRT(SUMSQ(Attributs!$BN$2:$BN$18)+SUMSQ(Attributs!$BO$2:$BO$18)))*(SQRT(SUMSQ(Attributs!$BV$2:$BV$18)+SUMSQ(Attributs!$BW$2:$BW$18)))),0)</f>
        <v/>
      </c>
      <c r="AM34" s="2">
        <f>IFERROR((SUMPRODUCT(Attributs!$BN$2:$BN$18,Attributs!$BX$2:$BX$18)+SUMPRODUCT(Attributs!$BO$2:$BO$18,Attributs!$BY$2:$BY$18))/((SQRT(SUMSQ(Attributs!$BN$2:$BN$18)+SUMSQ(Attributs!$BO$2:$BO$18)))*(SQRT(SUMSQ(Attributs!$BX$2:$BX$18)+SUMSQ(Attributs!$BY$2:$BY$18)))),0)</f>
        <v/>
      </c>
      <c r="AN34" s="2">
        <f>IFERROR((SUMPRODUCT(Attributs!$BN$2:$BN$18,Attributs!$BZ$2:$BZ$18)+SUMPRODUCT(Attributs!$BO$2:$BO$18,Attributs!$CA$2:$CA$18))/((SQRT(SUMSQ(Attributs!$BN$2:$BN$18)+SUMSQ(Attributs!$BO$2:$BO$18)))*(SQRT(SUMSQ(Attributs!$BZ$2:$BZ$18)+SUMSQ(Attributs!$CA$2:$CA$18)))),0)</f>
        <v/>
      </c>
      <c r="AO34" s="2">
        <f>IFERROR((SUMPRODUCT(Attributs!$BN$2:$BN$18,Attributs!$CB$2:$CB$18)+SUMPRODUCT(Attributs!$BO$2:$BO$18,Attributs!$CC$2:$CC$18))/((SQRT(SUMSQ(Attributs!$BN$2:$BN$18)+SUMSQ(Attributs!$BO$2:$BO$18)))*(SQRT(SUMSQ(Attributs!$CB$2:$CB$18)+SUMSQ(Attributs!$CC$2:$CC$18)))),0)</f>
        <v/>
      </c>
      <c r="AP34" s="2">
        <f>IFERROR((SUMPRODUCT(Attributs!$BN$2:$BN$18,Attributs!$CD$2:$CD$18)+SUMPRODUCT(Attributs!$BO$2:$BO$18,Attributs!$CE$2:$CE$18))/((SQRT(SUMSQ(Attributs!$BN$2:$BN$18)+SUMSQ(Attributs!$BO$2:$BO$18)))*(SQRT(SUMSQ(Attributs!$CD$2:$CD$18)+SUMSQ(Attributs!$CE$2:$CE$18)))),0)</f>
        <v/>
      </c>
      <c r="AQ34" s="2">
        <f>IFERROR((SUMPRODUCT(Attributs!$BN$2:$BN$18,Attributs!$CF$2:$CF$18)+SUMPRODUCT(Attributs!$BO$2:$BO$18,Attributs!$CG$2:$CG$18))/((SQRT(SUMSQ(Attributs!$BN$2:$BN$18)+SUMSQ(Attributs!$BO$2:$BO$18)))*(SQRT(SUMSQ(Attributs!$CF$2:$CF$18)+SUMSQ(Attributs!$CG$2:$CG$18)))),0)</f>
        <v/>
      </c>
      <c r="AR34" s="2">
        <f>IFERROR((SUMPRODUCT(Attributs!$BN$2:$BN$18,Attributs!$CH$2:$CH$18)+SUMPRODUCT(Attributs!$BO$2:$BO$18,Attributs!$CI$2:$CI$18))/((SQRT(SUMSQ(Attributs!$BN$2:$BN$18)+SUMSQ(Attributs!$BO$2:$BO$18)))*(SQRT(SUMSQ(Attributs!$CH$2:$CH$18)+SUMSQ(Attributs!$CI$2:$CI$18)))),0)</f>
        <v/>
      </c>
      <c r="AS34" s="2">
        <f>IFERROR((SUMPRODUCT(Attributs!$BN$2:$BN$18,Attributs!$CJ$2:$CJ$18)+SUMPRODUCT(Attributs!$BO$2:$BO$18,Attributs!$CK$2:$CK$18))/((SQRT(SUMSQ(Attributs!$BN$2:$BN$18)+SUMSQ(Attributs!$BO$2:$BO$18)))*(SQRT(SUMSQ(Attributs!$CJ$2:$CJ$18)+SUMSQ(Attributs!$CK$2:$CK$18)))),0)</f>
        <v/>
      </c>
      <c r="AT34" s="2">
        <f>IFERROR((SUMPRODUCT(Attributs!$BN$2:$BN$18,Attributs!$CL$2:$CL$18)+SUMPRODUCT(Attributs!$BO$2:$BO$18,Attributs!$CM$2:$CM$18))/((SQRT(SUMSQ(Attributs!$BN$2:$BN$18)+SUMSQ(Attributs!$BO$2:$BO$18)))*(SQRT(SUMSQ(Attributs!$CL$2:$CL$18)+SUMSQ(Attributs!$CM$2:$CM$18)))),0)</f>
        <v/>
      </c>
      <c r="AU34" s="2">
        <f>IFERROR((SUMPRODUCT(Attributs!$BN$2:$BN$18,Attributs!$CN$2:$CN$18)+SUMPRODUCT(Attributs!$BO$2:$BO$18,Attributs!$CO$2:$CO$18))/((SQRT(SUMSQ(Attributs!$BN$2:$BN$18)+SUMSQ(Attributs!$BO$2:$BO$18)))*(SQRT(SUMSQ(Attributs!$CN$2:$CN$18)+SUMSQ(Attributs!$CO$2:$CO$18)))),0)</f>
        <v/>
      </c>
      <c r="AV34" s="2">
        <f>IFERROR((SUMPRODUCT(Attributs!$BN$2:$BN$18,Attributs!$CP$2:$CP$18)+SUMPRODUCT(Attributs!$BO$2:$BO$18,Attributs!$CQ$2:$CQ$18))/((SQRT(SUMSQ(Attributs!$BN$2:$BN$18)+SUMSQ(Attributs!$BO$2:$BO$18)))*(SQRT(SUMSQ(Attributs!$CP$2:$CP$18)+SUMSQ(Attributs!$CQ$2:$CQ$18)))),0)</f>
        <v/>
      </c>
      <c r="AW34" s="2">
        <f>IFERROR((SUMPRODUCT(Attributs!$BN$2:$BN$18,Attributs!$CR$2:$CR$18)+SUMPRODUCT(Attributs!$BO$2:$BO$18,Attributs!$CS$2:$CS$18))/((SQRT(SUMSQ(Attributs!$BN$2:$BN$18)+SUMSQ(Attributs!$BO$2:$BO$18)))*(SQRT(SUMSQ(Attributs!$CR$2:$CR$18)+SUMSQ(Attributs!$CS$2:$CS$18)))),0)</f>
        <v/>
      </c>
      <c r="AX34" s="2">
        <f>IFERROR((SUMPRODUCT(Attributs!$BN$2:$BN$18,Attributs!$CT$2:$CT$18)+SUMPRODUCT(Attributs!$BO$2:$BO$18,Attributs!$CU$2:$CU$18))/((SQRT(SUMSQ(Attributs!$BN$2:$BN$18)+SUMSQ(Attributs!$BO$2:$BO$18)))*(SQRT(SUMSQ(Attributs!$CT$2:$CT$18)+SUMSQ(Attributs!$CU$2:$CU$18)))),0)</f>
        <v/>
      </c>
      <c r="AY34" s="2">
        <f>IFERROR((SUMPRODUCT(Attributs!$BN$2:$BN$18,Attributs!$CV$2:$CV$18)+SUMPRODUCT(Attributs!$BO$2:$BO$18,Attributs!$CW$2:$CW$18))/((SQRT(SUMSQ(Attributs!$BN$2:$BN$18)+SUMSQ(Attributs!$BO$2:$BO$18)))*(SQRT(SUMSQ(Attributs!$CV$2:$CV$18)+SUMSQ(Attributs!$CW$2:$CW$18)))),0)</f>
        <v/>
      </c>
      <c r="AZ34" s="2">
        <f>IFERROR((SUMPRODUCT(Attributs!$BN$2:$BN$18,Attributs!$CX$2:$CX$18)+SUMPRODUCT(Attributs!$BO$2:$BO$18,Attributs!$CY$2:$CY$18))/((SQRT(SUMSQ(Attributs!$BN$2:$BN$18)+SUMSQ(Attributs!$BO$2:$BO$18)))*(SQRT(SUMSQ(Attributs!$CX$2:$CX$18)+SUMSQ(Attributs!$CY$2:$CY$18)))),0)</f>
        <v/>
      </c>
      <c r="BA34" s="2">
        <f>IFERROR((SUMPRODUCT(Attributs!$BN$2:$BN$18,Attributs!$CZ$2:$CZ$18)+SUMPRODUCT(Attributs!$BO$2:$BO$18,Attributs!$DA$2:$DA$18))/((SQRT(SUMSQ(Attributs!$BN$2:$BN$18)+SUMSQ(Attributs!$BO$2:$BO$18)))*(SQRT(SUMSQ(Attributs!$CZ$2:$CZ$18)+SUMSQ(Attributs!$DA$2:$DA$18)))),0)</f>
        <v/>
      </c>
      <c r="BB34" s="2">
        <f>IFERROR((SUMPRODUCT(Attributs!$BN$2:$BN$18,Attributs!$DB$2:$DB$18)+SUMPRODUCT(Attributs!$BO$2:$BO$18,Attributs!$DC$2:$DC$18))/((SQRT(SUMSQ(Attributs!$BN$2:$BN$18)+SUMSQ(Attributs!$BO$2:$BO$18)))*(SQRT(SUMSQ(Attributs!$DB$2:$DB$18)+SUMSQ(Attributs!$DC$2:$DC$18)))),0)</f>
        <v/>
      </c>
      <c r="BC34" s="2">
        <f>IFERROR((SUMPRODUCT(Attributs!$BN$2:$BN$18,Attributs!$DD$2:$DD$18)+SUMPRODUCT(Attributs!$BO$2:$BO$18,Attributs!$DE$2:$DE$18))/((SQRT(SUMSQ(Attributs!$BN$2:$BN$18)+SUMSQ(Attributs!$BO$2:$BO$18)))*(SQRT(SUMSQ(Attributs!$DD$2:$DD$18)+SUMSQ(Attributs!$DE$2:$DE$18)))),0)</f>
        <v/>
      </c>
      <c r="BD34" s="2">
        <f>IFERROR((SUMPRODUCT(Attributs!$BN$2:$BN$18,Attributs!$DF$2:$DF$18)+SUMPRODUCT(Attributs!$BO$2:$BO$18,Attributs!$DG$2:$DG$18))/((SQRT(SUMSQ(Attributs!$BN$2:$BN$18)+SUMSQ(Attributs!$BO$2:$BO$18)))*(SQRT(SUMSQ(Attributs!$DF$2:$DF$18)+SUMSQ(Attributs!$DG$2:$DG$18)))),0)</f>
        <v/>
      </c>
      <c r="BE34" s="2">
        <f>IFERROR((SUMPRODUCT(Attributs!$BN$2:$BN$18,Attributs!$DH$2:$DH$18)+SUMPRODUCT(Attributs!$BO$2:$BO$18,Attributs!$DI$2:$DI$18))/((SQRT(SUMSQ(Attributs!$BN$2:$BN$18)+SUMSQ(Attributs!$BO$2:$BO$18)))*(SQRT(SUMSQ(Attributs!$DH$2:$DH$18)+SUMSQ(Attributs!$DI$2:$DI$18)))),0)</f>
        <v/>
      </c>
      <c r="BF34" s="2">
        <f>IFERROR((SUMPRODUCT(Attributs!$BN$2:$BN$18,Attributs!$DJ$2:$DJ$18)+SUMPRODUCT(Attributs!$BO$2:$BO$18,Attributs!$DK$2:$DK$18))/((SQRT(SUMSQ(Attributs!$BN$2:$BN$18)+SUMSQ(Attributs!$BO$2:$BO$18)))*(SQRT(SUMSQ(Attributs!$DJ$2:$DJ$18)+SUMSQ(Attributs!$DK$2:$DK$18)))),0)</f>
        <v/>
      </c>
      <c r="BG34" s="2">
        <f>IFERROR((SUMPRODUCT(Attributs!$BN$2:$BN$18,Attributs!$DL$2:$DL$18)+SUMPRODUCT(Attributs!$BO$2:$BO$18,Attributs!$DM$2:$DM$18))/((SQRT(SUMSQ(Attributs!$BN$2:$BN$18)+SUMSQ(Attributs!$BO$2:$BO$18)))*(SQRT(SUMSQ(Attributs!$DL$2:$DL$18)+SUMSQ(Attributs!$DM$2:$DM$18)))),0)</f>
        <v/>
      </c>
      <c r="BH34" s="2">
        <f>IFERROR((SUMPRODUCT(Attributs!$BN$2:$BN$18,Attributs!$DN$2:$DN$18)+SUMPRODUCT(Attributs!$BO$2:$BO$18,Attributs!$DO$2:$DO$18))/((SQRT(SUMSQ(Attributs!$BN$2:$BN$18)+SUMSQ(Attributs!$BO$2:$BO$18)))*(SQRT(SUMSQ(Attributs!$DN$2:$DN$18)+SUMSQ(Attributs!$DO$2:$DO$18)))),0)</f>
        <v/>
      </c>
      <c r="BI34" s="2">
        <f>IFERROR((SUMPRODUCT(Attributs!$BN$2:$BN$18,Attributs!$DP$2:$DP$18)+SUMPRODUCT(Attributs!$BO$2:$BO$18,Attributs!$DQ$2:$DQ$18))/((SQRT(SUMSQ(Attributs!$BN$2:$BN$18)+SUMSQ(Attributs!$BO$2:$BO$18)))*(SQRT(SUMSQ(Attributs!$DP$2:$DP$18)+SUMSQ(Attributs!$DQ$2:$DQ$18)))),0)</f>
        <v/>
      </c>
      <c r="BJ34" s="2">
        <f>IFERROR((SUMPRODUCT(Attributs!$BN$2:$BN$18,Attributs!$DR$2:$DR$18)+SUMPRODUCT(Attributs!$BO$2:$BO$18,Attributs!$DS$2:$DS$18))/((SQRT(SUMSQ(Attributs!$BN$2:$BN$18)+SUMSQ(Attributs!$BO$2:$BO$18)))*(SQRT(SUMSQ(Attributs!$DR$2:$DR$18)+SUMSQ(Attributs!$DS$2:$DS$18)))),0)</f>
        <v/>
      </c>
      <c r="BK34" s="2">
        <f>IFERROR((SUMPRODUCT(Attributs!$BN$2:$BN$18,Attributs!$DT$2:$DT$18)+SUMPRODUCT(Attributs!$BO$2:$BO$18,Attributs!$DU$2:$DU$18))/((SQRT(SUMSQ(Attributs!$BN$2:$BN$18)+SUMSQ(Attributs!$BO$2:$BO$18)))*(SQRT(SUMSQ(Attributs!$DT$2:$DT$18)+SUMSQ(Attributs!$DU$2:$DU$18)))),0)</f>
        <v/>
      </c>
      <c r="BL34" s="2">
        <f>IFERROR((SUMPRODUCT(Attributs!$BN$2:$BN$18,Attributs!$DV$2:$DV$18)+SUMPRODUCT(Attributs!$BO$2:$BO$18,Attributs!$DW$2:$DW$18))/((SQRT(SUMSQ(Attributs!$BN$2:$BN$18)+SUMSQ(Attributs!$BO$2:$BO$18)))*(SQRT(SUMSQ(Attributs!$DV$2:$DV$18)+SUMSQ(Attributs!$DW$2:$DW$18)))),0)</f>
        <v/>
      </c>
    </row>
    <row r="35">
      <c r="A35" s="3" t="inlineStr">
        <is>
          <t>SE_mongodb.Posts.Body</t>
        </is>
      </c>
      <c r="B35" s="2">
        <f>IFERROR((SUMPRODUCT(Attributs!$BP$2:$BP$18,Attributs!$B$2:$B$18)+SUMPRODUCT(Attributs!$BQ$2:$BQ$18,Attributs!$C$2:$C$18))/((SQRT(SUMSQ(Attributs!$BP$2:$BP$18)+SUMSQ(Attributs!$BQ$2:$BQ$18)))*(SQRT(SUMSQ(Attributs!$B$2:$B$18)+SUMSQ(Attributs!$C$2:$C$18)))),0)</f>
        <v/>
      </c>
      <c r="C35" s="2">
        <f>IFERROR((SUMPRODUCT(Attributs!$BP$2:$BP$18,Attributs!$D$2:$D$18)+SUMPRODUCT(Attributs!$BQ$2:$BQ$18,Attributs!$E$2:$E$18))/((SQRT(SUMSQ(Attributs!$BP$2:$BP$18)+SUMSQ(Attributs!$BQ$2:$BQ$18)))*(SQRT(SUMSQ(Attributs!$D$2:$D$18)+SUMSQ(Attributs!$E$2:$E$18)))),0)</f>
        <v/>
      </c>
      <c r="D35" s="2">
        <f>IFERROR((SUMPRODUCT(Attributs!$BP$2:$BP$18,Attributs!$F$2:$F$18)+SUMPRODUCT(Attributs!$BQ$2:$BQ$18,Attributs!$G$2:$G$18))/((SQRT(SUMSQ(Attributs!$BP$2:$BP$18)+SUMSQ(Attributs!$BQ$2:$BQ$18)))*(SQRT(SUMSQ(Attributs!$F$2:$F$18)+SUMSQ(Attributs!$G$2:$G$18)))),0)</f>
        <v/>
      </c>
      <c r="E35" s="2">
        <f>IFERROR((SUMPRODUCT(Attributs!$BP$2:$BP$18,Attributs!$H$2:$H$18)+SUMPRODUCT(Attributs!$BQ$2:$BQ$18,Attributs!$I$2:$I$18))/((SQRT(SUMSQ(Attributs!$BP$2:$BP$18)+SUMSQ(Attributs!$BQ$2:$BQ$18)))*(SQRT(SUMSQ(Attributs!$H$2:$H$18)+SUMSQ(Attributs!$I$2:$I$18)))),0)</f>
        <v/>
      </c>
      <c r="F35" s="2">
        <f>IFERROR((SUMPRODUCT(Attributs!$BP$2:$BP$18,Attributs!$J$2:$J$18)+SUMPRODUCT(Attributs!$BQ$2:$BQ$18,Attributs!$K$2:$K$18))/((SQRT(SUMSQ(Attributs!$BP$2:$BP$18)+SUMSQ(Attributs!$BQ$2:$BQ$18)))*(SQRT(SUMSQ(Attributs!$J$2:$J$18)+SUMSQ(Attributs!$K$2:$K$18)))),0)</f>
        <v/>
      </c>
      <c r="G35" s="2">
        <f>IFERROR((SUMPRODUCT(Attributs!$BP$2:$BP$18,Attributs!$L$2:$L$18)+SUMPRODUCT(Attributs!$BQ$2:$BQ$18,Attributs!$M$2:$M$18))/((SQRT(SUMSQ(Attributs!$BP$2:$BP$18)+SUMSQ(Attributs!$BQ$2:$BQ$18)))*(SQRT(SUMSQ(Attributs!$L$2:$L$18)+SUMSQ(Attributs!$M$2:$M$18)))),0)</f>
        <v/>
      </c>
      <c r="H35" s="2">
        <f>IFERROR((SUMPRODUCT(Attributs!$BP$2:$BP$18,Attributs!$N$2:$N$18)+SUMPRODUCT(Attributs!$BQ$2:$BQ$18,Attributs!$O$2:$O$18))/((SQRT(SUMSQ(Attributs!$BP$2:$BP$18)+SUMSQ(Attributs!$BQ$2:$BQ$18)))*(SQRT(SUMSQ(Attributs!$N$2:$N$18)+SUMSQ(Attributs!$O$2:$O$18)))),0)</f>
        <v/>
      </c>
      <c r="I35" s="2">
        <f>IFERROR((SUMPRODUCT(Attributs!$BP$2:$BP$18,Attributs!$P$2:$P$18)+SUMPRODUCT(Attributs!$BQ$2:$BQ$18,Attributs!$Q$2:$Q$18))/((SQRT(SUMSQ(Attributs!$BP$2:$BP$18)+SUMSQ(Attributs!$BQ$2:$BQ$18)))*(SQRT(SUMSQ(Attributs!$P$2:$P$18)+SUMSQ(Attributs!$Q$2:$Q$18)))),0)</f>
        <v/>
      </c>
      <c r="J35" s="2">
        <f>IFERROR((SUMPRODUCT(Attributs!$BP$2:$BP$18,Attributs!$R$2:$R$18)+SUMPRODUCT(Attributs!$BQ$2:$BQ$18,Attributs!$S$2:$S$18))/((SQRT(SUMSQ(Attributs!$BP$2:$BP$18)+SUMSQ(Attributs!$BQ$2:$BQ$18)))*(SQRT(SUMSQ(Attributs!$R$2:$R$18)+SUMSQ(Attributs!$S$2:$S$18)))),0)</f>
        <v/>
      </c>
      <c r="K35" s="2">
        <f>IFERROR((SUMPRODUCT(Attributs!$BP$2:$BP$18,Attributs!$T$2:$T$18)+SUMPRODUCT(Attributs!$BQ$2:$BQ$18,Attributs!$U$2:$U$18))/((SQRT(SUMSQ(Attributs!$BP$2:$BP$18)+SUMSQ(Attributs!$BQ$2:$BQ$18)))*(SQRT(SUMSQ(Attributs!$T$2:$T$18)+SUMSQ(Attributs!$U$2:$U$18)))),0)</f>
        <v/>
      </c>
      <c r="L35" s="2">
        <f>IFERROR((SUMPRODUCT(Attributs!$BP$2:$BP$18,Attributs!$V$2:$V$18)+SUMPRODUCT(Attributs!$BQ$2:$BQ$18,Attributs!$W$2:$W$18))/((SQRT(SUMSQ(Attributs!$BP$2:$BP$18)+SUMSQ(Attributs!$BQ$2:$BQ$18)))*(SQRT(SUMSQ(Attributs!$V$2:$V$18)+SUMSQ(Attributs!$W$2:$W$18)))),0)</f>
        <v/>
      </c>
      <c r="M35" s="2">
        <f>IFERROR((SUMPRODUCT(Attributs!$BP$2:$BP$18,Attributs!$X$2:$X$18)+SUMPRODUCT(Attributs!$BQ$2:$BQ$18,Attributs!$Y$2:$Y$18))/((SQRT(SUMSQ(Attributs!$BP$2:$BP$18)+SUMSQ(Attributs!$BQ$2:$BQ$18)))*(SQRT(SUMSQ(Attributs!$X$2:$X$18)+SUMSQ(Attributs!$Y$2:$Y$18)))),0)</f>
        <v/>
      </c>
      <c r="N35" s="2">
        <f>IFERROR((SUMPRODUCT(Attributs!$BP$2:$BP$18,Attributs!$Z$2:$Z$18)+SUMPRODUCT(Attributs!$BQ$2:$BQ$18,Attributs!$AA$2:$AA$18))/((SQRT(SUMSQ(Attributs!$BP$2:$BP$18)+SUMSQ(Attributs!$BQ$2:$BQ$18)))*(SQRT(SUMSQ(Attributs!$Z$2:$Z$18)+SUMSQ(Attributs!$AA$2:$AA$18)))),0)</f>
        <v/>
      </c>
      <c r="O35" s="2">
        <f>IFERROR((SUMPRODUCT(Attributs!$BP$2:$BP$18,Attributs!$AB$2:$AB$18)+SUMPRODUCT(Attributs!$BQ$2:$BQ$18,Attributs!$AC$2:$AC$18))/((SQRT(SUMSQ(Attributs!$BP$2:$BP$18)+SUMSQ(Attributs!$BQ$2:$BQ$18)))*(SQRT(SUMSQ(Attributs!$AB$2:$AB$18)+SUMSQ(Attributs!$AC$2:$AC$18)))),0)</f>
        <v/>
      </c>
      <c r="P35" s="2">
        <f>IFERROR((SUMPRODUCT(Attributs!$BP$2:$BP$18,Attributs!$AD$2:$AD$18)+SUMPRODUCT(Attributs!$BQ$2:$BQ$18,Attributs!$AE$2:$AE$18))/((SQRT(SUMSQ(Attributs!$BP$2:$BP$18)+SUMSQ(Attributs!$BQ$2:$BQ$18)))*(SQRT(SUMSQ(Attributs!$AD$2:$AD$18)+SUMSQ(Attributs!$AE$2:$AE$18)))),0)</f>
        <v/>
      </c>
      <c r="Q35" s="2">
        <f>IFERROR((SUMPRODUCT(Attributs!$BP$2:$BP$18,Attributs!$AF$2:$AF$18)+SUMPRODUCT(Attributs!$BQ$2:$BQ$18,Attributs!$AG$2:$AG$18))/((SQRT(SUMSQ(Attributs!$BP$2:$BP$18)+SUMSQ(Attributs!$BQ$2:$BQ$18)))*(SQRT(SUMSQ(Attributs!$AF$2:$AF$18)+SUMSQ(Attributs!$AG$2:$AG$18)))),0)</f>
        <v/>
      </c>
      <c r="R35" s="2">
        <f>IFERROR((SUMPRODUCT(Attributs!$BP$2:$BP$18,Attributs!$AH$2:$AH$18)+SUMPRODUCT(Attributs!$BQ$2:$BQ$18,Attributs!$AI$2:$AI$18))/((SQRT(SUMSQ(Attributs!$BP$2:$BP$18)+SUMSQ(Attributs!$BQ$2:$BQ$18)))*(SQRT(SUMSQ(Attributs!$AH$2:$AH$18)+SUMSQ(Attributs!$AI$2:$AI$18)))),0)</f>
        <v/>
      </c>
      <c r="S35" s="2">
        <f>IFERROR((SUMPRODUCT(Attributs!$BP$2:$BP$18,Attributs!$AJ$2:$AJ$18)+SUMPRODUCT(Attributs!$BQ$2:$BQ$18,Attributs!$AK$2:$AK$18))/((SQRT(SUMSQ(Attributs!$BP$2:$BP$18)+SUMSQ(Attributs!$BQ$2:$BQ$18)))*(SQRT(SUMSQ(Attributs!$AJ$2:$AJ$18)+SUMSQ(Attributs!$AK$2:$AK$18)))),0)</f>
        <v/>
      </c>
      <c r="T35" s="2">
        <f>IFERROR((SUMPRODUCT(Attributs!$BP$2:$BP$18,Attributs!$AL$2:$AL$18)+SUMPRODUCT(Attributs!$BQ$2:$BQ$18,Attributs!$AM$2:$AM$18))/((SQRT(SUMSQ(Attributs!$BP$2:$BP$18)+SUMSQ(Attributs!$BQ$2:$BQ$18)))*(SQRT(SUMSQ(Attributs!$AL$2:$AL$18)+SUMSQ(Attributs!$AM$2:$AM$18)))),0)</f>
        <v/>
      </c>
      <c r="U35" s="2">
        <f>IFERROR((SUMPRODUCT(Attributs!$BP$2:$BP$18,Attributs!$AN$2:$AN$18)+SUMPRODUCT(Attributs!$BQ$2:$BQ$18,Attributs!$AO$2:$AO$18))/((SQRT(SUMSQ(Attributs!$BP$2:$BP$18)+SUMSQ(Attributs!$BQ$2:$BQ$18)))*(SQRT(SUMSQ(Attributs!$AN$2:$AN$18)+SUMSQ(Attributs!$AO$2:$AO$18)))),0)</f>
        <v/>
      </c>
      <c r="V35" s="2">
        <f>IFERROR((SUMPRODUCT(Attributs!$BP$2:$BP$18,Attributs!$AP$2:$AP$18)+SUMPRODUCT(Attributs!$BQ$2:$BQ$18,Attributs!$AQ$2:$AQ$18))/((SQRT(SUMSQ(Attributs!$BP$2:$BP$18)+SUMSQ(Attributs!$BQ$2:$BQ$18)))*(SQRT(SUMSQ(Attributs!$AP$2:$AP$18)+SUMSQ(Attributs!$AQ$2:$AQ$18)))),0)</f>
        <v/>
      </c>
      <c r="W35" s="2">
        <f>IFERROR((SUMPRODUCT(Attributs!$BP$2:$BP$18,Attributs!$AR$2:$AR$18)+SUMPRODUCT(Attributs!$BQ$2:$BQ$18,Attributs!$AS$2:$AS$18))/((SQRT(SUMSQ(Attributs!$BP$2:$BP$18)+SUMSQ(Attributs!$BQ$2:$BQ$18)))*(SQRT(SUMSQ(Attributs!$AR$2:$AR$18)+SUMSQ(Attributs!$AS$2:$AS$18)))),0)</f>
        <v/>
      </c>
      <c r="X35" s="2">
        <f>IFERROR((SUMPRODUCT(Attributs!$BP$2:$BP$18,Attributs!$AT$2:$AT$18)+SUMPRODUCT(Attributs!$BQ$2:$BQ$18,Attributs!$AU$2:$AU$18))/((SQRT(SUMSQ(Attributs!$BP$2:$BP$18)+SUMSQ(Attributs!$BQ$2:$BQ$18)))*(SQRT(SUMSQ(Attributs!$AT$2:$AT$18)+SUMSQ(Attributs!$AU$2:$AU$18)))),0)</f>
        <v/>
      </c>
      <c r="Y35" s="2">
        <f>IFERROR((SUMPRODUCT(Attributs!$BP$2:$BP$18,Attributs!$AV$2:$AV$18)+SUMPRODUCT(Attributs!$BQ$2:$BQ$18,Attributs!$AW$2:$AW$18))/((SQRT(SUMSQ(Attributs!$BP$2:$BP$18)+SUMSQ(Attributs!$BQ$2:$BQ$18)))*(SQRT(SUMSQ(Attributs!$AV$2:$AV$18)+SUMSQ(Attributs!$AW$2:$AW$18)))),0)</f>
        <v/>
      </c>
      <c r="Z35" s="2">
        <f>IFERROR((SUMPRODUCT(Attributs!$BP$2:$BP$18,Attributs!$AX$2:$AX$18)+SUMPRODUCT(Attributs!$BQ$2:$BQ$18,Attributs!$AY$2:$AY$18))/((SQRT(SUMSQ(Attributs!$BP$2:$BP$18)+SUMSQ(Attributs!$BQ$2:$BQ$18)))*(SQRT(SUMSQ(Attributs!$AX$2:$AX$18)+SUMSQ(Attributs!$AY$2:$AY$18)))),0)</f>
        <v/>
      </c>
      <c r="AA35" s="2">
        <f>IFERROR((SUMPRODUCT(Attributs!$BP$2:$BP$18,Attributs!$AZ$2:$AZ$18)+SUMPRODUCT(Attributs!$BQ$2:$BQ$18,Attributs!$BA$2:$BA$18))/((SQRT(SUMSQ(Attributs!$BP$2:$BP$18)+SUMSQ(Attributs!$BQ$2:$BQ$18)))*(SQRT(SUMSQ(Attributs!$AZ$2:$AZ$18)+SUMSQ(Attributs!$BA$2:$BA$18)))),0)</f>
        <v/>
      </c>
      <c r="AB35" s="2">
        <f>IFERROR((SUMPRODUCT(Attributs!$BP$2:$BP$18,Attributs!$BB$2:$BB$18)+SUMPRODUCT(Attributs!$BQ$2:$BQ$18,Attributs!$BC$2:$BC$18))/((SQRT(SUMSQ(Attributs!$BP$2:$BP$18)+SUMSQ(Attributs!$BQ$2:$BQ$18)))*(SQRT(SUMSQ(Attributs!$BB$2:$BB$18)+SUMSQ(Attributs!$BC$2:$BC$18)))),0)</f>
        <v/>
      </c>
      <c r="AC35" s="2">
        <f>IFERROR((SUMPRODUCT(Attributs!$BP$2:$BP$18,Attributs!$BD$2:$BD$18)+SUMPRODUCT(Attributs!$BQ$2:$BQ$18,Attributs!$BE$2:$BE$18))/((SQRT(SUMSQ(Attributs!$BP$2:$BP$18)+SUMSQ(Attributs!$BQ$2:$BQ$18)))*(SQRT(SUMSQ(Attributs!$BD$2:$BD$18)+SUMSQ(Attributs!$BE$2:$BE$18)))),0)</f>
        <v/>
      </c>
      <c r="AD35" s="2">
        <f>IFERROR((SUMPRODUCT(Attributs!$BP$2:$BP$18,Attributs!$BF$2:$BF$18)+SUMPRODUCT(Attributs!$BQ$2:$BQ$18,Attributs!$BG$2:$BG$18))/((SQRT(SUMSQ(Attributs!$BP$2:$BP$18)+SUMSQ(Attributs!$BQ$2:$BQ$18)))*(SQRT(SUMSQ(Attributs!$BF$2:$BF$18)+SUMSQ(Attributs!$BG$2:$BG$18)))),0)</f>
        <v/>
      </c>
      <c r="AE35" s="2">
        <f>IFERROR((SUMPRODUCT(Attributs!$BP$2:$BP$18,Attributs!$BH$2:$BH$18)+SUMPRODUCT(Attributs!$BQ$2:$BQ$18,Attributs!$BI$2:$BI$18))/((SQRT(SUMSQ(Attributs!$BP$2:$BP$18)+SUMSQ(Attributs!$BQ$2:$BQ$18)))*(SQRT(SUMSQ(Attributs!$BH$2:$BH$18)+SUMSQ(Attributs!$BI$2:$BI$18)))),0)</f>
        <v/>
      </c>
      <c r="AF35" s="2">
        <f>IFERROR((SUMPRODUCT(Attributs!$BP$2:$BP$18,Attributs!$BJ$2:$BJ$18)+SUMPRODUCT(Attributs!$BQ$2:$BQ$18,Attributs!$BK$2:$BK$18))/((SQRT(SUMSQ(Attributs!$BP$2:$BP$18)+SUMSQ(Attributs!$BQ$2:$BQ$18)))*(SQRT(SUMSQ(Attributs!$BJ$2:$BJ$18)+SUMSQ(Attributs!$BK$2:$BK$18)))),0)</f>
        <v/>
      </c>
      <c r="AG35" s="2">
        <f>IFERROR((SUMPRODUCT(Attributs!$BP$2:$BP$18,Attributs!$BL$2:$BL$18)+SUMPRODUCT(Attributs!$BQ$2:$BQ$18,Attributs!$BM$2:$BM$18))/((SQRT(SUMSQ(Attributs!$BP$2:$BP$18)+SUMSQ(Attributs!$BQ$2:$BQ$18)))*(SQRT(SUMSQ(Attributs!$BL$2:$BL$18)+SUMSQ(Attributs!$BM$2:$BM$18)))),0)</f>
        <v/>
      </c>
      <c r="AH35" s="2">
        <f>IFERROR((SUMPRODUCT(Attributs!$BP$2:$BP$18,Attributs!$BN$2:$BN$18)+SUMPRODUCT(Attributs!$BQ$2:$BQ$18,Attributs!$BO$2:$BO$18))/((SQRT(SUMSQ(Attributs!$BP$2:$BP$18)+SUMSQ(Attributs!$BQ$2:$BQ$18)))*(SQRT(SUMSQ(Attributs!$BN$2:$BN$18)+SUMSQ(Attributs!$BO$2:$BO$18)))),0)</f>
        <v/>
      </c>
      <c r="AI35" s="2">
        <f>IFERROR((SUMPRODUCT(Attributs!$BP$2:$BP$18,Attributs!$BP$2:$BP$18)+SUMPRODUCT(Attributs!$BQ$2:$BQ$18,Attributs!$BQ$2:$BQ$18))/((SQRT(SUMSQ(Attributs!$BP$2:$BP$18)+SUMSQ(Attributs!$BQ$2:$BQ$18)))*(SQRT(SUMSQ(Attributs!$BP$2:$BP$18)+SUMSQ(Attributs!$BQ$2:$BQ$18)))),0)</f>
        <v/>
      </c>
      <c r="AJ35" s="2">
        <f>IFERROR((SUMPRODUCT(Attributs!$BP$2:$BP$18,Attributs!$BR$2:$BR$18)+SUMPRODUCT(Attributs!$BQ$2:$BQ$18,Attributs!$BS$2:$BS$18))/((SQRT(SUMSQ(Attributs!$BP$2:$BP$18)+SUMSQ(Attributs!$BQ$2:$BQ$18)))*(SQRT(SUMSQ(Attributs!$BR$2:$BR$18)+SUMSQ(Attributs!$BS$2:$BS$18)))),0)</f>
        <v/>
      </c>
      <c r="AK35" s="2">
        <f>IFERROR((SUMPRODUCT(Attributs!$BP$2:$BP$18,Attributs!$BT$2:$BT$18)+SUMPRODUCT(Attributs!$BQ$2:$BQ$18,Attributs!$BU$2:$BU$18))/((SQRT(SUMSQ(Attributs!$BP$2:$BP$18)+SUMSQ(Attributs!$BQ$2:$BQ$18)))*(SQRT(SUMSQ(Attributs!$BT$2:$BT$18)+SUMSQ(Attributs!$BU$2:$BU$18)))),0)</f>
        <v/>
      </c>
      <c r="AL35" s="2">
        <f>IFERROR((SUMPRODUCT(Attributs!$BP$2:$BP$18,Attributs!$BV$2:$BV$18)+SUMPRODUCT(Attributs!$BQ$2:$BQ$18,Attributs!$BW$2:$BW$18))/((SQRT(SUMSQ(Attributs!$BP$2:$BP$18)+SUMSQ(Attributs!$BQ$2:$BQ$18)))*(SQRT(SUMSQ(Attributs!$BV$2:$BV$18)+SUMSQ(Attributs!$BW$2:$BW$18)))),0)</f>
        <v/>
      </c>
      <c r="AM35" s="2">
        <f>IFERROR((SUMPRODUCT(Attributs!$BP$2:$BP$18,Attributs!$BX$2:$BX$18)+SUMPRODUCT(Attributs!$BQ$2:$BQ$18,Attributs!$BY$2:$BY$18))/((SQRT(SUMSQ(Attributs!$BP$2:$BP$18)+SUMSQ(Attributs!$BQ$2:$BQ$18)))*(SQRT(SUMSQ(Attributs!$BX$2:$BX$18)+SUMSQ(Attributs!$BY$2:$BY$18)))),0)</f>
        <v/>
      </c>
      <c r="AN35" s="2">
        <f>IFERROR((SUMPRODUCT(Attributs!$BP$2:$BP$18,Attributs!$BZ$2:$BZ$18)+SUMPRODUCT(Attributs!$BQ$2:$BQ$18,Attributs!$CA$2:$CA$18))/((SQRT(SUMSQ(Attributs!$BP$2:$BP$18)+SUMSQ(Attributs!$BQ$2:$BQ$18)))*(SQRT(SUMSQ(Attributs!$BZ$2:$BZ$18)+SUMSQ(Attributs!$CA$2:$CA$18)))),0)</f>
        <v/>
      </c>
      <c r="AO35" s="2">
        <f>IFERROR((SUMPRODUCT(Attributs!$BP$2:$BP$18,Attributs!$CB$2:$CB$18)+SUMPRODUCT(Attributs!$BQ$2:$BQ$18,Attributs!$CC$2:$CC$18))/((SQRT(SUMSQ(Attributs!$BP$2:$BP$18)+SUMSQ(Attributs!$BQ$2:$BQ$18)))*(SQRT(SUMSQ(Attributs!$CB$2:$CB$18)+SUMSQ(Attributs!$CC$2:$CC$18)))),0)</f>
        <v/>
      </c>
      <c r="AP35" s="2">
        <f>IFERROR((SUMPRODUCT(Attributs!$BP$2:$BP$18,Attributs!$CD$2:$CD$18)+SUMPRODUCT(Attributs!$BQ$2:$BQ$18,Attributs!$CE$2:$CE$18))/((SQRT(SUMSQ(Attributs!$BP$2:$BP$18)+SUMSQ(Attributs!$BQ$2:$BQ$18)))*(SQRT(SUMSQ(Attributs!$CD$2:$CD$18)+SUMSQ(Attributs!$CE$2:$CE$18)))),0)</f>
        <v/>
      </c>
      <c r="AQ35" s="2">
        <f>IFERROR((SUMPRODUCT(Attributs!$BP$2:$BP$18,Attributs!$CF$2:$CF$18)+SUMPRODUCT(Attributs!$BQ$2:$BQ$18,Attributs!$CG$2:$CG$18))/((SQRT(SUMSQ(Attributs!$BP$2:$BP$18)+SUMSQ(Attributs!$BQ$2:$BQ$18)))*(SQRT(SUMSQ(Attributs!$CF$2:$CF$18)+SUMSQ(Attributs!$CG$2:$CG$18)))),0)</f>
        <v/>
      </c>
      <c r="AR35" s="2">
        <f>IFERROR((SUMPRODUCT(Attributs!$BP$2:$BP$18,Attributs!$CH$2:$CH$18)+SUMPRODUCT(Attributs!$BQ$2:$BQ$18,Attributs!$CI$2:$CI$18))/((SQRT(SUMSQ(Attributs!$BP$2:$BP$18)+SUMSQ(Attributs!$BQ$2:$BQ$18)))*(SQRT(SUMSQ(Attributs!$CH$2:$CH$18)+SUMSQ(Attributs!$CI$2:$CI$18)))),0)</f>
        <v/>
      </c>
      <c r="AS35" s="2">
        <f>IFERROR((SUMPRODUCT(Attributs!$BP$2:$BP$18,Attributs!$CJ$2:$CJ$18)+SUMPRODUCT(Attributs!$BQ$2:$BQ$18,Attributs!$CK$2:$CK$18))/((SQRT(SUMSQ(Attributs!$BP$2:$BP$18)+SUMSQ(Attributs!$BQ$2:$BQ$18)))*(SQRT(SUMSQ(Attributs!$CJ$2:$CJ$18)+SUMSQ(Attributs!$CK$2:$CK$18)))),0)</f>
        <v/>
      </c>
      <c r="AT35" s="2">
        <f>IFERROR((SUMPRODUCT(Attributs!$BP$2:$BP$18,Attributs!$CL$2:$CL$18)+SUMPRODUCT(Attributs!$BQ$2:$BQ$18,Attributs!$CM$2:$CM$18))/((SQRT(SUMSQ(Attributs!$BP$2:$BP$18)+SUMSQ(Attributs!$BQ$2:$BQ$18)))*(SQRT(SUMSQ(Attributs!$CL$2:$CL$18)+SUMSQ(Attributs!$CM$2:$CM$18)))),0)</f>
        <v/>
      </c>
      <c r="AU35" s="2">
        <f>IFERROR((SUMPRODUCT(Attributs!$BP$2:$BP$18,Attributs!$CN$2:$CN$18)+SUMPRODUCT(Attributs!$BQ$2:$BQ$18,Attributs!$CO$2:$CO$18))/((SQRT(SUMSQ(Attributs!$BP$2:$BP$18)+SUMSQ(Attributs!$BQ$2:$BQ$18)))*(SQRT(SUMSQ(Attributs!$CN$2:$CN$18)+SUMSQ(Attributs!$CO$2:$CO$18)))),0)</f>
        <v/>
      </c>
      <c r="AV35" s="2">
        <f>IFERROR((SUMPRODUCT(Attributs!$BP$2:$BP$18,Attributs!$CP$2:$CP$18)+SUMPRODUCT(Attributs!$BQ$2:$BQ$18,Attributs!$CQ$2:$CQ$18))/((SQRT(SUMSQ(Attributs!$BP$2:$BP$18)+SUMSQ(Attributs!$BQ$2:$BQ$18)))*(SQRT(SUMSQ(Attributs!$CP$2:$CP$18)+SUMSQ(Attributs!$CQ$2:$CQ$18)))),0)</f>
        <v/>
      </c>
      <c r="AW35" s="2">
        <f>IFERROR((SUMPRODUCT(Attributs!$BP$2:$BP$18,Attributs!$CR$2:$CR$18)+SUMPRODUCT(Attributs!$BQ$2:$BQ$18,Attributs!$CS$2:$CS$18))/((SQRT(SUMSQ(Attributs!$BP$2:$BP$18)+SUMSQ(Attributs!$BQ$2:$BQ$18)))*(SQRT(SUMSQ(Attributs!$CR$2:$CR$18)+SUMSQ(Attributs!$CS$2:$CS$18)))),0)</f>
        <v/>
      </c>
      <c r="AX35" s="2">
        <f>IFERROR((SUMPRODUCT(Attributs!$BP$2:$BP$18,Attributs!$CT$2:$CT$18)+SUMPRODUCT(Attributs!$BQ$2:$BQ$18,Attributs!$CU$2:$CU$18))/((SQRT(SUMSQ(Attributs!$BP$2:$BP$18)+SUMSQ(Attributs!$BQ$2:$BQ$18)))*(SQRT(SUMSQ(Attributs!$CT$2:$CT$18)+SUMSQ(Attributs!$CU$2:$CU$18)))),0)</f>
        <v/>
      </c>
      <c r="AY35" s="2">
        <f>IFERROR((SUMPRODUCT(Attributs!$BP$2:$BP$18,Attributs!$CV$2:$CV$18)+SUMPRODUCT(Attributs!$BQ$2:$BQ$18,Attributs!$CW$2:$CW$18))/((SQRT(SUMSQ(Attributs!$BP$2:$BP$18)+SUMSQ(Attributs!$BQ$2:$BQ$18)))*(SQRT(SUMSQ(Attributs!$CV$2:$CV$18)+SUMSQ(Attributs!$CW$2:$CW$18)))),0)</f>
        <v/>
      </c>
      <c r="AZ35" s="2">
        <f>IFERROR((SUMPRODUCT(Attributs!$BP$2:$BP$18,Attributs!$CX$2:$CX$18)+SUMPRODUCT(Attributs!$BQ$2:$BQ$18,Attributs!$CY$2:$CY$18))/((SQRT(SUMSQ(Attributs!$BP$2:$BP$18)+SUMSQ(Attributs!$BQ$2:$BQ$18)))*(SQRT(SUMSQ(Attributs!$CX$2:$CX$18)+SUMSQ(Attributs!$CY$2:$CY$18)))),0)</f>
        <v/>
      </c>
      <c r="BA35" s="2">
        <f>IFERROR((SUMPRODUCT(Attributs!$BP$2:$BP$18,Attributs!$CZ$2:$CZ$18)+SUMPRODUCT(Attributs!$BQ$2:$BQ$18,Attributs!$DA$2:$DA$18))/((SQRT(SUMSQ(Attributs!$BP$2:$BP$18)+SUMSQ(Attributs!$BQ$2:$BQ$18)))*(SQRT(SUMSQ(Attributs!$CZ$2:$CZ$18)+SUMSQ(Attributs!$DA$2:$DA$18)))),0)</f>
        <v/>
      </c>
      <c r="BB35" s="2">
        <f>IFERROR((SUMPRODUCT(Attributs!$BP$2:$BP$18,Attributs!$DB$2:$DB$18)+SUMPRODUCT(Attributs!$BQ$2:$BQ$18,Attributs!$DC$2:$DC$18))/((SQRT(SUMSQ(Attributs!$BP$2:$BP$18)+SUMSQ(Attributs!$BQ$2:$BQ$18)))*(SQRT(SUMSQ(Attributs!$DB$2:$DB$18)+SUMSQ(Attributs!$DC$2:$DC$18)))),0)</f>
        <v/>
      </c>
      <c r="BC35" s="2">
        <f>IFERROR((SUMPRODUCT(Attributs!$BP$2:$BP$18,Attributs!$DD$2:$DD$18)+SUMPRODUCT(Attributs!$BQ$2:$BQ$18,Attributs!$DE$2:$DE$18))/((SQRT(SUMSQ(Attributs!$BP$2:$BP$18)+SUMSQ(Attributs!$BQ$2:$BQ$18)))*(SQRT(SUMSQ(Attributs!$DD$2:$DD$18)+SUMSQ(Attributs!$DE$2:$DE$18)))),0)</f>
        <v/>
      </c>
      <c r="BD35" s="2">
        <f>IFERROR((SUMPRODUCT(Attributs!$BP$2:$BP$18,Attributs!$DF$2:$DF$18)+SUMPRODUCT(Attributs!$BQ$2:$BQ$18,Attributs!$DG$2:$DG$18))/((SQRT(SUMSQ(Attributs!$BP$2:$BP$18)+SUMSQ(Attributs!$BQ$2:$BQ$18)))*(SQRT(SUMSQ(Attributs!$DF$2:$DF$18)+SUMSQ(Attributs!$DG$2:$DG$18)))),0)</f>
        <v/>
      </c>
      <c r="BE35" s="2">
        <f>IFERROR((SUMPRODUCT(Attributs!$BP$2:$BP$18,Attributs!$DH$2:$DH$18)+SUMPRODUCT(Attributs!$BQ$2:$BQ$18,Attributs!$DI$2:$DI$18))/((SQRT(SUMSQ(Attributs!$BP$2:$BP$18)+SUMSQ(Attributs!$BQ$2:$BQ$18)))*(SQRT(SUMSQ(Attributs!$DH$2:$DH$18)+SUMSQ(Attributs!$DI$2:$DI$18)))),0)</f>
        <v/>
      </c>
      <c r="BF35" s="2">
        <f>IFERROR((SUMPRODUCT(Attributs!$BP$2:$BP$18,Attributs!$DJ$2:$DJ$18)+SUMPRODUCT(Attributs!$BQ$2:$BQ$18,Attributs!$DK$2:$DK$18))/((SQRT(SUMSQ(Attributs!$BP$2:$BP$18)+SUMSQ(Attributs!$BQ$2:$BQ$18)))*(SQRT(SUMSQ(Attributs!$DJ$2:$DJ$18)+SUMSQ(Attributs!$DK$2:$DK$18)))),0)</f>
        <v/>
      </c>
      <c r="BG35" s="2">
        <f>IFERROR((SUMPRODUCT(Attributs!$BP$2:$BP$18,Attributs!$DL$2:$DL$18)+SUMPRODUCT(Attributs!$BQ$2:$BQ$18,Attributs!$DM$2:$DM$18))/((SQRT(SUMSQ(Attributs!$BP$2:$BP$18)+SUMSQ(Attributs!$BQ$2:$BQ$18)))*(SQRT(SUMSQ(Attributs!$DL$2:$DL$18)+SUMSQ(Attributs!$DM$2:$DM$18)))),0)</f>
        <v/>
      </c>
      <c r="BH35" s="2">
        <f>IFERROR((SUMPRODUCT(Attributs!$BP$2:$BP$18,Attributs!$DN$2:$DN$18)+SUMPRODUCT(Attributs!$BQ$2:$BQ$18,Attributs!$DO$2:$DO$18))/((SQRT(SUMSQ(Attributs!$BP$2:$BP$18)+SUMSQ(Attributs!$BQ$2:$BQ$18)))*(SQRT(SUMSQ(Attributs!$DN$2:$DN$18)+SUMSQ(Attributs!$DO$2:$DO$18)))),0)</f>
        <v/>
      </c>
      <c r="BI35" s="2">
        <f>IFERROR((SUMPRODUCT(Attributs!$BP$2:$BP$18,Attributs!$DP$2:$DP$18)+SUMPRODUCT(Attributs!$BQ$2:$BQ$18,Attributs!$DQ$2:$DQ$18))/((SQRT(SUMSQ(Attributs!$BP$2:$BP$18)+SUMSQ(Attributs!$BQ$2:$BQ$18)))*(SQRT(SUMSQ(Attributs!$DP$2:$DP$18)+SUMSQ(Attributs!$DQ$2:$DQ$18)))),0)</f>
        <v/>
      </c>
      <c r="BJ35" s="2">
        <f>IFERROR((SUMPRODUCT(Attributs!$BP$2:$BP$18,Attributs!$DR$2:$DR$18)+SUMPRODUCT(Attributs!$BQ$2:$BQ$18,Attributs!$DS$2:$DS$18))/((SQRT(SUMSQ(Attributs!$BP$2:$BP$18)+SUMSQ(Attributs!$BQ$2:$BQ$18)))*(SQRT(SUMSQ(Attributs!$DR$2:$DR$18)+SUMSQ(Attributs!$DS$2:$DS$18)))),0)</f>
        <v/>
      </c>
      <c r="BK35" s="2">
        <f>IFERROR((SUMPRODUCT(Attributs!$BP$2:$BP$18,Attributs!$DT$2:$DT$18)+SUMPRODUCT(Attributs!$BQ$2:$BQ$18,Attributs!$DU$2:$DU$18))/((SQRT(SUMSQ(Attributs!$BP$2:$BP$18)+SUMSQ(Attributs!$BQ$2:$BQ$18)))*(SQRT(SUMSQ(Attributs!$DT$2:$DT$18)+SUMSQ(Attributs!$DU$2:$DU$18)))),0)</f>
        <v/>
      </c>
      <c r="BL35" s="2">
        <f>IFERROR((SUMPRODUCT(Attributs!$BP$2:$BP$18,Attributs!$DV$2:$DV$18)+SUMPRODUCT(Attributs!$BQ$2:$BQ$18,Attributs!$DW$2:$DW$18))/((SQRT(SUMSQ(Attributs!$BP$2:$BP$18)+SUMSQ(Attributs!$BQ$2:$BQ$18)))*(SQRT(SUMSQ(Attributs!$DV$2:$DV$18)+SUMSQ(Attributs!$DW$2:$DW$18)))),0)</f>
        <v/>
      </c>
    </row>
    <row r="36">
      <c r="A36" s="3" t="inlineStr">
        <is>
          <t>SE_mongodb.Users.Id</t>
        </is>
      </c>
      <c r="B36" s="2">
        <f>IFERROR((SUMPRODUCT(Attributs!$BR$2:$BR$18,Attributs!$B$2:$B$18)+SUMPRODUCT(Attributs!$BS$2:$BS$18,Attributs!$C$2:$C$18))/((SQRT(SUMSQ(Attributs!$BR$2:$BR$18)+SUMSQ(Attributs!$BS$2:$BS$18)))*(SQRT(SUMSQ(Attributs!$B$2:$B$18)+SUMSQ(Attributs!$C$2:$C$18)))),0)</f>
        <v/>
      </c>
      <c r="C36" s="2">
        <f>IFERROR((SUMPRODUCT(Attributs!$BR$2:$BR$18,Attributs!$D$2:$D$18)+SUMPRODUCT(Attributs!$BS$2:$BS$18,Attributs!$E$2:$E$18))/((SQRT(SUMSQ(Attributs!$BR$2:$BR$18)+SUMSQ(Attributs!$BS$2:$BS$18)))*(SQRT(SUMSQ(Attributs!$D$2:$D$18)+SUMSQ(Attributs!$E$2:$E$18)))),0)</f>
        <v/>
      </c>
      <c r="D36" s="2">
        <f>IFERROR((SUMPRODUCT(Attributs!$BR$2:$BR$18,Attributs!$F$2:$F$18)+SUMPRODUCT(Attributs!$BS$2:$BS$18,Attributs!$G$2:$G$18))/((SQRT(SUMSQ(Attributs!$BR$2:$BR$18)+SUMSQ(Attributs!$BS$2:$BS$18)))*(SQRT(SUMSQ(Attributs!$F$2:$F$18)+SUMSQ(Attributs!$G$2:$G$18)))),0)</f>
        <v/>
      </c>
      <c r="E36" s="2">
        <f>IFERROR((SUMPRODUCT(Attributs!$BR$2:$BR$18,Attributs!$H$2:$H$18)+SUMPRODUCT(Attributs!$BS$2:$BS$18,Attributs!$I$2:$I$18))/((SQRT(SUMSQ(Attributs!$BR$2:$BR$18)+SUMSQ(Attributs!$BS$2:$BS$18)))*(SQRT(SUMSQ(Attributs!$H$2:$H$18)+SUMSQ(Attributs!$I$2:$I$18)))),0)</f>
        <v/>
      </c>
      <c r="F36" s="2">
        <f>IFERROR((SUMPRODUCT(Attributs!$BR$2:$BR$18,Attributs!$J$2:$J$18)+SUMPRODUCT(Attributs!$BS$2:$BS$18,Attributs!$K$2:$K$18))/((SQRT(SUMSQ(Attributs!$BR$2:$BR$18)+SUMSQ(Attributs!$BS$2:$BS$18)))*(SQRT(SUMSQ(Attributs!$J$2:$J$18)+SUMSQ(Attributs!$K$2:$K$18)))),0)</f>
        <v/>
      </c>
      <c r="G36" s="2">
        <f>IFERROR((SUMPRODUCT(Attributs!$BR$2:$BR$18,Attributs!$L$2:$L$18)+SUMPRODUCT(Attributs!$BS$2:$BS$18,Attributs!$M$2:$M$18))/((SQRT(SUMSQ(Attributs!$BR$2:$BR$18)+SUMSQ(Attributs!$BS$2:$BS$18)))*(SQRT(SUMSQ(Attributs!$L$2:$L$18)+SUMSQ(Attributs!$M$2:$M$18)))),0)</f>
        <v/>
      </c>
      <c r="H36" s="2">
        <f>IFERROR((SUMPRODUCT(Attributs!$BR$2:$BR$18,Attributs!$N$2:$N$18)+SUMPRODUCT(Attributs!$BS$2:$BS$18,Attributs!$O$2:$O$18))/((SQRT(SUMSQ(Attributs!$BR$2:$BR$18)+SUMSQ(Attributs!$BS$2:$BS$18)))*(SQRT(SUMSQ(Attributs!$N$2:$N$18)+SUMSQ(Attributs!$O$2:$O$18)))),0)</f>
        <v/>
      </c>
      <c r="I36" s="2">
        <f>IFERROR((SUMPRODUCT(Attributs!$BR$2:$BR$18,Attributs!$P$2:$P$18)+SUMPRODUCT(Attributs!$BS$2:$BS$18,Attributs!$Q$2:$Q$18))/((SQRT(SUMSQ(Attributs!$BR$2:$BR$18)+SUMSQ(Attributs!$BS$2:$BS$18)))*(SQRT(SUMSQ(Attributs!$P$2:$P$18)+SUMSQ(Attributs!$Q$2:$Q$18)))),0)</f>
        <v/>
      </c>
      <c r="J36" s="2">
        <f>IFERROR((SUMPRODUCT(Attributs!$BR$2:$BR$18,Attributs!$R$2:$R$18)+SUMPRODUCT(Attributs!$BS$2:$BS$18,Attributs!$S$2:$S$18))/((SQRT(SUMSQ(Attributs!$BR$2:$BR$18)+SUMSQ(Attributs!$BS$2:$BS$18)))*(SQRT(SUMSQ(Attributs!$R$2:$R$18)+SUMSQ(Attributs!$S$2:$S$18)))),0)</f>
        <v/>
      </c>
      <c r="K36" s="2">
        <f>IFERROR((SUMPRODUCT(Attributs!$BR$2:$BR$18,Attributs!$T$2:$T$18)+SUMPRODUCT(Attributs!$BS$2:$BS$18,Attributs!$U$2:$U$18))/((SQRT(SUMSQ(Attributs!$BR$2:$BR$18)+SUMSQ(Attributs!$BS$2:$BS$18)))*(SQRT(SUMSQ(Attributs!$T$2:$T$18)+SUMSQ(Attributs!$U$2:$U$18)))),0)</f>
        <v/>
      </c>
      <c r="L36" s="2">
        <f>IFERROR((SUMPRODUCT(Attributs!$BR$2:$BR$18,Attributs!$V$2:$V$18)+SUMPRODUCT(Attributs!$BS$2:$BS$18,Attributs!$W$2:$W$18))/((SQRT(SUMSQ(Attributs!$BR$2:$BR$18)+SUMSQ(Attributs!$BS$2:$BS$18)))*(SQRT(SUMSQ(Attributs!$V$2:$V$18)+SUMSQ(Attributs!$W$2:$W$18)))),0)</f>
        <v/>
      </c>
      <c r="M36" s="2">
        <f>IFERROR((SUMPRODUCT(Attributs!$BR$2:$BR$18,Attributs!$X$2:$X$18)+SUMPRODUCT(Attributs!$BS$2:$BS$18,Attributs!$Y$2:$Y$18))/((SQRT(SUMSQ(Attributs!$BR$2:$BR$18)+SUMSQ(Attributs!$BS$2:$BS$18)))*(SQRT(SUMSQ(Attributs!$X$2:$X$18)+SUMSQ(Attributs!$Y$2:$Y$18)))),0)</f>
        <v/>
      </c>
      <c r="N36" s="2">
        <f>IFERROR((SUMPRODUCT(Attributs!$BR$2:$BR$18,Attributs!$Z$2:$Z$18)+SUMPRODUCT(Attributs!$BS$2:$BS$18,Attributs!$AA$2:$AA$18))/((SQRT(SUMSQ(Attributs!$BR$2:$BR$18)+SUMSQ(Attributs!$BS$2:$BS$18)))*(SQRT(SUMSQ(Attributs!$Z$2:$Z$18)+SUMSQ(Attributs!$AA$2:$AA$18)))),0)</f>
        <v/>
      </c>
      <c r="O36" s="2">
        <f>IFERROR((SUMPRODUCT(Attributs!$BR$2:$BR$18,Attributs!$AB$2:$AB$18)+SUMPRODUCT(Attributs!$BS$2:$BS$18,Attributs!$AC$2:$AC$18))/((SQRT(SUMSQ(Attributs!$BR$2:$BR$18)+SUMSQ(Attributs!$BS$2:$BS$18)))*(SQRT(SUMSQ(Attributs!$AB$2:$AB$18)+SUMSQ(Attributs!$AC$2:$AC$18)))),0)</f>
        <v/>
      </c>
      <c r="P36" s="2">
        <f>IFERROR((SUMPRODUCT(Attributs!$BR$2:$BR$18,Attributs!$AD$2:$AD$18)+SUMPRODUCT(Attributs!$BS$2:$BS$18,Attributs!$AE$2:$AE$18))/((SQRT(SUMSQ(Attributs!$BR$2:$BR$18)+SUMSQ(Attributs!$BS$2:$BS$18)))*(SQRT(SUMSQ(Attributs!$AD$2:$AD$18)+SUMSQ(Attributs!$AE$2:$AE$18)))),0)</f>
        <v/>
      </c>
      <c r="Q36" s="2">
        <f>IFERROR((SUMPRODUCT(Attributs!$BR$2:$BR$18,Attributs!$AF$2:$AF$18)+SUMPRODUCT(Attributs!$BS$2:$BS$18,Attributs!$AG$2:$AG$18))/((SQRT(SUMSQ(Attributs!$BR$2:$BR$18)+SUMSQ(Attributs!$BS$2:$BS$18)))*(SQRT(SUMSQ(Attributs!$AF$2:$AF$18)+SUMSQ(Attributs!$AG$2:$AG$18)))),0)</f>
        <v/>
      </c>
      <c r="R36" s="2">
        <f>IFERROR((SUMPRODUCT(Attributs!$BR$2:$BR$18,Attributs!$AH$2:$AH$18)+SUMPRODUCT(Attributs!$BS$2:$BS$18,Attributs!$AI$2:$AI$18))/((SQRT(SUMSQ(Attributs!$BR$2:$BR$18)+SUMSQ(Attributs!$BS$2:$BS$18)))*(SQRT(SUMSQ(Attributs!$AH$2:$AH$18)+SUMSQ(Attributs!$AI$2:$AI$18)))),0)</f>
        <v/>
      </c>
      <c r="S36" s="2">
        <f>IFERROR((SUMPRODUCT(Attributs!$BR$2:$BR$18,Attributs!$AJ$2:$AJ$18)+SUMPRODUCT(Attributs!$BS$2:$BS$18,Attributs!$AK$2:$AK$18))/((SQRT(SUMSQ(Attributs!$BR$2:$BR$18)+SUMSQ(Attributs!$BS$2:$BS$18)))*(SQRT(SUMSQ(Attributs!$AJ$2:$AJ$18)+SUMSQ(Attributs!$AK$2:$AK$18)))),0)</f>
        <v/>
      </c>
      <c r="T36" s="2">
        <f>IFERROR((SUMPRODUCT(Attributs!$BR$2:$BR$18,Attributs!$AL$2:$AL$18)+SUMPRODUCT(Attributs!$BS$2:$BS$18,Attributs!$AM$2:$AM$18))/((SQRT(SUMSQ(Attributs!$BR$2:$BR$18)+SUMSQ(Attributs!$BS$2:$BS$18)))*(SQRT(SUMSQ(Attributs!$AL$2:$AL$18)+SUMSQ(Attributs!$AM$2:$AM$18)))),0)</f>
        <v/>
      </c>
      <c r="U36" s="2">
        <f>IFERROR((SUMPRODUCT(Attributs!$BR$2:$BR$18,Attributs!$AN$2:$AN$18)+SUMPRODUCT(Attributs!$BS$2:$BS$18,Attributs!$AO$2:$AO$18))/((SQRT(SUMSQ(Attributs!$BR$2:$BR$18)+SUMSQ(Attributs!$BS$2:$BS$18)))*(SQRT(SUMSQ(Attributs!$AN$2:$AN$18)+SUMSQ(Attributs!$AO$2:$AO$18)))),0)</f>
        <v/>
      </c>
      <c r="V36" s="2">
        <f>IFERROR((SUMPRODUCT(Attributs!$BR$2:$BR$18,Attributs!$AP$2:$AP$18)+SUMPRODUCT(Attributs!$BS$2:$BS$18,Attributs!$AQ$2:$AQ$18))/((SQRT(SUMSQ(Attributs!$BR$2:$BR$18)+SUMSQ(Attributs!$BS$2:$BS$18)))*(SQRT(SUMSQ(Attributs!$AP$2:$AP$18)+SUMSQ(Attributs!$AQ$2:$AQ$18)))),0)</f>
        <v/>
      </c>
      <c r="W36" s="2">
        <f>IFERROR((SUMPRODUCT(Attributs!$BR$2:$BR$18,Attributs!$AR$2:$AR$18)+SUMPRODUCT(Attributs!$BS$2:$BS$18,Attributs!$AS$2:$AS$18))/((SQRT(SUMSQ(Attributs!$BR$2:$BR$18)+SUMSQ(Attributs!$BS$2:$BS$18)))*(SQRT(SUMSQ(Attributs!$AR$2:$AR$18)+SUMSQ(Attributs!$AS$2:$AS$18)))),0)</f>
        <v/>
      </c>
      <c r="X36" s="2">
        <f>IFERROR((SUMPRODUCT(Attributs!$BR$2:$BR$18,Attributs!$AT$2:$AT$18)+SUMPRODUCT(Attributs!$BS$2:$BS$18,Attributs!$AU$2:$AU$18))/((SQRT(SUMSQ(Attributs!$BR$2:$BR$18)+SUMSQ(Attributs!$BS$2:$BS$18)))*(SQRT(SUMSQ(Attributs!$AT$2:$AT$18)+SUMSQ(Attributs!$AU$2:$AU$18)))),0)</f>
        <v/>
      </c>
      <c r="Y36" s="2">
        <f>IFERROR((SUMPRODUCT(Attributs!$BR$2:$BR$18,Attributs!$AV$2:$AV$18)+SUMPRODUCT(Attributs!$BS$2:$BS$18,Attributs!$AW$2:$AW$18))/((SQRT(SUMSQ(Attributs!$BR$2:$BR$18)+SUMSQ(Attributs!$BS$2:$BS$18)))*(SQRT(SUMSQ(Attributs!$AV$2:$AV$18)+SUMSQ(Attributs!$AW$2:$AW$18)))),0)</f>
        <v/>
      </c>
      <c r="Z36" s="2">
        <f>IFERROR((SUMPRODUCT(Attributs!$BR$2:$BR$18,Attributs!$AX$2:$AX$18)+SUMPRODUCT(Attributs!$BS$2:$BS$18,Attributs!$AY$2:$AY$18))/((SQRT(SUMSQ(Attributs!$BR$2:$BR$18)+SUMSQ(Attributs!$BS$2:$BS$18)))*(SQRT(SUMSQ(Attributs!$AX$2:$AX$18)+SUMSQ(Attributs!$AY$2:$AY$18)))),0)</f>
        <v/>
      </c>
      <c r="AA36" s="2">
        <f>IFERROR((SUMPRODUCT(Attributs!$BR$2:$BR$18,Attributs!$AZ$2:$AZ$18)+SUMPRODUCT(Attributs!$BS$2:$BS$18,Attributs!$BA$2:$BA$18))/((SQRT(SUMSQ(Attributs!$BR$2:$BR$18)+SUMSQ(Attributs!$BS$2:$BS$18)))*(SQRT(SUMSQ(Attributs!$AZ$2:$AZ$18)+SUMSQ(Attributs!$BA$2:$BA$18)))),0)</f>
        <v/>
      </c>
      <c r="AB36" s="2">
        <f>IFERROR((SUMPRODUCT(Attributs!$BR$2:$BR$18,Attributs!$BB$2:$BB$18)+SUMPRODUCT(Attributs!$BS$2:$BS$18,Attributs!$BC$2:$BC$18))/((SQRT(SUMSQ(Attributs!$BR$2:$BR$18)+SUMSQ(Attributs!$BS$2:$BS$18)))*(SQRT(SUMSQ(Attributs!$BB$2:$BB$18)+SUMSQ(Attributs!$BC$2:$BC$18)))),0)</f>
        <v/>
      </c>
      <c r="AC36" s="2">
        <f>IFERROR((SUMPRODUCT(Attributs!$BR$2:$BR$18,Attributs!$BD$2:$BD$18)+SUMPRODUCT(Attributs!$BS$2:$BS$18,Attributs!$BE$2:$BE$18))/((SQRT(SUMSQ(Attributs!$BR$2:$BR$18)+SUMSQ(Attributs!$BS$2:$BS$18)))*(SQRT(SUMSQ(Attributs!$BD$2:$BD$18)+SUMSQ(Attributs!$BE$2:$BE$18)))),0)</f>
        <v/>
      </c>
      <c r="AD36" s="2">
        <f>IFERROR((SUMPRODUCT(Attributs!$BR$2:$BR$18,Attributs!$BF$2:$BF$18)+SUMPRODUCT(Attributs!$BS$2:$BS$18,Attributs!$BG$2:$BG$18))/((SQRT(SUMSQ(Attributs!$BR$2:$BR$18)+SUMSQ(Attributs!$BS$2:$BS$18)))*(SQRT(SUMSQ(Attributs!$BF$2:$BF$18)+SUMSQ(Attributs!$BG$2:$BG$18)))),0)</f>
        <v/>
      </c>
      <c r="AE36" s="2">
        <f>IFERROR((SUMPRODUCT(Attributs!$BR$2:$BR$18,Attributs!$BH$2:$BH$18)+SUMPRODUCT(Attributs!$BS$2:$BS$18,Attributs!$BI$2:$BI$18))/((SQRT(SUMSQ(Attributs!$BR$2:$BR$18)+SUMSQ(Attributs!$BS$2:$BS$18)))*(SQRT(SUMSQ(Attributs!$BH$2:$BH$18)+SUMSQ(Attributs!$BI$2:$BI$18)))),0)</f>
        <v/>
      </c>
      <c r="AF36" s="2">
        <f>IFERROR((SUMPRODUCT(Attributs!$BR$2:$BR$18,Attributs!$BJ$2:$BJ$18)+SUMPRODUCT(Attributs!$BS$2:$BS$18,Attributs!$BK$2:$BK$18))/((SQRT(SUMSQ(Attributs!$BR$2:$BR$18)+SUMSQ(Attributs!$BS$2:$BS$18)))*(SQRT(SUMSQ(Attributs!$BJ$2:$BJ$18)+SUMSQ(Attributs!$BK$2:$BK$18)))),0)</f>
        <v/>
      </c>
      <c r="AG36" s="2">
        <f>IFERROR((SUMPRODUCT(Attributs!$BR$2:$BR$18,Attributs!$BL$2:$BL$18)+SUMPRODUCT(Attributs!$BS$2:$BS$18,Attributs!$BM$2:$BM$18))/((SQRT(SUMSQ(Attributs!$BR$2:$BR$18)+SUMSQ(Attributs!$BS$2:$BS$18)))*(SQRT(SUMSQ(Attributs!$BL$2:$BL$18)+SUMSQ(Attributs!$BM$2:$BM$18)))),0)</f>
        <v/>
      </c>
      <c r="AH36" s="2">
        <f>IFERROR((SUMPRODUCT(Attributs!$BR$2:$BR$18,Attributs!$BN$2:$BN$18)+SUMPRODUCT(Attributs!$BS$2:$BS$18,Attributs!$BO$2:$BO$18))/((SQRT(SUMSQ(Attributs!$BR$2:$BR$18)+SUMSQ(Attributs!$BS$2:$BS$18)))*(SQRT(SUMSQ(Attributs!$BN$2:$BN$18)+SUMSQ(Attributs!$BO$2:$BO$18)))),0)</f>
        <v/>
      </c>
      <c r="AI36" s="2">
        <f>IFERROR((SUMPRODUCT(Attributs!$BR$2:$BR$18,Attributs!$BP$2:$BP$18)+SUMPRODUCT(Attributs!$BS$2:$BS$18,Attributs!$BQ$2:$BQ$18))/((SQRT(SUMSQ(Attributs!$BR$2:$BR$18)+SUMSQ(Attributs!$BS$2:$BS$18)))*(SQRT(SUMSQ(Attributs!$BP$2:$BP$18)+SUMSQ(Attributs!$BQ$2:$BQ$18)))),0)</f>
        <v/>
      </c>
      <c r="AJ36" s="2">
        <f>IFERROR((SUMPRODUCT(Attributs!$BR$2:$BR$18,Attributs!$BR$2:$BR$18)+SUMPRODUCT(Attributs!$BS$2:$BS$18,Attributs!$BS$2:$BS$18))/((SQRT(SUMSQ(Attributs!$BR$2:$BR$18)+SUMSQ(Attributs!$BS$2:$BS$18)))*(SQRT(SUMSQ(Attributs!$BR$2:$BR$18)+SUMSQ(Attributs!$BS$2:$BS$18)))),0)</f>
        <v/>
      </c>
      <c r="AK36" s="2">
        <f>IFERROR((SUMPRODUCT(Attributs!$BR$2:$BR$18,Attributs!$BT$2:$BT$18)+SUMPRODUCT(Attributs!$BS$2:$BS$18,Attributs!$BU$2:$BU$18))/((SQRT(SUMSQ(Attributs!$BR$2:$BR$18)+SUMSQ(Attributs!$BS$2:$BS$18)))*(SQRT(SUMSQ(Attributs!$BT$2:$BT$18)+SUMSQ(Attributs!$BU$2:$BU$18)))),0)</f>
        <v/>
      </c>
      <c r="AL36" s="2">
        <f>IFERROR((SUMPRODUCT(Attributs!$BR$2:$BR$18,Attributs!$BV$2:$BV$18)+SUMPRODUCT(Attributs!$BS$2:$BS$18,Attributs!$BW$2:$BW$18))/((SQRT(SUMSQ(Attributs!$BR$2:$BR$18)+SUMSQ(Attributs!$BS$2:$BS$18)))*(SQRT(SUMSQ(Attributs!$BV$2:$BV$18)+SUMSQ(Attributs!$BW$2:$BW$18)))),0)</f>
        <v/>
      </c>
      <c r="AM36" s="2">
        <f>IFERROR((SUMPRODUCT(Attributs!$BR$2:$BR$18,Attributs!$BX$2:$BX$18)+SUMPRODUCT(Attributs!$BS$2:$BS$18,Attributs!$BY$2:$BY$18))/((SQRT(SUMSQ(Attributs!$BR$2:$BR$18)+SUMSQ(Attributs!$BS$2:$BS$18)))*(SQRT(SUMSQ(Attributs!$BX$2:$BX$18)+SUMSQ(Attributs!$BY$2:$BY$18)))),0)</f>
        <v/>
      </c>
      <c r="AN36" s="2">
        <f>IFERROR((SUMPRODUCT(Attributs!$BR$2:$BR$18,Attributs!$BZ$2:$BZ$18)+SUMPRODUCT(Attributs!$BS$2:$BS$18,Attributs!$CA$2:$CA$18))/((SQRT(SUMSQ(Attributs!$BR$2:$BR$18)+SUMSQ(Attributs!$BS$2:$BS$18)))*(SQRT(SUMSQ(Attributs!$BZ$2:$BZ$18)+SUMSQ(Attributs!$CA$2:$CA$18)))),0)</f>
        <v/>
      </c>
      <c r="AO36" s="2">
        <f>IFERROR((SUMPRODUCT(Attributs!$BR$2:$BR$18,Attributs!$CB$2:$CB$18)+SUMPRODUCT(Attributs!$BS$2:$BS$18,Attributs!$CC$2:$CC$18))/((SQRT(SUMSQ(Attributs!$BR$2:$BR$18)+SUMSQ(Attributs!$BS$2:$BS$18)))*(SQRT(SUMSQ(Attributs!$CB$2:$CB$18)+SUMSQ(Attributs!$CC$2:$CC$18)))),0)</f>
        <v/>
      </c>
      <c r="AP36" s="2">
        <f>IFERROR((SUMPRODUCT(Attributs!$BR$2:$BR$18,Attributs!$CD$2:$CD$18)+SUMPRODUCT(Attributs!$BS$2:$BS$18,Attributs!$CE$2:$CE$18))/((SQRT(SUMSQ(Attributs!$BR$2:$BR$18)+SUMSQ(Attributs!$BS$2:$BS$18)))*(SQRT(SUMSQ(Attributs!$CD$2:$CD$18)+SUMSQ(Attributs!$CE$2:$CE$18)))),0)</f>
        <v/>
      </c>
      <c r="AQ36" s="2">
        <f>IFERROR((SUMPRODUCT(Attributs!$BR$2:$BR$18,Attributs!$CF$2:$CF$18)+SUMPRODUCT(Attributs!$BS$2:$BS$18,Attributs!$CG$2:$CG$18))/((SQRT(SUMSQ(Attributs!$BR$2:$BR$18)+SUMSQ(Attributs!$BS$2:$BS$18)))*(SQRT(SUMSQ(Attributs!$CF$2:$CF$18)+SUMSQ(Attributs!$CG$2:$CG$18)))),0)</f>
        <v/>
      </c>
      <c r="AR36" s="2">
        <f>IFERROR((SUMPRODUCT(Attributs!$BR$2:$BR$18,Attributs!$CH$2:$CH$18)+SUMPRODUCT(Attributs!$BS$2:$BS$18,Attributs!$CI$2:$CI$18))/((SQRT(SUMSQ(Attributs!$BR$2:$BR$18)+SUMSQ(Attributs!$BS$2:$BS$18)))*(SQRT(SUMSQ(Attributs!$CH$2:$CH$18)+SUMSQ(Attributs!$CI$2:$CI$18)))),0)</f>
        <v/>
      </c>
      <c r="AS36" s="2">
        <f>IFERROR((SUMPRODUCT(Attributs!$BR$2:$BR$18,Attributs!$CJ$2:$CJ$18)+SUMPRODUCT(Attributs!$BS$2:$BS$18,Attributs!$CK$2:$CK$18))/((SQRT(SUMSQ(Attributs!$BR$2:$BR$18)+SUMSQ(Attributs!$BS$2:$BS$18)))*(SQRT(SUMSQ(Attributs!$CJ$2:$CJ$18)+SUMSQ(Attributs!$CK$2:$CK$18)))),0)</f>
        <v/>
      </c>
      <c r="AT36" s="2">
        <f>IFERROR((SUMPRODUCT(Attributs!$BR$2:$BR$18,Attributs!$CL$2:$CL$18)+SUMPRODUCT(Attributs!$BS$2:$BS$18,Attributs!$CM$2:$CM$18))/((SQRT(SUMSQ(Attributs!$BR$2:$BR$18)+SUMSQ(Attributs!$BS$2:$BS$18)))*(SQRT(SUMSQ(Attributs!$CL$2:$CL$18)+SUMSQ(Attributs!$CM$2:$CM$18)))),0)</f>
        <v/>
      </c>
      <c r="AU36" s="2">
        <f>IFERROR((SUMPRODUCT(Attributs!$BR$2:$BR$18,Attributs!$CN$2:$CN$18)+SUMPRODUCT(Attributs!$BS$2:$BS$18,Attributs!$CO$2:$CO$18))/((SQRT(SUMSQ(Attributs!$BR$2:$BR$18)+SUMSQ(Attributs!$BS$2:$BS$18)))*(SQRT(SUMSQ(Attributs!$CN$2:$CN$18)+SUMSQ(Attributs!$CO$2:$CO$18)))),0)</f>
        <v/>
      </c>
      <c r="AV36" s="2">
        <f>IFERROR((SUMPRODUCT(Attributs!$BR$2:$BR$18,Attributs!$CP$2:$CP$18)+SUMPRODUCT(Attributs!$BS$2:$BS$18,Attributs!$CQ$2:$CQ$18))/((SQRT(SUMSQ(Attributs!$BR$2:$BR$18)+SUMSQ(Attributs!$BS$2:$BS$18)))*(SQRT(SUMSQ(Attributs!$CP$2:$CP$18)+SUMSQ(Attributs!$CQ$2:$CQ$18)))),0)</f>
        <v/>
      </c>
      <c r="AW36" s="2">
        <f>IFERROR((SUMPRODUCT(Attributs!$BR$2:$BR$18,Attributs!$CR$2:$CR$18)+SUMPRODUCT(Attributs!$BS$2:$BS$18,Attributs!$CS$2:$CS$18))/((SQRT(SUMSQ(Attributs!$BR$2:$BR$18)+SUMSQ(Attributs!$BS$2:$BS$18)))*(SQRT(SUMSQ(Attributs!$CR$2:$CR$18)+SUMSQ(Attributs!$CS$2:$CS$18)))),0)</f>
        <v/>
      </c>
      <c r="AX36" s="2">
        <f>IFERROR((SUMPRODUCT(Attributs!$BR$2:$BR$18,Attributs!$CT$2:$CT$18)+SUMPRODUCT(Attributs!$BS$2:$BS$18,Attributs!$CU$2:$CU$18))/((SQRT(SUMSQ(Attributs!$BR$2:$BR$18)+SUMSQ(Attributs!$BS$2:$BS$18)))*(SQRT(SUMSQ(Attributs!$CT$2:$CT$18)+SUMSQ(Attributs!$CU$2:$CU$18)))),0)</f>
        <v/>
      </c>
      <c r="AY36" s="2">
        <f>IFERROR((SUMPRODUCT(Attributs!$BR$2:$BR$18,Attributs!$CV$2:$CV$18)+SUMPRODUCT(Attributs!$BS$2:$BS$18,Attributs!$CW$2:$CW$18))/((SQRT(SUMSQ(Attributs!$BR$2:$BR$18)+SUMSQ(Attributs!$BS$2:$BS$18)))*(SQRT(SUMSQ(Attributs!$CV$2:$CV$18)+SUMSQ(Attributs!$CW$2:$CW$18)))),0)</f>
        <v/>
      </c>
      <c r="AZ36" s="2">
        <f>IFERROR((SUMPRODUCT(Attributs!$BR$2:$BR$18,Attributs!$CX$2:$CX$18)+SUMPRODUCT(Attributs!$BS$2:$BS$18,Attributs!$CY$2:$CY$18))/((SQRT(SUMSQ(Attributs!$BR$2:$BR$18)+SUMSQ(Attributs!$BS$2:$BS$18)))*(SQRT(SUMSQ(Attributs!$CX$2:$CX$18)+SUMSQ(Attributs!$CY$2:$CY$18)))),0)</f>
        <v/>
      </c>
      <c r="BA36" s="2">
        <f>IFERROR((SUMPRODUCT(Attributs!$BR$2:$BR$18,Attributs!$CZ$2:$CZ$18)+SUMPRODUCT(Attributs!$BS$2:$BS$18,Attributs!$DA$2:$DA$18))/((SQRT(SUMSQ(Attributs!$BR$2:$BR$18)+SUMSQ(Attributs!$BS$2:$BS$18)))*(SQRT(SUMSQ(Attributs!$CZ$2:$CZ$18)+SUMSQ(Attributs!$DA$2:$DA$18)))),0)</f>
        <v/>
      </c>
      <c r="BB36" s="2">
        <f>IFERROR((SUMPRODUCT(Attributs!$BR$2:$BR$18,Attributs!$DB$2:$DB$18)+SUMPRODUCT(Attributs!$BS$2:$BS$18,Attributs!$DC$2:$DC$18))/((SQRT(SUMSQ(Attributs!$BR$2:$BR$18)+SUMSQ(Attributs!$BS$2:$BS$18)))*(SQRT(SUMSQ(Attributs!$DB$2:$DB$18)+SUMSQ(Attributs!$DC$2:$DC$18)))),0)</f>
        <v/>
      </c>
      <c r="BC36" s="2">
        <f>IFERROR((SUMPRODUCT(Attributs!$BR$2:$BR$18,Attributs!$DD$2:$DD$18)+SUMPRODUCT(Attributs!$BS$2:$BS$18,Attributs!$DE$2:$DE$18))/((SQRT(SUMSQ(Attributs!$BR$2:$BR$18)+SUMSQ(Attributs!$BS$2:$BS$18)))*(SQRT(SUMSQ(Attributs!$DD$2:$DD$18)+SUMSQ(Attributs!$DE$2:$DE$18)))),0)</f>
        <v/>
      </c>
      <c r="BD36" s="2">
        <f>IFERROR((SUMPRODUCT(Attributs!$BR$2:$BR$18,Attributs!$DF$2:$DF$18)+SUMPRODUCT(Attributs!$BS$2:$BS$18,Attributs!$DG$2:$DG$18))/((SQRT(SUMSQ(Attributs!$BR$2:$BR$18)+SUMSQ(Attributs!$BS$2:$BS$18)))*(SQRT(SUMSQ(Attributs!$DF$2:$DF$18)+SUMSQ(Attributs!$DG$2:$DG$18)))),0)</f>
        <v/>
      </c>
      <c r="BE36" s="2">
        <f>IFERROR((SUMPRODUCT(Attributs!$BR$2:$BR$18,Attributs!$DH$2:$DH$18)+SUMPRODUCT(Attributs!$BS$2:$BS$18,Attributs!$DI$2:$DI$18))/((SQRT(SUMSQ(Attributs!$BR$2:$BR$18)+SUMSQ(Attributs!$BS$2:$BS$18)))*(SQRT(SUMSQ(Attributs!$DH$2:$DH$18)+SUMSQ(Attributs!$DI$2:$DI$18)))),0)</f>
        <v/>
      </c>
      <c r="BF36" s="2">
        <f>IFERROR((SUMPRODUCT(Attributs!$BR$2:$BR$18,Attributs!$DJ$2:$DJ$18)+SUMPRODUCT(Attributs!$BS$2:$BS$18,Attributs!$DK$2:$DK$18))/((SQRT(SUMSQ(Attributs!$BR$2:$BR$18)+SUMSQ(Attributs!$BS$2:$BS$18)))*(SQRT(SUMSQ(Attributs!$DJ$2:$DJ$18)+SUMSQ(Attributs!$DK$2:$DK$18)))),0)</f>
        <v/>
      </c>
      <c r="BG36" s="2">
        <f>IFERROR((SUMPRODUCT(Attributs!$BR$2:$BR$18,Attributs!$DL$2:$DL$18)+SUMPRODUCT(Attributs!$BS$2:$BS$18,Attributs!$DM$2:$DM$18))/((SQRT(SUMSQ(Attributs!$BR$2:$BR$18)+SUMSQ(Attributs!$BS$2:$BS$18)))*(SQRT(SUMSQ(Attributs!$DL$2:$DL$18)+SUMSQ(Attributs!$DM$2:$DM$18)))),0)</f>
        <v/>
      </c>
      <c r="BH36" s="2">
        <f>IFERROR((SUMPRODUCT(Attributs!$BR$2:$BR$18,Attributs!$DN$2:$DN$18)+SUMPRODUCT(Attributs!$BS$2:$BS$18,Attributs!$DO$2:$DO$18))/((SQRT(SUMSQ(Attributs!$BR$2:$BR$18)+SUMSQ(Attributs!$BS$2:$BS$18)))*(SQRT(SUMSQ(Attributs!$DN$2:$DN$18)+SUMSQ(Attributs!$DO$2:$DO$18)))),0)</f>
        <v/>
      </c>
      <c r="BI36" s="2">
        <f>IFERROR((SUMPRODUCT(Attributs!$BR$2:$BR$18,Attributs!$DP$2:$DP$18)+SUMPRODUCT(Attributs!$BS$2:$BS$18,Attributs!$DQ$2:$DQ$18))/((SQRT(SUMSQ(Attributs!$BR$2:$BR$18)+SUMSQ(Attributs!$BS$2:$BS$18)))*(SQRT(SUMSQ(Attributs!$DP$2:$DP$18)+SUMSQ(Attributs!$DQ$2:$DQ$18)))),0)</f>
        <v/>
      </c>
      <c r="BJ36" s="2">
        <f>IFERROR((SUMPRODUCT(Attributs!$BR$2:$BR$18,Attributs!$DR$2:$DR$18)+SUMPRODUCT(Attributs!$BS$2:$BS$18,Attributs!$DS$2:$DS$18))/((SQRT(SUMSQ(Attributs!$BR$2:$BR$18)+SUMSQ(Attributs!$BS$2:$BS$18)))*(SQRT(SUMSQ(Attributs!$DR$2:$DR$18)+SUMSQ(Attributs!$DS$2:$DS$18)))),0)</f>
        <v/>
      </c>
      <c r="BK36" s="2">
        <f>IFERROR((SUMPRODUCT(Attributs!$BR$2:$BR$18,Attributs!$DT$2:$DT$18)+SUMPRODUCT(Attributs!$BS$2:$BS$18,Attributs!$DU$2:$DU$18))/((SQRT(SUMSQ(Attributs!$BR$2:$BR$18)+SUMSQ(Attributs!$BS$2:$BS$18)))*(SQRT(SUMSQ(Attributs!$DT$2:$DT$18)+SUMSQ(Attributs!$DU$2:$DU$18)))),0)</f>
        <v/>
      </c>
      <c r="BL36" s="2">
        <f>IFERROR((SUMPRODUCT(Attributs!$BR$2:$BR$18,Attributs!$DV$2:$DV$18)+SUMPRODUCT(Attributs!$BS$2:$BS$18,Attributs!$DW$2:$DW$18))/((SQRT(SUMSQ(Attributs!$BR$2:$BR$18)+SUMSQ(Attributs!$BS$2:$BS$18)))*(SQRT(SUMSQ(Attributs!$DV$2:$DV$18)+SUMSQ(Attributs!$DW$2:$DW$18)))),0)</f>
        <v/>
      </c>
    </row>
    <row r="37">
      <c r="A37" s="3" t="inlineStr">
        <is>
          <t>SE_mongodb.Users.DisplayName</t>
        </is>
      </c>
      <c r="B37" s="2">
        <f>IFERROR((SUMPRODUCT(Attributs!$BT$2:$BT$18,Attributs!$B$2:$B$18)+SUMPRODUCT(Attributs!$BU$2:$BU$18,Attributs!$C$2:$C$18))/((SQRT(SUMSQ(Attributs!$BT$2:$BT$18)+SUMSQ(Attributs!$BU$2:$BU$18)))*(SQRT(SUMSQ(Attributs!$B$2:$B$18)+SUMSQ(Attributs!$C$2:$C$18)))),0)</f>
        <v/>
      </c>
      <c r="C37" s="2">
        <f>IFERROR((SUMPRODUCT(Attributs!$BT$2:$BT$18,Attributs!$D$2:$D$18)+SUMPRODUCT(Attributs!$BU$2:$BU$18,Attributs!$E$2:$E$18))/((SQRT(SUMSQ(Attributs!$BT$2:$BT$18)+SUMSQ(Attributs!$BU$2:$BU$18)))*(SQRT(SUMSQ(Attributs!$D$2:$D$18)+SUMSQ(Attributs!$E$2:$E$18)))),0)</f>
        <v/>
      </c>
      <c r="D37" s="2">
        <f>IFERROR((SUMPRODUCT(Attributs!$BT$2:$BT$18,Attributs!$F$2:$F$18)+SUMPRODUCT(Attributs!$BU$2:$BU$18,Attributs!$G$2:$G$18))/((SQRT(SUMSQ(Attributs!$BT$2:$BT$18)+SUMSQ(Attributs!$BU$2:$BU$18)))*(SQRT(SUMSQ(Attributs!$F$2:$F$18)+SUMSQ(Attributs!$G$2:$G$18)))),0)</f>
        <v/>
      </c>
      <c r="E37" s="2">
        <f>IFERROR((SUMPRODUCT(Attributs!$BT$2:$BT$18,Attributs!$H$2:$H$18)+SUMPRODUCT(Attributs!$BU$2:$BU$18,Attributs!$I$2:$I$18))/((SQRT(SUMSQ(Attributs!$BT$2:$BT$18)+SUMSQ(Attributs!$BU$2:$BU$18)))*(SQRT(SUMSQ(Attributs!$H$2:$H$18)+SUMSQ(Attributs!$I$2:$I$18)))),0)</f>
        <v/>
      </c>
      <c r="F37" s="2">
        <f>IFERROR((SUMPRODUCT(Attributs!$BT$2:$BT$18,Attributs!$J$2:$J$18)+SUMPRODUCT(Attributs!$BU$2:$BU$18,Attributs!$K$2:$K$18))/((SQRT(SUMSQ(Attributs!$BT$2:$BT$18)+SUMSQ(Attributs!$BU$2:$BU$18)))*(SQRT(SUMSQ(Attributs!$J$2:$J$18)+SUMSQ(Attributs!$K$2:$K$18)))),0)</f>
        <v/>
      </c>
      <c r="G37" s="2">
        <f>IFERROR((SUMPRODUCT(Attributs!$BT$2:$BT$18,Attributs!$L$2:$L$18)+SUMPRODUCT(Attributs!$BU$2:$BU$18,Attributs!$M$2:$M$18))/((SQRT(SUMSQ(Attributs!$BT$2:$BT$18)+SUMSQ(Attributs!$BU$2:$BU$18)))*(SQRT(SUMSQ(Attributs!$L$2:$L$18)+SUMSQ(Attributs!$M$2:$M$18)))),0)</f>
        <v/>
      </c>
      <c r="H37" s="2">
        <f>IFERROR((SUMPRODUCT(Attributs!$BT$2:$BT$18,Attributs!$N$2:$N$18)+SUMPRODUCT(Attributs!$BU$2:$BU$18,Attributs!$O$2:$O$18))/((SQRT(SUMSQ(Attributs!$BT$2:$BT$18)+SUMSQ(Attributs!$BU$2:$BU$18)))*(SQRT(SUMSQ(Attributs!$N$2:$N$18)+SUMSQ(Attributs!$O$2:$O$18)))),0)</f>
        <v/>
      </c>
      <c r="I37" s="2">
        <f>IFERROR((SUMPRODUCT(Attributs!$BT$2:$BT$18,Attributs!$P$2:$P$18)+SUMPRODUCT(Attributs!$BU$2:$BU$18,Attributs!$Q$2:$Q$18))/((SQRT(SUMSQ(Attributs!$BT$2:$BT$18)+SUMSQ(Attributs!$BU$2:$BU$18)))*(SQRT(SUMSQ(Attributs!$P$2:$P$18)+SUMSQ(Attributs!$Q$2:$Q$18)))),0)</f>
        <v/>
      </c>
      <c r="J37" s="2">
        <f>IFERROR((SUMPRODUCT(Attributs!$BT$2:$BT$18,Attributs!$R$2:$R$18)+SUMPRODUCT(Attributs!$BU$2:$BU$18,Attributs!$S$2:$S$18))/((SQRT(SUMSQ(Attributs!$BT$2:$BT$18)+SUMSQ(Attributs!$BU$2:$BU$18)))*(SQRT(SUMSQ(Attributs!$R$2:$R$18)+SUMSQ(Attributs!$S$2:$S$18)))),0)</f>
        <v/>
      </c>
      <c r="K37" s="2">
        <f>IFERROR((SUMPRODUCT(Attributs!$BT$2:$BT$18,Attributs!$T$2:$T$18)+SUMPRODUCT(Attributs!$BU$2:$BU$18,Attributs!$U$2:$U$18))/((SQRT(SUMSQ(Attributs!$BT$2:$BT$18)+SUMSQ(Attributs!$BU$2:$BU$18)))*(SQRT(SUMSQ(Attributs!$T$2:$T$18)+SUMSQ(Attributs!$U$2:$U$18)))),0)</f>
        <v/>
      </c>
      <c r="L37" s="2">
        <f>IFERROR((SUMPRODUCT(Attributs!$BT$2:$BT$18,Attributs!$V$2:$V$18)+SUMPRODUCT(Attributs!$BU$2:$BU$18,Attributs!$W$2:$W$18))/((SQRT(SUMSQ(Attributs!$BT$2:$BT$18)+SUMSQ(Attributs!$BU$2:$BU$18)))*(SQRT(SUMSQ(Attributs!$V$2:$V$18)+SUMSQ(Attributs!$W$2:$W$18)))),0)</f>
        <v/>
      </c>
      <c r="M37" s="2">
        <f>IFERROR((SUMPRODUCT(Attributs!$BT$2:$BT$18,Attributs!$X$2:$X$18)+SUMPRODUCT(Attributs!$BU$2:$BU$18,Attributs!$Y$2:$Y$18))/((SQRT(SUMSQ(Attributs!$BT$2:$BT$18)+SUMSQ(Attributs!$BU$2:$BU$18)))*(SQRT(SUMSQ(Attributs!$X$2:$X$18)+SUMSQ(Attributs!$Y$2:$Y$18)))),0)</f>
        <v/>
      </c>
      <c r="N37" s="2">
        <f>IFERROR((SUMPRODUCT(Attributs!$BT$2:$BT$18,Attributs!$Z$2:$Z$18)+SUMPRODUCT(Attributs!$BU$2:$BU$18,Attributs!$AA$2:$AA$18))/((SQRT(SUMSQ(Attributs!$BT$2:$BT$18)+SUMSQ(Attributs!$BU$2:$BU$18)))*(SQRT(SUMSQ(Attributs!$Z$2:$Z$18)+SUMSQ(Attributs!$AA$2:$AA$18)))),0)</f>
        <v/>
      </c>
      <c r="O37" s="2">
        <f>IFERROR((SUMPRODUCT(Attributs!$BT$2:$BT$18,Attributs!$AB$2:$AB$18)+SUMPRODUCT(Attributs!$BU$2:$BU$18,Attributs!$AC$2:$AC$18))/((SQRT(SUMSQ(Attributs!$BT$2:$BT$18)+SUMSQ(Attributs!$BU$2:$BU$18)))*(SQRT(SUMSQ(Attributs!$AB$2:$AB$18)+SUMSQ(Attributs!$AC$2:$AC$18)))),0)</f>
        <v/>
      </c>
      <c r="P37" s="2">
        <f>IFERROR((SUMPRODUCT(Attributs!$BT$2:$BT$18,Attributs!$AD$2:$AD$18)+SUMPRODUCT(Attributs!$BU$2:$BU$18,Attributs!$AE$2:$AE$18))/((SQRT(SUMSQ(Attributs!$BT$2:$BT$18)+SUMSQ(Attributs!$BU$2:$BU$18)))*(SQRT(SUMSQ(Attributs!$AD$2:$AD$18)+SUMSQ(Attributs!$AE$2:$AE$18)))),0)</f>
        <v/>
      </c>
      <c r="Q37" s="2">
        <f>IFERROR((SUMPRODUCT(Attributs!$BT$2:$BT$18,Attributs!$AF$2:$AF$18)+SUMPRODUCT(Attributs!$BU$2:$BU$18,Attributs!$AG$2:$AG$18))/((SQRT(SUMSQ(Attributs!$BT$2:$BT$18)+SUMSQ(Attributs!$BU$2:$BU$18)))*(SQRT(SUMSQ(Attributs!$AF$2:$AF$18)+SUMSQ(Attributs!$AG$2:$AG$18)))),0)</f>
        <v/>
      </c>
      <c r="R37" s="2">
        <f>IFERROR((SUMPRODUCT(Attributs!$BT$2:$BT$18,Attributs!$AH$2:$AH$18)+SUMPRODUCT(Attributs!$BU$2:$BU$18,Attributs!$AI$2:$AI$18))/((SQRT(SUMSQ(Attributs!$BT$2:$BT$18)+SUMSQ(Attributs!$BU$2:$BU$18)))*(SQRT(SUMSQ(Attributs!$AH$2:$AH$18)+SUMSQ(Attributs!$AI$2:$AI$18)))),0)</f>
        <v/>
      </c>
      <c r="S37" s="2">
        <f>IFERROR((SUMPRODUCT(Attributs!$BT$2:$BT$18,Attributs!$AJ$2:$AJ$18)+SUMPRODUCT(Attributs!$BU$2:$BU$18,Attributs!$AK$2:$AK$18))/((SQRT(SUMSQ(Attributs!$BT$2:$BT$18)+SUMSQ(Attributs!$BU$2:$BU$18)))*(SQRT(SUMSQ(Attributs!$AJ$2:$AJ$18)+SUMSQ(Attributs!$AK$2:$AK$18)))),0)</f>
        <v/>
      </c>
      <c r="T37" s="2">
        <f>IFERROR((SUMPRODUCT(Attributs!$BT$2:$BT$18,Attributs!$AL$2:$AL$18)+SUMPRODUCT(Attributs!$BU$2:$BU$18,Attributs!$AM$2:$AM$18))/((SQRT(SUMSQ(Attributs!$BT$2:$BT$18)+SUMSQ(Attributs!$BU$2:$BU$18)))*(SQRT(SUMSQ(Attributs!$AL$2:$AL$18)+SUMSQ(Attributs!$AM$2:$AM$18)))),0)</f>
        <v/>
      </c>
      <c r="U37" s="2">
        <f>IFERROR((SUMPRODUCT(Attributs!$BT$2:$BT$18,Attributs!$AN$2:$AN$18)+SUMPRODUCT(Attributs!$BU$2:$BU$18,Attributs!$AO$2:$AO$18))/((SQRT(SUMSQ(Attributs!$BT$2:$BT$18)+SUMSQ(Attributs!$BU$2:$BU$18)))*(SQRT(SUMSQ(Attributs!$AN$2:$AN$18)+SUMSQ(Attributs!$AO$2:$AO$18)))),0)</f>
        <v/>
      </c>
      <c r="V37" s="2">
        <f>IFERROR((SUMPRODUCT(Attributs!$BT$2:$BT$18,Attributs!$AP$2:$AP$18)+SUMPRODUCT(Attributs!$BU$2:$BU$18,Attributs!$AQ$2:$AQ$18))/((SQRT(SUMSQ(Attributs!$BT$2:$BT$18)+SUMSQ(Attributs!$BU$2:$BU$18)))*(SQRT(SUMSQ(Attributs!$AP$2:$AP$18)+SUMSQ(Attributs!$AQ$2:$AQ$18)))),0)</f>
        <v/>
      </c>
      <c r="W37" s="2">
        <f>IFERROR((SUMPRODUCT(Attributs!$BT$2:$BT$18,Attributs!$AR$2:$AR$18)+SUMPRODUCT(Attributs!$BU$2:$BU$18,Attributs!$AS$2:$AS$18))/((SQRT(SUMSQ(Attributs!$BT$2:$BT$18)+SUMSQ(Attributs!$BU$2:$BU$18)))*(SQRT(SUMSQ(Attributs!$AR$2:$AR$18)+SUMSQ(Attributs!$AS$2:$AS$18)))),0)</f>
        <v/>
      </c>
      <c r="X37" s="2">
        <f>IFERROR((SUMPRODUCT(Attributs!$BT$2:$BT$18,Attributs!$AT$2:$AT$18)+SUMPRODUCT(Attributs!$BU$2:$BU$18,Attributs!$AU$2:$AU$18))/((SQRT(SUMSQ(Attributs!$BT$2:$BT$18)+SUMSQ(Attributs!$BU$2:$BU$18)))*(SQRT(SUMSQ(Attributs!$AT$2:$AT$18)+SUMSQ(Attributs!$AU$2:$AU$18)))),0)</f>
        <v/>
      </c>
      <c r="Y37" s="2">
        <f>IFERROR((SUMPRODUCT(Attributs!$BT$2:$BT$18,Attributs!$AV$2:$AV$18)+SUMPRODUCT(Attributs!$BU$2:$BU$18,Attributs!$AW$2:$AW$18))/((SQRT(SUMSQ(Attributs!$BT$2:$BT$18)+SUMSQ(Attributs!$BU$2:$BU$18)))*(SQRT(SUMSQ(Attributs!$AV$2:$AV$18)+SUMSQ(Attributs!$AW$2:$AW$18)))),0)</f>
        <v/>
      </c>
      <c r="Z37" s="2">
        <f>IFERROR((SUMPRODUCT(Attributs!$BT$2:$BT$18,Attributs!$AX$2:$AX$18)+SUMPRODUCT(Attributs!$BU$2:$BU$18,Attributs!$AY$2:$AY$18))/((SQRT(SUMSQ(Attributs!$BT$2:$BT$18)+SUMSQ(Attributs!$BU$2:$BU$18)))*(SQRT(SUMSQ(Attributs!$AX$2:$AX$18)+SUMSQ(Attributs!$AY$2:$AY$18)))),0)</f>
        <v/>
      </c>
      <c r="AA37" s="2">
        <f>IFERROR((SUMPRODUCT(Attributs!$BT$2:$BT$18,Attributs!$AZ$2:$AZ$18)+SUMPRODUCT(Attributs!$BU$2:$BU$18,Attributs!$BA$2:$BA$18))/((SQRT(SUMSQ(Attributs!$BT$2:$BT$18)+SUMSQ(Attributs!$BU$2:$BU$18)))*(SQRT(SUMSQ(Attributs!$AZ$2:$AZ$18)+SUMSQ(Attributs!$BA$2:$BA$18)))),0)</f>
        <v/>
      </c>
      <c r="AB37" s="2">
        <f>IFERROR((SUMPRODUCT(Attributs!$BT$2:$BT$18,Attributs!$BB$2:$BB$18)+SUMPRODUCT(Attributs!$BU$2:$BU$18,Attributs!$BC$2:$BC$18))/((SQRT(SUMSQ(Attributs!$BT$2:$BT$18)+SUMSQ(Attributs!$BU$2:$BU$18)))*(SQRT(SUMSQ(Attributs!$BB$2:$BB$18)+SUMSQ(Attributs!$BC$2:$BC$18)))),0)</f>
        <v/>
      </c>
      <c r="AC37" s="2">
        <f>IFERROR((SUMPRODUCT(Attributs!$BT$2:$BT$18,Attributs!$BD$2:$BD$18)+SUMPRODUCT(Attributs!$BU$2:$BU$18,Attributs!$BE$2:$BE$18))/((SQRT(SUMSQ(Attributs!$BT$2:$BT$18)+SUMSQ(Attributs!$BU$2:$BU$18)))*(SQRT(SUMSQ(Attributs!$BD$2:$BD$18)+SUMSQ(Attributs!$BE$2:$BE$18)))),0)</f>
        <v/>
      </c>
      <c r="AD37" s="2">
        <f>IFERROR((SUMPRODUCT(Attributs!$BT$2:$BT$18,Attributs!$BF$2:$BF$18)+SUMPRODUCT(Attributs!$BU$2:$BU$18,Attributs!$BG$2:$BG$18))/((SQRT(SUMSQ(Attributs!$BT$2:$BT$18)+SUMSQ(Attributs!$BU$2:$BU$18)))*(SQRT(SUMSQ(Attributs!$BF$2:$BF$18)+SUMSQ(Attributs!$BG$2:$BG$18)))),0)</f>
        <v/>
      </c>
      <c r="AE37" s="2">
        <f>IFERROR((SUMPRODUCT(Attributs!$BT$2:$BT$18,Attributs!$BH$2:$BH$18)+SUMPRODUCT(Attributs!$BU$2:$BU$18,Attributs!$BI$2:$BI$18))/((SQRT(SUMSQ(Attributs!$BT$2:$BT$18)+SUMSQ(Attributs!$BU$2:$BU$18)))*(SQRT(SUMSQ(Attributs!$BH$2:$BH$18)+SUMSQ(Attributs!$BI$2:$BI$18)))),0)</f>
        <v/>
      </c>
      <c r="AF37" s="2">
        <f>IFERROR((SUMPRODUCT(Attributs!$BT$2:$BT$18,Attributs!$BJ$2:$BJ$18)+SUMPRODUCT(Attributs!$BU$2:$BU$18,Attributs!$BK$2:$BK$18))/((SQRT(SUMSQ(Attributs!$BT$2:$BT$18)+SUMSQ(Attributs!$BU$2:$BU$18)))*(SQRT(SUMSQ(Attributs!$BJ$2:$BJ$18)+SUMSQ(Attributs!$BK$2:$BK$18)))),0)</f>
        <v/>
      </c>
      <c r="AG37" s="2">
        <f>IFERROR((SUMPRODUCT(Attributs!$BT$2:$BT$18,Attributs!$BL$2:$BL$18)+SUMPRODUCT(Attributs!$BU$2:$BU$18,Attributs!$BM$2:$BM$18))/((SQRT(SUMSQ(Attributs!$BT$2:$BT$18)+SUMSQ(Attributs!$BU$2:$BU$18)))*(SQRT(SUMSQ(Attributs!$BL$2:$BL$18)+SUMSQ(Attributs!$BM$2:$BM$18)))),0)</f>
        <v/>
      </c>
      <c r="AH37" s="2">
        <f>IFERROR((SUMPRODUCT(Attributs!$BT$2:$BT$18,Attributs!$BN$2:$BN$18)+SUMPRODUCT(Attributs!$BU$2:$BU$18,Attributs!$BO$2:$BO$18))/((SQRT(SUMSQ(Attributs!$BT$2:$BT$18)+SUMSQ(Attributs!$BU$2:$BU$18)))*(SQRT(SUMSQ(Attributs!$BN$2:$BN$18)+SUMSQ(Attributs!$BO$2:$BO$18)))),0)</f>
        <v/>
      </c>
      <c r="AI37" s="2">
        <f>IFERROR((SUMPRODUCT(Attributs!$BT$2:$BT$18,Attributs!$BP$2:$BP$18)+SUMPRODUCT(Attributs!$BU$2:$BU$18,Attributs!$BQ$2:$BQ$18))/((SQRT(SUMSQ(Attributs!$BT$2:$BT$18)+SUMSQ(Attributs!$BU$2:$BU$18)))*(SQRT(SUMSQ(Attributs!$BP$2:$BP$18)+SUMSQ(Attributs!$BQ$2:$BQ$18)))),0)</f>
        <v/>
      </c>
      <c r="AJ37" s="2">
        <f>IFERROR((SUMPRODUCT(Attributs!$BT$2:$BT$18,Attributs!$BR$2:$BR$18)+SUMPRODUCT(Attributs!$BU$2:$BU$18,Attributs!$BS$2:$BS$18))/((SQRT(SUMSQ(Attributs!$BT$2:$BT$18)+SUMSQ(Attributs!$BU$2:$BU$18)))*(SQRT(SUMSQ(Attributs!$BR$2:$BR$18)+SUMSQ(Attributs!$BS$2:$BS$18)))),0)</f>
        <v/>
      </c>
      <c r="AK37" s="2">
        <f>IFERROR((SUMPRODUCT(Attributs!$BT$2:$BT$18,Attributs!$BT$2:$BT$18)+SUMPRODUCT(Attributs!$BU$2:$BU$18,Attributs!$BU$2:$BU$18))/((SQRT(SUMSQ(Attributs!$BT$2:$BT$18)+SUMSQ(Attributs!$BU$2:$BU$18)))*(SQRT(SUMSQ(Attributs!$BT$2:$BT$18)+SUMSQ(Attributs!$BU$2:$BU$18)))),0)</f>
        <v/>
      </c>
      <c r="AL37" s="2">
        <f>IFERROR((SUMPRODUCT(Attributs!$BT$2:$BT$18,Attributs!$BV$2:$BV$18)+SUMPRODUCT(Attributs!$BU$2:$BU$18,Attributs!$BW$2:$BW$18))/((SQRT(SUMSQ(Attributs!$BT$2:$BT$18)+SUMSQ(Attributs!$BU$2:$BU$18)))*(SQRT(SUMSQ(Attributs!$BV$2:$BV$18)+SUMSQ(Attributs!$BW$2:$BW$18)))),0)</f>
        <v/>
      </c>
      <c r="AM37" s="2">
        <f>IFERROR((SUMPRODUCT(Attributs!$BT$2:$BT$18,Attributs!$BX$2:$BX$18)+SUMPRODUCT(Attributs!$BU$2:$BU$18,Attributs!$BY$2:$BY$18))/((SQRT(SUMSQ(Attributs!$BT$2:$BT$18)+SUMSQ(Attributs!$BU$2:$BU$18)))*(SQRT(SUMSQ(Attributs!$BX$2:$BX$18)+SUMSQ(Attributs!$BY$2:$BY$18)))),0)</f>
        <v/>
      </c>
      <c r="AN37" s="2">
        <f>IFERROR((SUMPRODUCT(Attributs!$BT$2:$BT$18,Attributs!$BZ$2:$BZ$18)+SUMPRODUCT(Attributs!$BU$2:$BU$18,Attributs!$CA$2:$CA$18))/((SQRT(SUMSQ(Attributs!$BT$2:$BT$18)+SUMSQ(Attributs!$BU$2:$BU$18)))*(SQRT(SUMSQ(Attributs!$BZ$2:$BZ$18)+SUMSQ(Attributs!$CA$2:$CA$18)))),0)</f>
        <v/>
      </c>
      <c r="AO37" s="2">
        <f>IFERROR((SUMPRODUCT(Attributs!$BT$2:$BT$18,Attributs!$CB$2:$CB$18)+SUMPRODUCT(Attributs!$BU$2:$BU$18,Attributs!$CC$2:$CC$18))/((SQRT(SUMSQ(Attributs!$BT$2:$BT$18)+SUMSQ(Attributs!$BU$2:$BU$18)))*(SQRT(SUMSQ(Attributs!$CB$2:$CB$18)+SUMSQ(Attributs!$CC$2:$CC$18)))),0)</f>
        <v/>
      </c>
      <c r="AP37" s="2">
        <f>IFERROR((SUMPRODUCT(Attributs!$BT$2:$BT$18,Attributs!$CD$2:$CD$18)+SUMPRODUCT(Attributs!$BU$2:$BU$18,Attributs!$CE$2:$CE$18))/((SQRT(SUMSQ(Attributs!$BT$2:$BT$18)+SUMSQ(Attributs!$BU$2:$BU$18)))*(SQRT(SUMSQ(Attributs!$CD$2:$CD$18)+SUMSQ(Attributs!$CE$2:$CE$18)))),0)</f>
        <v/>
      </c>
      <c r="AQ37" s="2">
        <f>IFERROR((SUMPRODUCT(Attributs!$BT$2:$BT$18,Attributs!$CF$2:$CF$18)+SUMPRODUCT(Attributs!$BU$2:$BU$18,Attributs!$CG$2:$CG$18))/((SQRT(SUMSQ(Attributs!$BT$2:$BT$18)+SUMSQ(Attributs!$BU$2:$BU$18)))*(SQRT(SUMSQ(Attributs!$CF$2:$CF$18)+SUMSQ(Attributs!$CG$2:$CG$18)))),0)</f>
        <v/>
      </c>
      <c r="AR37" s="2">
        <f>IFERROR((SUMPRODUCT(Attributs!$BT$2:$BT$18,Attributs!$CH$2:$CH$18)+SUMPRODUCT(Attributs!$BU$2:$BU$18,Attributs!$CI$2:$CI$18))/((SQRT(SUMSQ(Attributs!$BT$2:$BT$18)+SUMSQ(Attributs!$BU$2:$BU$18)))*(SQRT(SUMSQ(Attributs!$CH$2:$CH$18)+SUMSQ(Attributs!$CI$2:$CI$18)))),0)</f>
        <v/>
      </c>
      <c r="AS37" s="2">
        <f>IFERROR((SUMPRODUCT(Attributs!$BT$2:$BT$18,Attributs!$CJ$2:$CJ$18)+SUMPRODUCT(Attributs!$BU$2:$BU$18,Attributs!$CK$2:$CK$18))/((SQRT(SUMSQ(Attributs!$BT$2:$BT$18)+SUMSQ(Attributs!$BU$2:$BU$18)))*(SQRT(SUMSQ(Attributs!$CJ$2:$CJ$18)+SUMSQ(Attributs!$CK$2:$CK$18)))),0)</f>
        <v/>
      </c>
      <c r="AT37" s="2">
        <f>IFERROR((SUMPRODUCT(Attributs!$BT$2:$BT$18,Attributs!$CL$2:$CL$18)+SUMPRODUCT(Attributs!$BU$2:$BU$18,Attributs!$CM$2:$CM$18))/((SQRT(SUMSQ(Attributs!$BT$2:$BT$18)+SUMSQ(Attributs!$BU$2:$BU$18)))*(SQRT(SUMSQ(Attributs!$CL$2:$CL$18)+SUMSQ(Attributs!$CM$2:$CM$18)))),0)</f>
        <v/>
      </c>
      <c r="AU37" s="2">
        <f>IFERROR((SUMPRODUCT(Attributs!$BT$2:$BT$18,Attributs!$CN$2:$CN$18)+SUMPRODUCT(Attributs!$BU$2:$BU$18,Attributs!$CO$2:$CO$18))/((SQRT(SUMSQ(Attributs!$BT$2:$BT$18)+SUMSQ(Attributs!$BU$2:$BU$18)))*(SQRT(SUMSQ(Attributs!$CN$2:$CN$18)+SUMSQ(Attributs!$CO$2:$CO$18)))),0)</f>
        <v/>
      </c>
      <c r="AV37" s="2">
        <f>IFERROR((SUMPRODUCT(Attributs!$BT$2:$BT$18,Attributs!$CP$2:$CP$18)+SUMPRODUCT(Attributs!$BU$2:$BU$18,Attributs!$CQ$2:$CQ$18))/((SQRT(SUMSQ(Attributs!$BT$2:$BT$18)+SUMSQ(Attributs!$BU$2:$BU$18)))*(SQRT(SUMSQ(Attributs!$CP$2:$CP$18)+SUMSQ(Attributs!$CQ$2:$CQ$18)))),0)</f>
        <v/>
      </c>
      <c r="AW37" s="2">
        <f>IFERROR((SUMPRODUCT(Attributs!$BT$2:$BT$18,Attributs!$CR$2:$CR$18)+SUMPRODUCT(Attributs!$BU$2:$BU$18,Attributs!$CS$2:$CS$18))/((SQRT(SUMSQ(Attributs!$BT$2:$BT$18)+SUMSQ(Attributs!$BU$2:$BU$18)))*(SQRT(SUMSQ(Attributs!$CR$2:$CR$18)+SUMSQ(Attributs!$CS$2:$CS$18)))),0)</f>
        <v/>
      </c>
      <c r="AX37" s="2">
        <f>IFERROR((SUMPRODUCT(Attributs!$BT$2:$BT$18,Attributs!$CT$2:$CT$18)+SUMPRODUCT(Attributs!$BU$2:$BU$18,Attributs!$CU$2:$CU$18))/((SQRT(SUMSQ(Attributs!$BT$2:$BT$18)+SUMSQ(Attributs!$BU$2:$BU$18)))*(SQRT(SUMSQ(Attributs!$CT$2:$CT$18)+SUMSQ(Attributs!$CU$2:$CU$18)))),0)</f>
        <v/>
      </c>
      <c r="AY37" s="2">
        <f>IFERROR((SUMPRODUCT(Attributs!$BT$2:$BT$18,Attributs!$CV$2:$CV$18)+SUMPRODUCT(Attributs!$BU$2:$BU$18,Attributs!$CW$2:$CW$18))/((SQRT(SUMSQ(Attributs!$BT$2:$BT$18)+SUMSQ(Attributs!$BU$2:$BU$18)))*(SQRT(SUMSQ(Attributs!$CV$2:$CV$18)+SUMSQ(Attributs!$CW$2:$CW$18)))),0)</f>
        <v/>
      </c>
      <c r="AZ37" s="2">
        <f>IFERROR((SUMPRODUCT(Attributs!$BT$2:$BT$18,Attributs!$CX$2:$CX$18)+SUMPRODUCT(Attributs!$BU$2:$BU$18,Attributs!$CY$2:$CY$18))/((SQRT(SUMSQ(Attributs!$BT$2:$BT$18)+SUMSQ(Attributs!$BU$2:$BU$18)))*(SQRT(SUMSQ(Attributs!$CX$2:$CX$18)+SUMSQ(Attributs!$CY$2:$CY$18)))),0)</f>
        <v/>
      </c>
      <c r="BA37" s="2">
        <f>IFERROR((SUMPRODUCT(Attributs!$BT$2:$BT$18,Attributs!$CZ$2:$CZ$18)+SUMPRODUCT(Attributs!$BU$2:$BU$18,Attributs!$DA$2:$DA$18))/((SQRT(SUMSQ(Attributs!$BT$2:$BT$18)+SUMSQ(Attributs!$BU$2:$BU$18)))*(SQRT(SUMSQ(Attributs!$CZ$2:$CZ$18)+SUMSQ(Attributs!$DA$2:$DA$18)))),0)</f>
        <v/>
      </c>
      <c r="BB37" s="2">
        <f>IFERROR((SUMPRODUCT(Attributs!$BT$2:$BT$18,Attributs!$DB$2:$DB$18)+SUMPRODUCT(Attributs!$BU$2:$BU$18,Attributs!$DC$2:$DC$18))/((SQRT(SUMSQ(Attributs!$BT$2:$BT$18)+SUMSQ(Attributs!$BU$2:$BU$18)))*(SQRT(SUMSQ(Attributs!$DB$2:$DB$18)+SUMSQ(Attributs!$DC$2:$DC$18)))),0)</f>
        <v/>
      </c>
      <c r="BC37" s="2">
        <f>IFERROR((SUMPRODUCT(Attributs!$BT$2:$BT$18,Attributs!$DD$2:$DD$18)+SUMPRODUCT(Attributs!$BU$2:$BU$18,Attributs!$DE$2:$DE$18))/((SQRT(SUMSQ(Attributs!$BT$2:$BT$18)+SUMSQ(Attributs!$BU$2:$BU$18)))*(SQRT(SUMSQ(Attributs!$DD$2:$DD$18)+SUMSQ(Attributs!$DE$2:$DE$18)))),0)</f>
        <v/>
      </c>
      <c r="BD37" s="2">
        <f>IFERROR((SUMPRODUCT(Attributs!$BT$2:$BT$18,Attributs!$DF$2:$DF$18)+SUMPRODUCT(Attributs!$BU$2:$BU$18,Attributs!$DG$2:$DG$18))/((SQRT(SUMSQ(Attributs!$BT$2:$BT$18)+SUMSQ(Attributs!$BU$2:$BU$18)))*(SQRT(SUMSQ(Attributs!$DF$2:$DF$18)+SUMSQ(Attributs!$DG$2:$DG$18)))),0)</f>
        <v/>
      </c>
      <c r="BE37" s="2">
        <f>IFERROR((SUMPRODUCT(Attributs!$BT$2:$BT$18,Attributs!$DH$2:$DH$18)+SUMPRODUCT(Attributs!$BU$2:$BU$18,Attributs!$DI$2:$DI$18))/((SQRT(SUMSQ(Attributs!$BT$2:$BT$18)+SUMSQ(Attributs!$BU$2:$BU$18)))*(SQRT(SUMSQ(Attributs!$DH$2:$DH$18)+SUMSQ(Attributs!$DI$2:$DI$18)))),0)</f>
        <v/>
      </c>
      <c r="BF37" s="2">
        <f>IFERROR((SUMPRODUCT(Attributs!$BT$2:$BT$18,Attributs!$DJ$2:$DJ$18)+SUMPRODUCT(Attributs!$BU$2:$BU$18,Attributs!$DK$2:$DK$18))/((SQRT(SUMSQ(Attributs!$BT$2:$BT$18)+SUMSQ(Attributs!$BU$2:$BU$18)))*(SQRT(SUMSQ(Attributs!$DJ$2:$DJ$18)+SUMSQ(Attributs!$DK$2:$DK$18)))),0)</f>
        <v/>
      </c>
      <c r="BG37" s="2">
        <f>IFERROR((SUMPRODUCT(Attributs!$BT$2:$BT$18,Attributs!$DL$2:$DL$18)+SUMPRODUCT(Attributs!$BU$2:$BU$18,Attributs!$DM$2:$DM$18))/((SQRT(SUMSQ(Attributs!$BT$2:$BT$18)+SUMSQ(Attributs!$BU$2:$BU$18)))*(SQRT(SUMSQ(Attributs!$DL$2:$DL$18)+SUMSQ(Attributs!$DM$2:$DM$18)))),0)</f>
        <v/>
      </c>
      <c r="BH37" s="2">
        <f>IFERROR((SUMPRODUCT(Attributs!$BT$2:$BT$18,Attributs!$DN$2:$DN$18)+SUMPRODUCT(Attributs!$BU$2:$BU$18,Attributs!$DO$2:$DO$18))/((SQRT(SUMSQ(Attributs!$BT$2:$BT$18)+SUMSQ(Attributs!$BU$2:$BU$18)))*(SQRT(SUMSQ(Attributs!$DN$2:$DN$18)+SUMSQ(Attributs!$DO$2:$DO$18)))),0)</f>
        <v/>
      </c>
      <c r="BI37" s="2">
        <f>IFERROR((SUMPRODUCT(Attributs!$BT$2:$BT$18,Attributs!$DP$2:$DP$18)+SUMPRODUCT(Attributs!$BU$2:$BU$18,Attributs!$DQ$2:$DQ$18))/((SQRT(SUMSQ(Attributs!$BT$2:$BT$18)+SUMSQ(Attributs!$BU$2:$BU$18)))*(SQRT(SUMSQ(Attributs!$DP$2:$DP$18)+SUMSQ(Attributs!$DQ$2:$DQ$18)))),0)</f>
        <v/>
      </c>
      <c r="BJ37" s="2">
        <f>IFERROR((SUMPRODUCT(Attributs!$BT$2:$BT$18,Attributs!$DR$2:$DR$18)+SUMPRODUCT(Attributs!$BU$2:$BU$18,Attributs!$DS$2:$DS$18))/((SQRT(SUMSQ(Attributs!$BT$2:$BT$18)+SUMSQ(Attributs!$BU$2:$BU$18)))*(SQRT(SUMSQ(Attributs!$DR$2:$DR$18)+SUMSQ(Attributs!$DS$2:$DS$18)))),0)</f>
        <v/>
      </c>
      <c r="BK37" s="2">
        <f>IFERROR((SUMPRODUCT(Attributs!$BT$2:$BT$18,Attributs!$DT$2:$DT$18)+SUMPRODUCT(Attributs!$BU$2:$BU$18,Attributs!$DU$2:$DU$18))/((SQRT(SUMSQ(Attributs!$BT$2:$BT$18)+SUMSQ(Attributs!$BU$2:$BU$18)))*(SQRT(SUMSQ(Attributs!$DT$2:$DT$18)+SUMSQ(Attributs!$DU$2:$DU$18)))),0)</f>
        <v/>
      </c>
      <c r="BL37" s="2">
        <f>IFERROR((SUMPRODUCT(Attributs!$BT$2:$BT$18,Attributs!$DV$2:$DV$18)+SUMPRODUCT(Attributs!$BU$2:$BU$18,Attributs!$DW$2:$DW$18))/((SQRT(SUMSQ(Attributs!$BT$2:$BT$18)+SUMSQ(Attributs!$BU$2:$BU$18)))*(SQRT(SUMSQ(Attributs!$DV$2:$DV$18)+SUMSQ(Attributs!$DW$2:$DW$18)))),0)</f>
        <v/>
      </c>
    </row>
    <row r="38">
      <c r="A38" s="3" t="inlineStr">
        <is>
          <t>SE_mongodb.Users.AboutMe</t>
        </is>
      </c>
      <c r="B38" s="2">
        <f>IFERROR((SUMPRODUCT(Attributs!$BV$2:$BV$18,Attributs!$B$2:$B$18)+SUMPRODUCT(Attributs!$BW$2:$BW$18,Attributs!$C$2:$C$18))/((SQRT(SUMSQ(Attributs!$BV$2:$BV$18)+SUMSQ(Attributs!$BW$2:$BW$18)))*(SQRT(SUMSQ(Attributs!$B$2:$B$18)+SUMSQ(Attributs!$C$2:$C$18)))),0)</f>
        <v/>
      </c>
      <c r="C38" s="2">
        <f>IFERROR((SUMPRODUCT(Attributs!$BV$2:$BV$18,Attributs!$D$2:$D$18)+SUMPRODUCT(Attributs!$BW$2:$BW$18,Attributs!$E$2:$E$18))/((SQRT(SUMSQ(Attributs!$BV$2:$BV$18)+SUMSQ(Attributs!$BW$2:$BW$18)))*(SQRT(SUMSQ(Attributs!$D$2:$D$18)+SUMSQ(Attributs!$E$2:$E$18)))),0)</f>
        <v/>
      </c>
      <c r="D38" s="2">
        <f>IFERROR((SUMPRODUCT(Attributs!$BV$2:$BV$18,Attributs!$F$2:$F$18)+SUMPRODUCT(Attributs!$BW$2:$BW$18,Attributs!$G$2:$G$18))/((SQRT(SUMSQ(Attributs!$BV$2:$BV$18)+SUMSQ(Attributs!$BW$2:$BW$18)))*(SQRT(SUMSQ(Attributs!$F$2:$F$18)+SUMSQ(Attributs!$G$2:$G$18)))),0)</f>
        <v/>
      </c>
      <c r="E38" s="2">
        <f>IFERROR((SUMPRODUCT(Attributs!$BV$2:$BV$18,Attributs!$H$2:$H$18)+SUMPRODUCT(Attributs!$BW$2:$BW$18,Attributs!$I$2:$I$18))/((SQRT(SUMSQ(Attributs!$BV$2:$BV$18)+SUMSQ(Attributs!$BW$2:$BW$18)))*(SQRT(SUMSQ(Attributs!$H$2:$H$18)+SUMSQ(Attributs!$I$2:$I$18)))),0)</f>
        <v/>
      </c>
      <c r="F38" s="2">
        <f>IFERROR((SUMPRODUCT(Attributs!$BV$2:$BV$18,Attributs!$J$2:$J$18)+SUMPRODUCT(Attributs!$BW$2:$BW$18,Attributs!$K$2:$K$18))/((SQRT(SUMSQ(Attributs!$BV$2:$BV$18)+SUMSQ(Attributs!$BW$2:$BW$18)))*(SQRT(SUMSQ(Attributs!$J$2:$J$18)+SUMSQ(Attributs!$K$2:$K$18)))),0)</f>
        <v/>
      </c>
      <c r="G38" s="2">
        <f>IFERROR((SUMPRODUCT(Attributs!$BV$2:$BV$18,Attributs!$L$2:$L$18)+SUMPRODUCT(Attributs!$BW$2:$BW$18,Attributs!$M$2:$M$18))/((SQRT(SUMSQ(Attributs!$BV$2:$BV$18)+SUMSQ(Attributs!$BW$2:$BW$18)))*(SQRT(SUMSQ(Attributs!$L$2:$L$18)+SUMSQ(Attributs!$M$2:$M$18)))),0)</f>
        <v/>
      </c>
      <c r="H38" s="2">
        <f>IFERROR((SUMPRODUCT(Attributs!$BV$2:$BV$18,Attributs!$N$2:$N$18)+SUMPRODUCT(Attributs!$BW$2:$BW$18,Attributs!$O$2:$O$18))/((SQRT(SUMSQ(Attributs!$BV$2:$BV$18)+SUMSQ(Attributs!$BW$2:$BW$18)))*(SQRT(SUMSQ(Attributs!$N$2:$N$18)+SUMSQ(Attributs!$O$2:$O$18)))),0)</f>
        <v/>
      </c>
      <c r="I38" s="2">
        <f>IFERROR((SUMPRODUCT(Attributs!$BV$2:$BV$18,Attributs!$P$2:$P$18)+SUMPRODUCT(Attributs!$BW$2:$BW$18,Attributs!$Q$2:$Q$18))/((SQRT(SUMSQ(Attributs!$BV$2:$BV$18)+SUMSQ(Attributs!$BW$2:$BW$18)))*(SQRT(SUMSQ(Attributs!$P$2:$P$18)+SUMSQ(Attributs!$Q$2:$Q$18)))),0)</f>
        <v/>
      </c>
      <c r="J38" s="2">
        <f>IFERROR((SUMPRODUCT(Attributs!$BV$2:$BV$18,Attributs!$R$2:$R$18)+SUMPRODUCT(Attributs!$BW$2:$BW$18,Attributs!$S$2:$S$18))/((SQRT(SUMSQ(Attributs!$BV$2:$BV$18)+SUMSQ(Attributs!$BW$2:$BW$18)))*(SQRT(SUMSQ(Attributs!$R$2:$R$18)+SUMSQ(Attributs!$S$2:$S$18)))),0)</f>
        <v/>
      </c>
      <c r="K38" s="2">
        <f>IFERROR((SUMPRODUCT(Attributs!$BV$2:$BV$18,Attributs!$T$2:$T$18)+SUMPRODUCT(Attributs!$BW$2:$BW$18,Attributs!$U$2:$U$18))/((SQRT(SUMSQ(Attributs!$BV$2:$BV$18)+SUMSQ(Attributs!$BW$2:$BW$18)))*(SQRT(SUMSQ(Attributs!$T$2:$T$18)+SUMSQ(Attributs!$U$2:$U$18)))),0)</f>
        <v/>
      </c>
      <c r="L38" s="2">
        <f>IFERROR((SUMPRODUCT(Attributs!$BV$2:$BV$18,Attributs!$V$2:$V$18)+SUMPRODUCT(Attributs!$BW$2:$BW$18,Attributs!$W$2:$W$18))/((SQRT(SUMSQ(Attributs!$BV$2:$BV$18)+SUMSQ(Attributs!$BW$2:$BW$18)))*(SQRT(SUMSQ(Attributs!$V$2:$V$18)+SUMSQ(Attributs!$W$2:$W$18)))),0)</f>
        <v/>
      </c>
      <c r="M38" s="2">
        <f>IFERROR((SUMPRODUCT(Attributs!$BV$2:$BV$18,Attributs!$X$2:$X$18)+SUMPRODUCT(Attributs!$BW$2:$BW$18,Attributs!$Y$2:$Y$18))/((SQRT(SUMSQ(Attributs!$BV$2:$BV$18)+SUMSQ(Attributs!$BW$2:$BW$18)))*(SQRT(SUMSQ(Attributs!$X$2:$X$18)+SUMSQ(Attributs!$Y$2:$Y$18)))),0)</f>
        <v/>
      </c>
      <c r="N38" s="2">
        <f>IFERROR((SUMPRODUCT(Attributs!$BV$2:$BV$18,Attributs!$Z$2:$Z$18)+SUMPRODUCT(Attributs!$BW$2:$BW$18,Attributs!$AA$2:$AA$18))/((SQRT(SUMSQ(Attributs!$BV$2:$BV$18)+SUMSQ(Attributs!$BW$2:$BW$18)))*(SQRT(SUMSQ(Attributs!$Z$2:$Z$18)+SUMSQ(Attributs!$AA$2:$AA$18)))),0)</f>
        <v/>
      </c>
      <c r="O38" s="2">
        <f>IFERROR((SUMPRODUCT(Attributs!$BV$2:$BV$18,Attributs!$AB$2:$AB$18)+SUMPRODUCT(Attributs!$BW$2:$BW$18,Attributs!$AC$2:$AC$18))/((SQRT(SUMSQ(Attributs!$BV$2:$BV$18)+SUMSQ(Attributs!$BW$2:$BW$18)))*(SQRT(SUMSQ(Attributs!$AB$2:$AB$18)+SUMSQ(Attributs!$AC$2:$AC$18)))),0)</f>
        <v/>
      </c>
      <c r="P38" s="2">
        <f>IFERROR((SUMPRODUCT(Attributs!$BV$2:$BV$18,Attributs!$AD$2:$AD$18)+SUMPRODUCT(Attributs!$BW$2:$BW$18,Attributs!$AE$2:$AE$18))/((SQRT(SUMSQ(Attributs!$BV$2:$BV$18)+SUMSQ(Attributs!$BW$2:$BW$18)))*(SQRT(SUMSQ(Attributs!$AD$2:$AD$18)+SUMSQ(Attributs!$AE$2:$AE$18)))),0)</f>
        <v/>
      </c>
      <c r="Q38" s="2">
        <f>IFERROR((SUMPRODUCT(Attributs!$BV$2:$BV$18,Attributs!$AF$2:$AF$18)+SUMPRODUCT(Attributs!$BW$2:$BW$18,Attributs!$AG$2:$AG$18))/((SQRT(SUMSQ(Attributs!$BV$2:$BV$18)+SUMSQ(Attributs!$BW$2:$BW$18)))*(SQRT(SUMSQ(Attributs!$AF$2:$AF$18)+SUMSQ(Attributs!$AG$2:$AG$18)))),0)</f>
        <v/>
      </c>
      <c r="R38" s="2">
        <f>IFERROR((SUMPRODUCT(Attributs!$BV$2:$BV$18,Attributs!$AH$2:$AH$18)+SUMPRODUCT(Attributs!$BW$2:$BW$18,Attributs!$AI$2:$AI$18))/((SQRT(SUMSQ(Attributs!$BV$2:$BV$18)+SUMSQ(Attributs!$BW$2:$BW$18)))*(SQRT(SUMSQ(Attributs!$AH$2:$AH$18)+SUMSQ(Attributs!$AI$2:$AI$18)))),0)</f>
        <v/>
      </c>
      <c r="S38" s="2">
        <f>IFERROR((SUMPRODUCT(Attributs!$BV$2:$BV$18,Attributs!$AJ$2:$AJ$18)+SUMPRODUCT(Attributs!$BW$2:$BW$18,Attributs!$AK$2:$AK$18))/((SQRT(SUMSQ(Attributs!$BV$2:$BV$18)+SUMSQ(Attributs!$BW$2:$BW$18)))*(SQRT(SUMSQ(Attributs!$AJ$2:$AJ$18)+SUMSQ(Attributs!$AK$2:$AK$18)))),0)</f>
        <v/>
      </c>
      <c r="T38" s="2">
        <f>IFERROR((SUMPRODUCT(Attributs!$BV$2:$BV$18,Attributs!$AL$2:$AL$18)+SUMPRODUCT(Attributs!$BW$2:$BW$18,Attributs!$AM$2:$AM$18))/((SQRT(SUMSQ(Attributs!$BV$2:$BV$18)+SUMSQ(Attributs!$BW$2:$BW$18)))*(SQRT(SUMSQ(Attributs!$AL$2:$AL$18)+SUMSQ(Attributs!$AM$2:$AM$18)))),0)</f>
        <v/>
      </c>
      <c r="U38" s="2">
        <f>IFERROR((SUMPRODUCT(Attributs!$BV$2:$BV$18,Attributs!$AN$2:$AN$18)+SUMPRODUCT(Attributs!$BW$2:$BW$18,Attributs!$AO$2:$AO$18))/((SQRT(SUMSQ(Attributs!$BV$2:$BV$18)+SUMSQ(Attributs!$BW$2:$BW$18)))*(SQRT(SUMSQ(Attributs!$AN$2:$AN$18)+SUMSQ(Attributs!$AO$2:$AO$18)))),0)</f>
        <v/>
      </c>
      <c r="V38" s="2">
        <f>IFERROR((SUMPRODUCT(Attributs!$BV$2:$BV$18,Attributs!$AP$2:$AP$18)+SUMPRODUCT(Attributs!$BW$2:$BW$18,Attributs!$AQ$2:$AQ$18))/((SQRT(SUMSQ(Attributs!$BV$2:$BV$18)+SUMSQ(Attributs!$BW$2:$BW$18)))*(SQRT(SUMSQ(Attributs!$AP$2:$AP$18)+SUMSQ(Attributs!$AQ$2:$AQ$18)))),0)</f>
        <v/>
      </c>
      <c r="W38" s="2">
        <f>IFERROR((SUMPRODUCT(Attributs!$BV$2:$BV$18,Attributs!$AR$2:$AR$18)+SUMPRODUCT(Attributs!$BW$2:$BW$18,Attributs!$AS$2:$AS$18))/((SQRT(SUMSQ(Attributs!$BV$2:$BV$18)+SUMSQ(Attributs!$BW$2:$BW$18)))*(SQRT(SUMSQ(Attributs!$AR$2:$AR$18)+SUMSQ(Attributs!$AS$2:$AS$18)))),0)</f>
        <v/>
      </c>
      <c r="X38" s="2">
        <f>IFERROR((SUMPRODUCT(Attributs!$BV$2:$BV$18,Attributs!$AT$2:$AT$18)+SUMPRODUCT(Attributs!$BW$2:$BW$18,Attributs!$AU$2:$AU$18))/((SQRT(SUMSQ(Attributs!$BV$2:$BV$18)+SUMSQ(Attributs!$BW$2:$BW$18)))*(SQRT(SUMSQ(Attributs!$AT$2:$AT$18)+SUMSQ(Attributs!$AU$2:$AU$18)))),0)</f>
        <v/>
      </c>
      <c r="Y38" s="2">
        <f>IFERROR((SUMPRODUCT(Attributs!$BV$2:$BV$18,Attributs!$AV$2:$AV$18)+SUMPRODUCT(Attributs!$BW$2:$BW$18,Attributs!$AW$2:$AW$18))/((SQRT(SUMSQ(Attributs!$BV$2:$BV$18)+SUMSQ(Attributs!$BW$2:$BW$18)))*(SQRT(SUMSQ(Attributs!$AV$2:$AV$18)+SUMSQ(Attributs!$AW$2:$AW$18)))),0)</f>
        <v/>
      </c>
      <c r="Z38" s="2">
        <f>IFERROR((SUMPRODUCT(Attributs!$BV$2:$BV$18,Attributs!$AX$2:$AX$18)+SUMPRODUCT(Attributs!$BW$2:$BW$18,Attributs!$AY$2:$AY$18))/((SQRT(SUMSQ(Attributs!$BV$2:$BV$18)+SUMSQ(Attributs!$BW$2:$BW$18)))*(SQRT(SUMSQ(Attributs!$AX$2:$AX$18)+SUMSQ(Attributs!$AY$2:$AY$18)))),0)</f>
        <v/>
      </c>
      <c r="AA38" s="2">
        <f>IFERROR((SUMPRODUCT(Attributs!$BV$2:$BV$18,Attributs!$AZ$2:$AZ$18)+SUMPRODUCT(Attributs!$BW$2:$BW$18,Attributs!$BA$2:$BA$18))/((SQRT(SUMSQ(Attributs!$BV$2:$BV$18)+SUMSQ(Attributs!$BW$2:$BW$18)))*(SQRT(SUMSQ(Attributs!$AZ$2:$AZ$18)+SUMSQ(Attributs!$BA$2:$BA$18)))),0)</f>
        <v/>
      </c>
      <c r="AB38" s="2">
        <f>IFERROR((SUMPRODUCT(Attributs!$BV$2:$BV$18,Attributs!$BB$2:$BB$18)+SUMPRODUCT(Attributs!$BW$2:$BW$18,Attributs!$BC$2:$BC$18))/((SQRT(SUMSQ(Attributs!$BV$2:$BV$18)+SUMSQ(Attributs!$BW$2:$BW$18)))*(SQRT(SUMSQ(Attributs!$BB$2:$BB$18)+SUMSQ(Attributs!$BC$2:$BC$18)))),0)</f>
        <v/>
      </c>
      <c r="AC38" s="2">
        <f>IFERROR((SUMPRODUCT(Attributs!$BV$2:$BV$18,Attributs!$BD$2:$BD$18)+SUMPRODUCT(Attributs!$BW$2:$BW$18,Attributs!$BE$2:$BE$18))/((SQRT(SUMSQ(Attributs!$BV$2:$BV$18)+SUMSQ(Attributs!$BW$2:$BW$18)))*(SQRT(SUMSQ(Attributs!$BD$2:$BD$18)+SUMSQ(Attributs!$BE$2:$BE$18)))),0)</f>
        <v/>
      </c>
      <c r="AD38" s="2">
        <f>IFERROR((SUMPRODUCT(Attributs!$BV$2:$BV$18,Attributs!$BF$2:$BF$18)+SUMPRODUCT(Attributs!$BW$2:$BW$18,Attributs!$BG$2:$BG$18))/((SQRT(SUMSQ(Attributs!$BV$2:$BV$18)+SUMSQ(Attributs!$BW$2:$BW$18)))*(SQRT(SUMSQ(Attributs!$BF$2:$BF$18)+SUMSQ(Attributs!$BG$2:$BG$18)))),0)</f>
        <v/>
      </c>
      <c r="AE38" s="2">
        <f>IFERROR((SUMPRODUCT(Attributs!$BV$2:$BV$18,Attributs!$BH$2:$BH$18)+SUMPRODUCT(Attributs!$BW$2:$BW$18,Attributs!$BI$2:$BI$18))/((SQRT(SUMSQ(Attributs!$BV$2:$BV$18)+SUMSQ(Attributs!$BW$2:$BW$18)))*(SQRT(SUMSQ(Attributs!$BH$2:$BH$18)+SUMSQ(Attributs!$BI$2:$BI$18)))),0)</f>
        <v/>
      </c>
      <c r="AF38" s="2">
        <f>IFERROR((SUMPRODUCT(Attributs!$BV$2:$BV$18,Attributs!$BJ$2:$BJ$18)+SUMPRODUCT(Attributs!$BW$2:$BW$18,Attributs!$BK$2:$BK$18))/((SQRT(SUMSQ(Attributs!$BV$2:$BV$18)+SUMSQ(Attributs!$BW$2:$BW$18)))*(SQRT(SUMSQ(Attributs!$BJ$2:$BJ$18)+SUMSQ(Attributs!$BK$2:$BK$18)))),0)</f>
        <v/>
      </c>
      <c r="AG38" s="2">
        <f>IFERROR((SUMPRODUCT(Attributs!$BV$2:$BV$18,Attributs!$BL$2:$BL$18)+SUMPRODUCT(Attributs!$BW$2:$BW$18,Attributs!$BM$2:$BM$18))/((SQRT(SUMSQ(Attributs!$BV$2:$BV$18)+SUMSQ(Attributs!$BW$2:$BW$18)))*(SQRT(SUMSQ(Attributs!$BL$2:$BL$18)+SUMSQ(Attributs!$BM$2:$BM$18)))),0)</f>
        <v/>
      </c>
      <c r="AH38" s="2">
        <f>IFERROR((SUMPRODUCT(Attributs!$BV$2:$BV$18,Attributs!$BN$2:$BN$18)+SUMPRODUCT(Attributs!$BW$2:$BW$18,Attributs!$BO$2:$BO$18))/((SQRT(SUMSQ(Attributs!$BV$2:$BV$18)+SUMSQ(Attributs!$BW$2:$BW$18)))*(SQRT(SUMSQ(Attributs!$BN$2:$BN$18)+SUMSQ(Attributs!$BO$2:$BO$18)))),0)</f>
        <v/>
      </c>
      <c r="AI38" s="2">
        <f>IFERROR((SUMPRODUCT(Attributs!$BV$2:$BV$18,Attributs!$BP$2:$BP$18)+SUMPRODUCT(Attributs!$BW$2:$BW$18,Attributs!$BQ$2:$BQ$18))/((SQRT(SUMSQ(Attributs!$BV$2:$BV$18)+SUMSQ(Attributs!$BW$2:$BW$18)))*(SQRT(SUMSQ(Attributs!$BP$2:$BP$18)+SUMSQ(Attributs!$BQ$2:$BQ$18)))),0)</f>
        <v/>
      </c>
      <c r="AJ38" s="2">
        <f>IFERROR((SUMPRODUCT(Attributs!$BV$2:$BV$18,Attributs!$BR$2:$BR$18)+SUMPRODUCT(Attributs!$BW$2:$BW$18,Attributs!$BS$2:$BS$18))/((SQRT(SUMSQ(Attributs!$BV$2:$BV$18)+SUMSQ(Attributs!$BW$2:$BW$18)))*(SQRT(SUMSQ(Attributs!$BR$2:$BR$18)+SUMSQ(Attributs!$BS$2:$BS$18)))),0)</f>
        <v/>
      </c>
      <c r="AK38" s="2">
        <f>IFERROR((SUMPRODUCT(Attributs!$BV$2:$BV$18,Attributs!$BT$2:$BT$18)+SUMPRODUCT(Attributs!$BW$2:$BW$18,Attributs!$BU$2:$BU$18))/((SQRT(SUMSQ(Attributs!$BV$2:$BV$18)+SUMSQ(Attributs!$BW$2:$BW$18)))*(SQRT(SUMSQ(Attributs!$BT$2:$BT$18)+SUMSQ(Attributs!$BU$2:$BU$18)))),0)</f>
        <v/>
      </c>
      <c r="AL38" s="2">
        <f>IFERROR((SUMPRODUCT(Attributs!$BV$2:$BV$18,Attributs!$BV$2:$BV$18)+SUMPRODUCT(Attributs!$BW$2:$BW$18,Attributs!$BW$2:$BW$18))/((SQRT(SUMSQ(Attributs!$BV$2:$BV$18)+SUMSQ(Attributs!$BW$2:$BW$18)))*(SQRT(SUMSQ(Attributs!$BV$2:$BV$18)+SUMSQ(Attributs!$BW$2:$BW$18)))),0)</f>
        <v/>
      </c>
      <c r="AM38" s="2">
        <f>IFERROR((SUMPRODUCT(Attributs!$BV$2:$BV$18,Attributs!$BX$2:$BX$18)+SUMPRODUCT(Attributs!$BW$2:$BW$18,Attributs!$BY$2:$BY$18))/((SQRT(SUMSQ(Attributs!$BV$2:$BV$18)+SUMSQ(Attributs!$BW$2:$BW$18)))*(SQRT(SUMSQ(Attributs!$BX$2:$BX$18)+SUMSQ(Attributs!$BY$2:$BY$18)))),0)</f>
        <v/>
      </c>
      <c r="AN38" s="2">
        <f>IFERROR((SUMPRODUCT(Attributs!$BV$2:$BV$18,Attributs!$BZ$2:$BZ$18)+SUMPRODUCT(Attributs!$BW$2:$BW$18,Attributs!$CA$2:$CA$18))/((SQRT(SUMSQ(Attributs!$BV$2:$BV$18)+SUMSQ(Attributs!$BW$2:$BW$18)))*(SQRT(SUMSQ(Attributs!$BZ$2:$BZ$18)+SUMSQ(Attributs!$CA$2:$CA$18)))),0)</f>
        <v/>
      </c>
      <c r="AO38" s="2">
        <f>IFERROR((SUMPRODUCT(Attributs!$BV$2:$BV$18,Attributs!$CB$2:$CB$18)+SUMPRODUCT(Attributs!$BW$2:$BW$18,Attributs!$CC$2:$CC$18))/((SQRT(SUMSQ(Attributs!$BV$2:$BV$18)+SUMSQ(Attributs!$BW$2:$BW$18)))*(SQRT(SUMSQ(Attributs!$CB$2:$CB$18)+SUMSQ(Attributs!$CC$2:$CC$18)))),0)</f>
        <v/>
      </c>
      <c r="AP38" s="2">
        <f>IFERROR((SUMPRODUCT(Attributs!$BV$2:$BV$18,Attributs!$CD$2:$CD$18)+SUMPRODUCT(Attributs!$BW$2:$BW$18,Attributs!$CE$2:$CE$18))/((SQRT(SUMSQ(Attributs!$BV$2:$BV$18)+SUMSQ(Attributs!$BW$2:$BW$18)))*(SQRT(SUMSQ(Attributs!$CD$2:$CD$18)+SUMSQ(Attributs!$CE$2:$CE$18)))),0)</f>
        <v/>
      </c>
      <c r="AQ38" s="2">
        <f>IFERROR((SUMPRODUCT(Attributs!$BV$2:$BV$18,Attributs!$CF$2:$CF$18)+SUMPRODUCT(Attributs!$BW$2:$BW$18,Attributs!$CG$2:$CG$18))/((SQRT(SUMSQ(Attributs!$BV$2:$BV$18)+SUMSQ(Attributs!$BW$2:$BW$18)))*(SQRT(SUMSQ(Attributs!$CF$2:$CF$18)+SUMSQ(Attributs!$CG$2:$CG$18)))),0)</f>
        <v/>
      </c>
      <c r="AR38" s="2">
        <f>IFERROR((SUMPRODUCT(Attributs!$BV$2:$BV$18,Attributs!$CH$2:$CH$18)+SUMPRODUCT(Attributs!$BW$2:$BW$18,Attributs!$CI$2:$CI$18))/((SQRT(SUMSQ(Attributs!$BV$2:$BV$18)+SUMSQ(Attributs!$BW$2:$BW$18)))*(SQRT(SUMSQ(Attributs!$CH$2:$CH$18)+SUMSQ(Attributs!$CI$2:$CI$18)))),0)</f>
        <v/>
      </c>
      <c r="AS38" s="2">
        <f>IFERROR((SUMPRODUCT(Attributs!$BV$2:$BV$18,Attributs!$CJ$2:$CJ$18)+SUMPRODUCT(Attributs!$BW$2:$BW$18,Attributs!$CK$2:$CK$18))/((SQRT(SUMSQ(Attributs!$BV$2:$BV$18)+SUMSQ(Attributs!$BW$2:$BW$18)))*(SQRT(SUMSQ(Attributs!$CJ$2:$CJ$18)+SUMSQ(Attributs!$CK$2:$CK$18)))),0)</f>
        <v/>
      </c>
      <c r="AT38" s="2">
        <f>IFERROR((SUMPRODUCT(Attributs!$BV$2:$BV$18,Attributs!$CL$2:$CL$18)+SUMPRODUCT(Attributs!$BW$2:$BW$18,Attributs!$CM$2:$CM$18))/((SQRT(SUMSQ(Attributs!$BV$2:$BV$18)+SUMSQ(Attributs!$BW$2:$BW$18)))*(SQRT(SUMSQ(Attributs!$CL$2:$CL$18)+SUMSQ(Attributs!$CM$2:$CM$18)))),0)</f>
        <v/>
      </c>
      <c r="AU38" s="2">
        <f>IFERROR((SUMPRODUCT(Attributs!$BV$2:$BV$18,Attributs!$CN$2:$CN$18)+SUMPRODUCT(Attributs!$BW$2:$BW$18,Attributs!$CO$2:$CO$18))/((SQRT(SUMSQ(Attributs!$BV$2:$BV$18)+SUMSQ(Attributs!$BW$2:$BW$18)))*(SQRT(SUMSQ(Attributs!$CN$2:$CN$18)+SUMSQ(Attributs!$CO$2:$CO$18)))),0)</f>
        <v/>
      </c>
      <c r="AV38" s="2">
        <f>IFERROR((SUMPRODUCT(Attributs!$BV$2:$BV$18,Attributs!$CP$2:$CP$18)+SUMPRODUCT(Attributs!$BW$2:$BW$18,Attributs!$CQ$2:$CQ$18))/((SQRT(SUMSQ(Attributs!$BV$2:$BV$18)+SUMSQ(Attributs!$BW$2:$BW$18)))*(SQRT(SUMSQ(Attributs!$CP$2:$CP$18)+SUMSQ(Attributs!$CQ$2:$CQ$18)))),0)</f>
        <v/>
      </c>
      <c r="AW38" s="2">
        <f>IFERROR((SUMPRODUCT(Attributs!$BV$2:$BV$18,Attributs!$CR$2:$CR$18)+SUMPRODUCT(Attributs!$BW$2:$BW$18,Attributs!$CS$2:$CS$18))/((SQRT(SUMSQ(Attributs!$BV$2:$BV$18)+SUMSQ(Attributs!$BW$2:$BW$18)))*(SQRT(SUMSQ(Attributs!$CR$2:$CR$18)+SUMSQ(Attributs!$CS$2:$CS$18)))),0)</f>
        <v/>
      </c>
      <c r="AX38" s="2">
        <f>IFERROR((SUMPRODUCT(Attributs!$BV$2:$BV$18,Attributs!$CT$2:$CT$18)+SUMPRODUCT(Attributs!$BW$2:$BW$18,Attributs!$CU$2:$CU$18))/((SQRT(SUMSQ(Attributs!$BV$2:$BV$18)+SUMSQ(Attributs!$BW$2:$BW$18)))*(SQRT(SUMSQ(Attributs!$CT$2:$CT$18)+SUMSQ(Attributs!$CU$2:$CU$18)))),0)</f>
        <v/>
      </c>
      <c r="AY38" s="2">
        <f>IFERROR((SUMPRODUCT(Attributs!$BV$2:$BV$18,Attributs!$CV$2:$CV$18)+SUMPRODUCT(Attributs!$BW$2:$BW$18,Attributs!$CW$2:$CW$18))/((SQRT(SUMSQ(Attributs!$BV$2:$BV$18)+SUMSQ(Attributs!$BW$2:$BW$18)))*(SQRT(SUMSQ(Attributs!$CV$2:$CV$18)+SUMSQ(Attributs!$CW$2:$CW$18)))),0)</f>
        <v/>
      </c>
      <c r="AZ38" s="2">
        <f>IFERROR((SUMPRODUCT(Attributs!$BV$2:$BV$18,Attributs!$CX$2:$CX$18)+SUMPRODUCT(Attributs!$BW$2:$BW$18,Attributs!$CY$2:$CY$18))/((SQRT(SUMSQ(Attributs!$BV$2:$BV$18)+SUMSQ(Attributs!$BW$2:$BW$18)))*(SQRT(SUMSQ(Attributs!$CX$2:$CX$18)+SUMSQ(Attributs!$CY$2:$CY$18)))),0)</f>
        <v/>
      </c>
      <c r="BA38" s="2">
        <f>IFERROR((SUMPRODUCT(Attributs!$BV$2:$BV$18,Attributs!$CZ$2:$CZ$18)+SUMPRODUCT(Attributs!$BW$2:$BW$18,Attributs!$DA$2:$DA$18))/((SQRT(SUMSQ(Attributs!$BV$2:$BV$18)+SUMSQ(Attributs!$BW$2:$BW$18)))*(SQRT(SUMSQ(Attributs!$CZ$2:$CZ$18)+SUMSQ(Attributs!$DA$2:$DA$18)))),0)</f>
        <v/>
      </c>
      <c r="BB38" s="2">
        <f>IFERROR((SUMPRODUCT(Attributs!$BV$2:$BV$18,Attributs!$DB$2:$DB$18)+SUMPRODUCT(Attributs!$BW$2:$BW$18,Attributs!$DC$2:$DC$18))/((SQRT(SUMSQ(Attributs!$BV$2:$BV$18)+SUMSQ(Attributs!$BW$2:$BW$18)))*(SQRT(SUMSQ(Attributs!$DB$2:$DB$18)+SUMSQ(Attributs!$DC$2:$DC$18)))),0)</f>
        <v/>
      </c>
      <c r="BC38" s="2">
        <f>IFERROR((SUMPRODUCT(Attributs!$BV$2:$BV$18,Attributs!$DD$2:$DD$18)+SUMPRODUCT(Attributs!$BW$2:$BW$18,Attributs!$DE$2:$DE$18))/((SQRT(SUMSQ(Attributs!$BV$2:$BV$18)+SUMSQ(Attributs!$BW$2:$BW$18)))*(SQRT(SUMSQ(Attributs!$DD$2:$DD$18)+SUMSQ(Attributs!$DE$2:$DE$18)))),0)</f>
        <v/>
      </c>
      <c r="BD38" s="2">
        <f>IFERROR((SUMPRODUCT(Attributs!$BV$2:$BV$18,Attributs!$DF$2:$DF$18)+SUMPRODUCT(Attributs!$BW$2:$BW$18,Attributs!$DG$2:$DG$18))/((SQRT(SUMSQ(Attributs!$BV$2:$BV$18)+SUMSQ(Attributs!$BW$2:$BW$18)))*(SQRT(SUMSQ(Attributs!$DF$2:$DF$18)+SUMSQ(Attributs!$DG$2:$DG$18)))),0)</f>
        <v/>
      </c>
      <c r="BE38" s="2">
        <f>IFERROR((SUMPRODUCT(Attributs!$BV$2:$BV$18,Attributs!$DH$2:$DH$18)+SUMPRODUCT(Attributs!$BW$2:$BW$18,Attributs!$DI$2:$DI$18))/((SQRT(SUMSQ(Attributs!$BV$2:$BV$18)+SUMSQ(Attributs!$BW$2:$BW$18)))*(SQRT(SUMSQ(Attributs!$DH$2:$DH$18)+SUMSQ(Attributs!$DI$2:$DI$18)))),0)</f>
        <v/>
      </c>
      <c r="BF38" s="2">
        <f>IFERROR((SUMPRODUCT(Attributs!$BV$2:$BV$18,Attributs!$DJ$2:$DJ$18)+SUMPRODUCT(Attributs!$BW$2:$BW$18,Attributs!$DK$2:$DK$18))/((SQRT(SUMSQ(Attributs!$BV$2:$BV$18)+SUMSQ(Attributs!$BW$2:$BW$18)))*(SQRT(SUMSQ(Attributs!$DJ$2:$DJ$18)+SUMSQ(Attributs!$DK$2:$DK$18)))),0)</f>
        <v/>
      </c>
      <c r="BG38" s="2">
        <f>IFERROR((SUMPRODUCT(Attributs!$BV$2:$BV$18,Attributs!$DL$2:$DL$18)+SUMPRODUCT(Attributs!$BW$2:$BW$18,Attributs!$DM$2:$DM$18))/((SQRT(SUMSQ(Attributs!$BV$2:$BV$18)+SUMSQ(Attributs!$BW$2:$BW$18)))*(SQRT(SUMSQ(Attributs!$DL$2:$DL$18)+SUMSQ(Attributs!$DM$2:$DM$18)))),0)</f>
        <v/>
      </c>
      <c r="BH38" s="2">
        <f>IFERROR((SUMPRODUCT(Attributs!$BV$2:$BV$18,Attributs!$DN$2:$DN$18)+SUMPRODUCT(Attributs!$BW$2:$BW$18,Attributs!$DO$2:$DO$18))/((SQRT(SUMSQ(Attributs!$BV$2:$BV$18)+SUMSQ(Attributs!$BW$2:$BW$18)))*(SQRT(SUMSQ(Attributs!$DN$2:$DN$18)+SUMSQ(Attributs!$DO$2:$DO$18)))),0)</f>
        <v/>
      </c>
      <c r="BI38" s="2">
        <f>IFERROR((SUMPRODUCT(Attributs!$BV$2:$BV$18,Attributs!$DP$2:$DP$18)+SUMPRODUCT(Attributs!$BW$2:$BW$18,Attributs!$DQ$2:$DQ$18))/((SQRT(SUMSQ(Attributs!$BV$2:$BV$18)+SUMSQ(Attributs!$BW$2:$BW$18)))*(SQRT(SUMSQ(Attributs!$DP$2:$DP$18)+SUMSQ(Attributs!$DQ$2:$DQ$18)))),0)</f>
        <v/>
      </c>
      <c r="BJ38" s="2">
        <f>IFERROR((SUMPRODUCT(Attributs!$BV$2:$BV$18,Attributs!$DR$2:$DR$18)+SUMPRODUCT(Attributs!$BW$2:$BW$18,Attributs!$DS$2:$DS$18))/((SQRT(SUMSQ(Attributs!$BV$2:$BV$18)+SUMSQ(Attributs!$BW$2:$BW$18)))*(SQRT(SUMSQ(Attributs!$DR$2:$DR$18)+SUMSQ(Attributs!$DS$2:$DS$18)))),0)</f>
        <v/>
      </c>
      <c r="BK38" s="2">
        <f>IFERROR((SUMPRODUCT(Attributs!$BV$2:$BV$18,Attributs!$DT$2:$DT$18)+SUMPRODUCT(Attributs!$BW$2:$BW$18,Attributs!$DU$2:$DU$18))/((SQRT(SUMSQ(Attributs!$BV$2:$BV$18)+SUMSQ(Attributs!$BW$2:$BW$18)))*(SQRT(SUMSQ(Attributs!$DT$2:$DT$18)+SUMSQ(Attributs!$DU$2:$DU$18)))),0)</f>
        <v/>
      </c>
      <c r="BL38" s="2">
        <f>IFERROR((SUMPRODUCT(Attributs!$BV$2:$BV$18,Attributs!$DV$2:$DV$18)+SUMPRODUCT(Attributs!$BW$2:$BW$18,Attributs!$DW$2:$DW$18))/((SQRT(SUMSQ(Attributs!$BV$2:$BV$18)+SUMSQ(Attributs!$BW$2:$BW$18)))*(SQRT(SUMSQ(Attributs!$DV$2:$DV$18)+SUMSQ(Attributs!$DW$2:$DW$18)))),0)</f>
        <v/>
      </c>
    </row>
    <row r="39">
      <c r="A39" s="3" t="inlineStr">
        <is>
          <t>SE_mongodb.Comments.Id</t>
        </is>
      </c>
      <c r="B39" s="2">
        <f>IFERROR((SUMPRODUCT(Attributs!$BX$2:$BX$18,Attributs!$B$2:$B$18)+SUMPRODUCT(Attributs!$BY$2:$BY$18,Attributs!$C$2:$C$18))/((SQRT(SUMSQ(Attributs!$BX$2:$BX$18)+SUMSQ(Attributs!$BY$2:$BY$18)))*(SQRT(SUMSQ(Attributs!$B$2:$B$18)+SUMSQ(Attributs!$C$2:$C$18)))),0)</f>
        <v/>
      </c>
      <c r="C39" s="2">
        <f>IFERROR((SUMPRODUCT(Attributs!$BX$2:$BX$18,Attributs!$D$2:$D$18)+SUMPRODUCT(Attributs!$BY$2:$BY$18,Attributs!$E$2:$E$18))/((SQRT(SUMSQ(Attributs!$BX$2:$BX$18)+SUMSQ(Attributs!$BY$2:$BY$18)))*(SQRT(SUMSQ(Attributs!$D$2:$D$18)+SUMSQ(Attributs!$E$2:$E$18)))),0)</f>
        <v/>
      </c>
      <c r="D39" s="2">
        <f>IFERROR((SUMPRODUCT(Attributs!$BX$2:$BX$18,Attributs!$F$2:$F$18)+SUMPRODUCT(Attributs!$BY$2:$BY$18,Attributs!$G$2:$G$18))/((SQRT(SUMSQ(Attributs!$BX$2:$BX$18)+SUMSQ(Attributs!$BY$2:$BY$18)))*(SQRT(SUMSQ(Attributs!$F$2:$F$18)+SUMSQ(Attributs!$G$2:$G$18)))),0)</f>
        <v/>
      </c>
      <c r="E39" s="2">
        <f>IFERROR((SUMPRODUCT(Attributs!$BX$2:$BX$18,Attributs!$H$2:$H$18)+SUMPRODUCT(Attributs!$BY$2:$BY$18,Attributs!$I$2:$I$18))/((SQRT(SUMSQ(Attributs!$BX$2:$BX$18)+SUMSQ(Attributs!$BY$2:$BY$18)))*(SQRT(SUMSQ(Attributs!$H$2:$H$18)+SUMSQ(Attributs!$I$2:$I$18)))),0)</f>
        <v/>
      </c>
      <c r="F39" s="2">
        <f>IFERROR((SUMPRODUCT(Attributs!$BX$2:$BX$18,Attributs!$J$2:$J$18)+SUMPRODUCT(Attributs!$BY$2:$BY$18,Attributs!$K$2:$K$18))/((SQRT(SUMSQ(Attributs!$BX$2:$BX$18)+SUMSQ(Attributs!$BY$2:$BY$18)))*(SQRT(SUMSQ(Attributs!$J$2:$J$18)+SUMSQ(Attributs!$K$2:$K$18)))),0)</f>
        <v/>
      </c>
      <c r="G39" s="2">
        <f>IFERROR((SUMPRODUCT(Attributs!$BX$2:$BX$18,Attributs!$L$2:$L$18)+SUMPRODUCT(Attributs!$BY$2:$BY$18,Attributs!$M$2:$M$18))/((SQRT(SUMSQ(Attributs!$BX$2:$BX$18)+SUMSQ(Attributs!$BY$2:$BY$18)))*(SQRT(SUMSQ(Attributs!$L$2:$L$18)+SUMSQ(Attributs!$M$2:$M$18)))),0)</f>
        <v/>
      </c>
      <c r="H39" s="2">
        <f>IFERROR((SUMPRODUCT(Attributs!$BX$2:$BX$18,Attributs!$N$2:$N$18)+SUMPRODUCT(Attributs!$BY$2:$BY$18,Attributs!$O$2:$O$18))/((SQRT(SUMSQ(Attributs!$BX$2:$BX$18)+SUMSQ(Attributs!$BY$2:$BY$18)))*(SQRT(SUMSQ(Attributs!$N$2:$N$18)+SUMSQ(Attributs!$O$2:$O$18)))),0)</f>
        <v/>
      </c>
      <c r="I39" s="2">
        <f>IFERROR((SUMPRODUCT(Attributs!$BX$2:$BX$18,Attributs!$P$2:$P$18)+SUMPRODUCT(Attributs!$BY$2:$BY$18,Attributs!$Q$2:$Q$18))/((SQRT(SUMSQ(Attributs!$BX$2:$BX$18)+SUMSQ(Attributs!$BY$2:$BY$18)))*(SQRT(SUMSQ(Attributs!$P$2:$P$18)+SUMSQ(Attributs!$Q$2:$Q$18)))),0)</f>
        <v/>
      </c>
      <c r="J39" s="2">
        <f>IFERROR((SUMPRODUCT(Attributs!$BX$2:$BX$18,Attributs!$R$2:$R$18)+SUMPRODUCT(Attributs!$BY$2:$BY$18,Attributs!$S$2:$S$18))/((SQRT(SUMSQ(Attributs!$BX$2:$BX$18)+SUMSQ(Attributs!$BY$2:$BY$18)))*(SQRT(SUMSQ(Attributs!$R$2:$R$18)+SUMSQ(Attributs!$S$2:$S$18)))),0)</f>
        <v/>
      </c>
      <c r="K39" s="2">
        <f>IFERROR((SUMPRODUCT(Attributs!$BX$2:$BX$18,Attributs!$T$2:$T$18)+SUMPRODUCT(Attributs!$BY$2:$BY$18,Attributs!$U$2:$U$18))/((SQRT(SUMSQ(Attributs!$BX$2:$BX$18)+SUMSQ(Attributs!$BY$2:$BY$18)))*(SQRT(SUMSQ(Attributs!$T$2:$T$18)+SUMSQ(Attributs!$U$2:$U$18)))),0)</f>
        <v/>
      </c>
      <c r="L39" s="2">
        <f>IFERROR((SUMPRODUCT(Attributs!$BX$2:$BX$18,Attributs!$V$2:$V$18)+SUMPRODUCT(Attributs!$BY$2:$BY$18,Attributs!$W$2:$W$18))/((SQRT(SUMSQ(Attributs!$BX$2:$BX$18)+SUMSQ(Attributs!$BY$2:$BY$18)))*(SQRT(SUMSQ(Attributs!$V$2:$V$18)+SUMSQ(Attributs!$W$2:$W$18)))),0)</f>
        <v/>
      </c>
      <c r="M39" s="2">
        <f>IFERROR((SUMPRODUCT(Attributs!$BX$2:$BX$18,Attributs!$X$2:$X$18)+SUMPRODUCT(Attributs!$BY$2:$BY$18,Attributs!$Y$2:$Y$18))/((SQRT(SUMSQ(Attributs!$BX$2:$BX$18)+SUMSQ(Attributs!$BY$2:$BY$18)))*(SQRT(SUMSQ(Attributs!$X$2:$X$18)+SUMSQ(Attributs!$Y$2:$Y$18)))),0)</f>
        <v/>
      </c>
      <c r="N39" s="2">
        <f>IFERROR((SUMPRODUCT(Attributs!$BX$2:$BX$18,Attributs!$Z$2:$Z$18)+SUMPRODUCT(Attributs!$BY$2:$BY$18,Attributs!$AA$2:$AA$18))/((SQRT(SUMSQ(Attributs!$BX$2:$BX$18)+SUMSQ(Attributs!$BY$2:$BY$18)))*(SQRT(SUMSQ(Attributs!$Z$2:$Z$18)+SUMSQ(Attributs!$AA$2:$AA$18)))),0)</f>
        <v/>
      </c>
      <c r="O39" s="2">
        <f>IFERROR((SUMPRODUCT(Attributs!$BX$2:$BX$18,Attributs!$AB$2:$AB$18)+SUMPRODUCT(Attributs!$BY$2:$BY$18,Attributs!$AC$2:$AC$18))/((SQRT(SUMSQ(Attributs!$BX$2:$BX$18)+SUMSQ(Attributs!$BY$2:$BY$18)))*(SQRT(SUMSQ(Attributs!$AB$2:$AB$18)+SUMSQ(Attributs!$AC$2:$AC$18)))),0)</f>
        <v/>
      </c>
      <c r="P39" s="2">
        <f>IFERROR((SUMPRODUCT(Attributs!$BX$2:$BX$18,Attributs!$AD$2:$AD$18)+SUMPRODUCT(Attributs!$BY$2:$BY$18,Attributs!$AE$2:$AE$18))/((SQRT(SUMSQ(Attributs!$BX$2:$BX$18)+SUMSQ(Attributs!$BY$2:$BY$18)))*(SQRT(SUMSQ(Attributs!$AD$2:$AD$18)+SUMSQ(Attributs!$AE$2:$AE$18)))),0)</f>
        <v/>
      </c>
      <c r="Q39" s="2">
        <f>IFERROR((SUMPRODUCT(Attributs!$BX$2:$BX$18,Attributs!$AF$2:$AF$18)+SUMPRODUCT(Attributs!$BY$2:$BY$18,Attributs!$AG$2:$AG$18))/((SQRT(SUMSQ(Attributs!$BX$2:$BX$18)+SUMSQ(Attributs!$BY$2:$BY$18)))*(SQRT(SUMSQ(Attributs!$AF$2:$AF$18)+SUMSQ(Attributs!$AG$2:$AG$18)))),0)</f>
        <v/>
      </c>
      <c r="R39" s="2">
        <f>IFERROR((SUMPRODUCT(Attributs!$BX$2:$BX$18,Attributs!$AH$2:$AH$18)+SUMPRODUCT(Attributs!$BY$2:$BY$18,Attributs!$AI$2:$AI$18))/((SQRT(SUMSQ(Attributs!$BX$2:$BX$18)+SUMSQ(Attributs!$BY$2:$BY$18)))*(SQRT(SUMSQ(Attributs!$AH$2:$AH$18)+SUMSQ(Attributs!$AI$2:$AI$18)))),0)</f>
        <v/>
      </c>
      <c r="S39" s="2">
        <f>IFERROR((SUMPRODUCT(Attributs!$BX$2:$BX$18,Attributs!$AJ$2:$AJ$18)+SUMPRODUCT(Attributs!$BY$2:$BY$18,Attributs!$AK$2:$AK$18))/((SQRT(SUMSQ(Attributs!$BX$2:$BX$18)+SUMSQ(Attributs!$BY$2:$BY$18)))*(SQRT(SUMSQ(Attributs!$AJ$2:$AJ$18)+SUMSQ(Attributs!$AK$2:$AK$18)))),0)</f>
        <v/>
      </c>
      <c r="T39" s="2">
        <f>IFERROR((SUMPRODUCT(Attributs!$BX$2:$BX$18,Attributs!$AL$2:$AL$18)+SUMPRODUCT(Attributs!$BY$2:$BY$18,Attributs!$AM$2:$AM$18))/((SQRT(SUMSQ(Attributs!$BX$2:$BX$18)+SUMSQ(Attributs!$BY$2:$BY$18)))*(SQRT(SUMSQ(Attributs!$AL$2:$AL$18)+SUMSQ(Attributs!$AM$2:$AM$18)))),0)</f>
        <v/>
      </c>
      <c r="U39" s="2">
        <f>IFERROR((SUMPRODUCT(Attributs!$BX$2:$BX$18,Attributs!$AN$2:$AN$18)+SUMPRODUCT(Attributs!$BY$2:$BY$18,Attributs!$AO$2:$AO$18))/((SQRT(SUMSQ(Attributs!$BX$2:$BX$18)+SUMSQ(Attributs!$BY$2:$BY$18)))*(SQRT(SUMSQ(Attributs!$AN$2:$AN$18)+SUMSQ(Attributs!$AO$2:$AO$18)))),0)</f>
        <v/>
      </c>
      <c r="V39" s="2">
        <f>IFERROR((SUMPRODUCT(Attributs!$BX$2:$BX$18,Attributs!$AP$2:$AP$18)+SUMPRODUCT(Attributs!$BY$2:$BY$18,Attributs!$AQ$2:$AQ$18))/((SQRT(SUMSQ(Attributs!$BX$2:$BX$18)+SUMSQ(Attributs!$BY$2:$BY$18)))*(SQRT(SUMSQ(Attributs!$AP$2:$AP$18)+SUMSQ(Attributs!$AQ$2:$AQ$18)))),0)</f>
        <v/>
      </c>
      <c r="W39" s="2">
        <f>IFERROR((SUMPRODUCT(Attributs!$BX$2:$BX$18,Attributs!$AR$2:$AR$18)+SUMPRODUCT(Attributs!$BY$2:$BY$18,Attributs!$AS$2:$AS$18))/((SQRT(SUMSQ(Attributs!$BX$2:$BX$18)+SUMSQ(Attributs!$BY$2:$BY$18)))*(SQRT(SUMSQ(Attributs!$AR$2:$AR$18)+SUMSQ(Attributs!$AS$2:$AS$18)))),0)</f>
        <v/>
      </c>
      <c r="X39" s="2">
        <f>IFERROR((SUMPRODUCT(Attributs!$BX$2:$BX$18,Attributs!$AT$2:$AT$18)+SUMPRODUCT(Attributs!$BY$2:$BY$18,Attributs!$AU$2:$AU$18))/((SQRT(SUMSQ(Attributs!$BX$2:$BX$18)+SUMSQ(Attributs!$BY$2:$BY$18)))*(SQRT(SUMSQ(Attributs!$AT$2:$AT$18)+SUMSQ(Attributs!$AU$2:$AU$18)))),0)</f>
        <v/>
      </c>
      <c r="Y39" s="2">
        <f>IFERROR((SUMPRODUCT(Attributs!$BX$2:$BX$18,Attributs!$AV$2:$AV$18)+SUMPRODUCT(Attributs!$BY$2:$BY$18,Attributs!$AW$2:$AW$18))/((SQRT(SUMSQ(Attributs!$BX$2:$BX$18)+SUMSQ(Attributs!$BY$2:$BY$18)))*(SQRT(SUMSQ(Attributs!$AV$2:$AV$18)+SUMSQ(Attributs!$AW$2:$AW$18)))),0)</f>
        <v/>
      </c>
      <c r="Z39" s="2">
        <f>IFERROR((SUMPRODUCT(Attributs!$BX$2:$BX$18,Attributs!$AX$2:$AX$18)+SUMPRODUCT(Attributs!$BY$2:$BY$18,Attributs!$AY$2:$AY$18))/((SQRT(SUMSQ(Attributs!$BX$2:$BX$18)+SUMSQ(Attributs!$BY$2:$BY$18)))*(SQRT(SUMSQ(Attributs!$AX$2:$AX$18)+SUMSQ(Attributs!$AY$2:$AY$18)))),0)</f>
        <v/>
      </c>
      <c r="AA39" s="2">
        <f>IFERROR((SUMPRODUCT(Attributs!$BX$2:$BX$18,Attributs!$AZ$2:$AZ$18)+SUMPRODUCT(Attributs!$BY$2:$BY$18,Attributs!$BA$2:$BA$18))/((SQRT(SUMSQ(Attributs!$BX$2:$BX$18)+SUMSQ(Attributs!$BY$2:$BY$18)))*(SQRT(SUMSQ(Attributs!$AZ$2:$AZ$18)+SUMSQ(Attributs!$BA$2:$BA$18)))),0)</f>
        <v/>
      </c>
      <c r="AB39" s="2">
        <f>IFERROR((SUMPRODUCT(Attributs!$BX$2:$BX$18,Attributs!$BB$2:$BB$18)+SUMPRODUCT(Attributs!$BY$2:$BY$18,Attributs!$BC$2:$BC$18))/((SQRT(SUMSQ(Attributs!$BX$2:$BX$18)+SUMSQ(Attributs!$BY$2:$BY$18)))*(SQRT(SUMSQ(Attributs!$BB$2:$BB$18)+SUMSQ(Attributs!$BC$2:$BC$18)))),0)</f>
        <v/>
      </c>
      <c r="AC39" s="2">
        <f>IFERROR((SUMPRODUCT(Attributs!$BX$2:$BX$18,Attributs!$BD$2:$BD$18)+SUMPRODUCT(Attributs!$BY$2:$BY$18,Attributs!$BE$2:$BE$18))/((SQRT(SUMSQ(Attributs!$BX$2:$BX$18)+SUMSQ(Attributs!$BY$2:$BY$18)))*(SQRT(SUMSQ(Attributs!$BD$2:$BD$18)+SUMSQ(Attributs!$BE$2:$BE$18)))),0)</f>
        <v/>
      </c>
      <c r="AD39" s="2">
        <f>IFERROR((SUMPRODUCT(Attributs!$BX$2:$BX$18,Attributs!$BF$2:$BF$18)+SUMPRODUCT(Attributs!$BY$2:$BY$18,Attributs!$BG$2:$BG$18))/((SQRT(SUMSQ(Attributs!$BX$2:$BX$18)+SUMSQ(Attributs!$BY$2:$BY$18)))*(SQRT(SUMSQ(Attributs!$BF$2:$BF$18)+SUMSQ(Attributs!$BG$2:$BG$18)))),0)</f>
        <v/>
      </c>
      <c r="AE39" s="2">
        <f>IFERROR((SUMPRODUCT(Attributs!$BX$2:$BX$18,Attributs!$BH$2:$BH$18)+SUMPRODUCT(Attributs!$BY$2:$BY$18,Attributs!$BI$2:$BI$18))/((SQRT(SUMSQ(Attributs!$BX$2:$BX$18)+SUMSQ(Attributs!$BY$2:$BY$18)))*(SQRT(SUMSQ(Attributs!$BH$2:$BH$18)+SUMSQ(Attributs!$BI$2:$BI$18)))),0)</f>
        <v/>
      </c>
      <c r="AF39" s="2">
        <f>IFERROR((SUMPRODUCT(Attributs!$BX$2:$BX$18,Attributs!$BJ$2:$BJ$18)+SUMPRODUCT(Attributs!$BY$2:$BY$18,Attributs!$BK$2:$BK$18))/((SQRT(SUMSQ(Attributs!$BX$2:$BX$18)+SUMSQ(Attributs!$BY$2:$BY$18)))*(SQRT(SUMSQ(Attributs!$BJ$2:$BJ$18)+SUMSQ(Attributs!$BK$2:$BK$18)))),0)</f>
        <v/>
      </c>
      <c r="AG39" s="2">
        <f>IFERROR((SUMPRODUCT(Attributs!$BX$2:$BX$18,Attributs!$BL$2:$BL$18)+SUMPRODUCT(Attributs!$BY$2:$BY$18,Attributs!$BM$2:$BM$18))/((SQRT(SUMSQ(Attributs!$BX$2:$BX$18)+SUMSQ(Attributs!$BY$2:$BY$18)))*(SQRT(SUMSQ(Attributs!$BL$2:$BL$18)+SUMSQ(Attributs!$BM$2:$BM$18)))),0)</f>
        <v/>
      </c>
      <c r="AH39" s="2">
        <f>IFERROR((SUMPRODUCT(Attributs!$BX$2:$BX$18,Attributs!$BN$2:$BN$18)+SUMPRODUCT(Attributs!$BY$2:$BY$18,Attributs!$BO$2:$BO$18))/((SQRT(SUMSQ(Attributs!$BX$2:$BX$18)+SUMSQ(Attributs!$BY$2:$BY$18)))*(SQRT(SUMSQ(Attributs!$BN$2:$BN$18)+SUMSQ(Attributs!$BO$2:$BO$18)))),0)</f>
        <v/>
      </c>
      <c r="AI39" s="2">
        <f>IFERROR((SUMPRODUCT(Attributs!$BX$2:$BX$18,Attributs!$BP$2:$BP$18)+SUMPRODUCT(Attributs!$BY$2:$BY$18,Attributs!$BQ$2:$BQ$18))/((SQRT(SUMSQ(Attributs!$BX$2:$BX$18)+SUMSQ(Attributs!$BY$2:$BY$18)))*(SQRT(SUMSQ(Attributs!$BP$2:$BP$18)+SUMSQ(Attributs!$BQ$2:$BQ$18)))),0)</f>
        <v/>
      </c>
      <c r="AJ39" s="2">
        <f>IFERROR((SUMPRODUCT(Attributs!$BX$2:$BX$18,Attributs!$BR$2:$BR$18)+SUMPRODUCT(Attributs!$BY$2:$BY$18,Attributs!$BS$2:$BS$18))/((SQRT(SUMSQ(Attributs!$BX$2:$BX$18)+SUMSQ(Attributs!$BY$2:$BY$18)))*(SQRT(SUMSQ(Attributs!$BR$2:$BR$18)+SUMSQ(Attributs!$BS$2:$BS$18)))),0)</f>
        <v/>
      </c>
      <c r="AK39" s="2">
        <f>IFERROR((SUMPRODUCT(Attributs!$BX$2:$BX$18,Attributs!$BT$2:$BT$18)+SUMPRODUCT(Attributs!$BY$2:$BY$18,Attributs!$BU$2:$BU$18))/((SQRT(SUMSQ(Attributs!$BX$2:$BX$18)+SUMSQ(Attributs!$BY$2:$BY$18)))*(SQRT(SUMSQ(Attributs!$BT$2:$BT$18)+SUMSQ(Attributs!$BU$2:$BU$18)))),0)</f>
        <v/>
      </c>
      <c r="AL39" s="2">
        <f>IFERROR((SUMPRODUCT(Attributs!$BX$2:$BX$18,Attributs!$BV$2:$BV$18)+SUMPRODUCT(Attributs!$BY$2:$BY$18,Attributs!$BW$2:$BW$18))/((SQRT(SUMSQ(Attributs!$BX$2:$BX$18)+SUMSQ(Attributs!$BY$2:$BY$18)))*(SQRT(SUMSQ(Attributs!$BV$2:$BV$18)+SUMSQ(Attributs!$BW$2:$BW$18)))),0)</f>
        <v/>
      </c>
      <c r="AM39" s="2">
        <f>IFERROR((SUMPRODUCT(Attributs!$BX$2:$BX$18,Attributs!$BX$2:$BX$18)+SUMPRODUCT(Attributs!$BY$2:$BY$18,Attributs!$BY$2:$BY$18))/((SQRT(SUMSQ(Attributs!$BX$2:$BX$18)+SUMSQ(Attributs!$BY$2:$BY$18)))*(SQRT(SUMSQ(Attributs!$BX$2:$BX$18)+SUMSQ(Attributs!$BY$2:$BY$18)))),0)</f>
        <v/>
      </c>
      <c r="AN39" s="2">
        <f>IFERROR((SUMPRODUCT(Attributs!$BX$2:$BX$18,Attributs!$BZ$2:$BZ$18)+SUMPRODUCT(Attributs!$BY$2:$BY$18,Attributs!$CA$2:$CA$18))/((SQRT(SUMSQ(Attributs!$BX$2:$BX$18)+SUMSQ(Attributs!$BY$2:$BY$18)))*(SQRT(SUMSQ(Attributs!$BZ$2:$BZ$18)+SUMSQ(Attributs!$CA$2:$CA$18)))),0)</f>
        <v/>
      </c>
      <c r="AO39" s="2">
        <f>IFERROR((SUMPRODUCT(Attributs!$BX$2:$BX$18,Attributs!$CB$2:$CB$18)+SUMPRODUCT(Attributs!$BY$2:$BY$18,Attributs!$CC$2:$CC$18))/((SQRT(SUMSQ(Attributs!$BX$2:$BX$18)+SUMSQ(Attributs!$BY$2:$BY$18)))*(SQRT(SUMSQ(Attributs!$CB$2:$CB$18)+SUMSQ(Attributs!$CC$2:$CC$18)))),0)</f>
        <v/>
      </c>
      <c r="AP39" s="2">
        <f>IFERROR((SUMPRODUCT(Attributs!$BX$2:$BX$18,Attributs!$CD$2:$CD$18)+SUMPRODUCT(Attributs!$BY$2:$BY$18,Attributs!$CE$2:$CE$18))/((SQRT(SUMSQ(Attributs!$BX$2:$BX$18)+SUMSQ(Attributs!$BY$2:$BY$18)))*(SQRT(SUMSQ(Attributs!$CD$2:$CD$18)+SUMSQ(Attributs!$CE$2:$CE$18)))),0)</f>
        <v/>
      </c>
      <c r="AQ39" s="2">
        <f>IFERROR((SUMPRODUCT(Attributs!$BX$2:$BX$18,Attributs!$CF$2:$CF$18)+SUMPRODUCT(Attributs!$BY$2:$BY$18,Attributs!$CG$2:$CG$18))/((SQRT(SUMSQ(Attributs!$BX$2:$BX$18)+SUMSQ(Attributs!$BY$2:$BY$18)))*(SQRT(SUMSQ(Attributs!$CF$2:$CF$18)+SUMSQ(Attributs!$CG$2:$CG$18)))),0)</f>
        <v/>
      </c>
      <c r="AR39" s="2">
        <f>IFERROR((SUMPRODUCT(Attributs!$BX$2:$BX$18,Attributs!$CH$2:$CH$18)+SUMPRODUCT(Attributs!$BY$2:$BY$18,Attributs!$CI$2:$CI$18))/((SQRT(SUMSQ(Attributs!$BX$2:$BX$18)+SUMSQ(Attributs!$BY$2:$BY$18)))*(SQRT(SUMSQ(Attributs!$CH$2:$CH$18)+SUMSQ(Attributs!$CI$2:$CI$18)))),0)</f>
        <v/>
      </c>
      <c r="AS39" s="2">
        <f>IFERROR((SUMPRODUCT(Attributs!$BX$2:$BX$18,Attributs!$CJ$2:$CJ$18)+SUMPRODUCT(Attributs!$BY$2:$BY$18,Attributs!$CK$2:$CK$18))/((SQRT(SUMSQ(Attributs!$BX$2:$BX$18)+SUMSQ(Attributs!$BY$2:$BY$18)))*(SQRT(SUMSQ(Attributs!$CJ$2:$CJ$18)+SUMSQ(Attributs!$CK$2:$CK$18)))),0)</f>
        <v/>
      </c>
      <c r="AT39" s="2">
        <f>IFERROR((SUMPRODUCT(Attributs!$BX$2:$BX$18,Attributs!$CL$2:$CL$18)+SUMPRODUCT(Attributs!$BY$2:$BY$18,Attributs!$CM$2:$CM$18))/((SQRT(SUMSQ(Attributs!$BX$2:$BX$18)+SUMSQ(Attributs!$BY$2:$BY$18)))*(SQRT(SUMSQ(Attributs!$CL$2:$CL$18)+SUMSQ(Attributs!$CM$2:$CM$18)))),0)</f>
        <v/>
      </c>
      <c r="AU39" s="2">
        <f>IFERROR((SUMPRODUCT(Attributs!$BX$2:$BX$18,Attributs!$CN$2:$CN$18)+SUMPRODUCT(Attributs!$BY$2:$BY$18,Attributs!$CO$2:$CO$18))/((SQRT(SUMSQ(Attributs!$BX$2:$BX$18)+SUMSQ(Attributs!$BY$2:$BY$18)))*(SQRT(SUMSQ(Attributs!$CN$2:$CN$18)+SUMSQ(Attributs!$CO$2:$CO$18)))),0)</f>
        <v/>
      </c>
      <c r="AV39" s="2">
        <f>IFERROR((SUMPRODUCT(Attributs!$BX$2:$BX$18,Attributs!$CP$2:$CP$18)+SUMPRODUCT(Attributs!$BY$2:$BY$18,Attributs!$CQ$2:$CQ$18))/((SQRT(SUMSQ(Attributs!$BX$2:$BX$18)+SUMSQ(Attributs!$BY$2:$BY$18)))*(SQRT(SUMSQ(Attributs!$CP$2:$CP$18)+SUMSQ(Attributs!$CQ$2:$CQ$18)))),0)</f>
        <v/>
      </c>
      <c r="AW39" s="2">
        <f>IFERROR((SUMPRODUCT(Attributs!$BX$2:$BX$18,Attributs!$CR$2:$CR$18)+SUMPRODUCT(Attributs!$BY$2:$BY$18,Attributs!$CS$2:$CS$18))/((SQRT(SUMSQ(Attributs!$BX$2:$BX$18)+SUMSQ(Attributs!$BY$2:$BY$18)))*(SQRT(SUMSQ(Attributs!$CR$2:$CR$18)+SUMSQ(Attributs!$CS$2:$CS$18)))),0)</f>
        <v/>
      </c>
      <c r="AX39" s="2">
        <f>IFERROR((SUMPRODUCT(Attributs!$BX$2:$BX$18,Attributs!$CT$2:$CT$18)+SUMPRODUCT(Attributs!$BY$2:$BY$18,Attributs!$CU$2:$CU$18))/((SQRT(SUMSQ(Attributs!$BX$2:$BX$18)+SUMSQ(Attributs!$BY$2:$BY$18)))*(SQRT(SUMSQ(Attributs!$CT$2:$CT$18)+SUMSQ(Attributs!$CU$2:$CU$18)))),0)</f>
        <v/>
      </c>
      <c r="AY39" s="2">
        <f>IFERROR((SUMPRODUCT(Attributs!$BX$2:$BX$18,Attributs!$CV$2:$CV$18)+SUMPRODUCT(Attributs!$BY$2:$BY$18,Attributs!$CW$2:$CW$18))/((SQRT(SUMSQ(Attributs!$BX$2:$BX$18)+SUMSQ(Attributs!$BY$2:$BY$18)))*(SQRT(SUMSQ(Attributs!$CV$2:$CV$18)+SUMSQ(Attributs!$CW$2:$CW$18)))),0)</f>
        <v/>
      </c>
      <c r="AZ39" s="2">
        <f>IFERROR((SUMPRODUCT(Attributs!$BX$2:$BX$18,Attributs!$CX$2:$CX$18)+SUMPRODUCT(Attributs!$BY$2:$BY$18,Attributs!$CY$2:$CY$18))/((SQRT(SUMSQ(Attributs!$BX$2:$BX$18)+SUMSQ(Attributs!$BY$2:$BY$18)))*(SQRT(SUMSQ(Attributs!$CX$2:$CX$18)+SUMSQ(Attributs!$CY$2:$CY$18)))),0)</f>
        <v/>
      </c>
      <c r="BA39" s="2">
        <f>IFERROR((SUMPRODUCT(Attributs!$BX$2:$BX$18,Attributs!$CZ$2:$CZ$18)+SUMPRODUCT(Attributs!$BY$2:$BY$18,Attributs!$DA$2:$DA$18))/((SQRT(SUMSQ(Attributs!$BX$2:$BX$18)+SUMSQ(Attributs!$BY$2:$BY$18)))*(SQRT(SUMSQ(Attributs!$CZ$2:$CZ$18)+SUMSQ(Attributs!$DA$2:$DA$18)))),0)</f>
        <v/>
      </c>
      <c r="BB39" s="2">
        <f>IFERROR((SUMPRODUCT(Attributs!$BX$2:$BX$18,Attributs!$DB$2:$DB$18)+SUMPRODUCT(Attributs!$BY$2:$BY$18,Attributs!$DC$2:$DC$18))/((SQRT(SUMSQ(Attributs!$BX$2:$BX$18)+SUMSQ(Attributs!$BY$2:$BY$18)))*(SQRT(SUMSQ(Attributs!$DB$2:$DB$18)+SUMSQ(Attributs!$DC$2:$DC$18)))),0)</f>
        <v/>
      </c>
      <c r="BC39" s="2">
        <f>IFERROR((SUMPRODUCT(Attributs!$BX$2:$BX$18,Attributs!$DD$2:$DD$18)+SUMPRODUCT(Attributs!$BY$2:$BY$18,Attributs!$DE$2:$DE$18))/((SQRT(SUMSQ(Attributs!$BX$2:$BX$18)+SUMSQ(Attributs!$BY$2:$BY$18)))*(SQRT(SUMSQ(Attributs!$DD$2:$DD$18)+SUMSQ(Attributs!$DE$2:$DE$18)))),0)</f>
        <v/>
      </c>
      <c r="BD39" s="2">
        <f>IFERROR((SUMPRODUCT(Attributs!$BX$2:$BX$18,Attributs!$DF$2:$DF$18)+SUMPRODUCT(Attributs!$BY$2:$BY$18,Attributs!$DG$2:$DG$18))/((SQRT(SUMSQ(Attributs!$BX$2:$BX$18)+SUMSQ(Attributs!$BY$2:$BY$18)))*(SQRT(SUMSQ(Attributs!$DF$2:$DF$18)+SUMSQ(Attributs!$DG$2:$DG$18)))),0)</f>
        <v/>
      </c>
      <c r="BE39" s="2">
        <f>IFERROR((SUMPRODUCT(Attributs!$BX$2:$BX$18,Attributs!$DH$2:$DH$18)+SUMPRODUCT(Attributs!$BY$2:$BY$18,Attributs!$DI$2:$DI$18))/((SQRT(SUMSQ(Attributs!$BX$2:$BX$18)+SUMSQ(Attributs!$BY$2:$BY$18)))*(SQRT(SUMSQ(Attributs!$DH$2:$DH$18)+SUMSQ(Attributs!$DI$2:$DI$18)))),0)</f>
        <v/>
      </c>
      <c r="BF39" s="2">
        <f>IFERROR((SUMPRODUCT(Attributs!$BX$2:$BX$18,Attributs!$DJ$2:$DJ$18)+SUMPRODUCT(Attributs!$BY$2:$BY$18,Attributs!$DK$2:$DK$18))/((SQRT(SUMSQ(Attributs!$BX$2:$BX$18)+SUMSQ(Attributs!$BY$2:$BY$18)))*(SQRT(SUMSQ(Attributs!$DJ$2:$DJ$18)+SUMSQ(Attributs!$DK$2:$DK$18)))),0)</f>
        <v/>
      </c>
      <c r="BG39" s="2">
        <f>IFERROR((SUMPRODUCT(Attributs!$BX$2:$BX$18,Attributs!$DL$2:$DL$18)+SUMPRODUCT(Attributs!$BY$2:$BY$18,Attributs!$DM$2:$DM$18))/((SQRT(SUMSQ(Attributs!$BX$2:$BX$18)+SUMSQ(Attributs!$BY$2:$BY$18)))*(SQRT(SUMSQ(Attributs!$DL$2:$DL$18)+SUMSQ(Attributs!$DM$2:$DM$18)))),0)</f>
        <v/>
      </c>
      <c r="BH39" s="2">
        <f>IFERROR((SUMPRODUCT(Attributs!$BX$2:$BX$18,Attributs!$DN$2:$DN$18)+SUMPRODUCT(Attributs!$BY$2:$BY$18,Attributs!$DO$2:$DO$18))/((SQRT(SUMSQ(Attributs!$BX$2:$BX$18)+SUMSQ(Attributs!$BY$2:$BY$18)))*(SQRT(SUMSQ(Attributs!$DN$2:$DN$18)+SUMSQ(Attributs!$DO$2:$DO$18)))),0)</f>
        <v/>
      </c>
      <c r="BI39" s="2">
        <f>IFERROR((SUMPRODUCT(Attributs!$BX$2:$BX$18,Attributs!$DP$2:$DP$18)+SUMPRODUCT(Attributs!$BY$2:$BY$18,Attributs!$DQ$2:$DQ$18))/((SQRT(SUMSQ(Attributs!$BX$2:$BX$18)+SUMSQ(Attributs!$BY$2:$BY$18)))*(SQRT(SUMSQ(Attributs!$DP$2:$DP$18)+SUMSQ(Attributs!$DQ$2:$DQ$18)))),0)</f>
        <v/>
      </c>
      <c r="BJ39" s="2">
        <f>IFERROR((SUMPRODUCT(Attributs!$BX$2:$BX$18,Attributs!$DR$2:$DR$18)+SUMPRODUCT(Attributs!$BY$2:$BY$18,Attributs!$DS$2:$DS$18))/((SQRT(SUMSQ(Attributs!$BX$2:$BX$18)+SUMSQ(Attributs!$BY$2:$BY$18)))*(SQRT(SUMSQ(Attributs!$DR$2:$DR$18)+SUMSQ(Attributs!$DS$2:$DS$18)))),0)</f>
        <v/>
      </c>
      <c r="BK39" s="2">
        <f>IFERROR((SUMPRODUCT(Attributs!$BX$2:$BX$18,Attributs!$DT$2:$DT$18)+SUMPRODUCT(Attributs!$BY$2:$BY$18,Attributs!$DU$2:$DU$18))/((SQRT(SUMSQ(Attributs!$BX$2:$BX$18)+SUMSQ(Attributs!$BY$2:$BY$18)))*(SQRT(SUMSQ(Attributs!$DT$2:$DT$18)+SUMSQ(Attributs!$DU$2:$DU$18)))),0)</f>
        <v/>
      </c>
      <c r="BL39" s="2">
        <f>IFERROR((SUMPRODUCT(Attributs!$BX$2:$BX$18,Attributs!$DV$2:$DV$18)+SUMPRODUCT(Attributs!$BY$2:$BY$18,Attributs!$DW$2:$DW$18))/((SQRT(SUMSQ(Attributs!$BX$2:$BX$18)+SUMSQ(Attributs!$BY$2:$BY$18)))*(SQRT(SUMSQ(Attributs!$DV$2:$DV$18)+SUMSQ(Attributs!$DW$2:$DW$18)))),0)</f>
        <v/>
      </c>
    </row>
    <row r="40">
      <c r="A40" s="3" t="inlineStr">
        <is>
          <t>SE_mongodb.Comments.UserId</t>
        </is>
      </c>
      <c r="B40" s="2">
        <f>IFERROR((SUMPRODUCT(Attributs!$BZ$2:$BZ$18,Attributs!$B$2:$B$18)+SUMPRODUCT(Attributs!$CA$2:$CA$18,Attributs!$C$2:$C$18))/((SQRT(SUMSQ(Attributs!$BZ$2:$BZ$18)+SUMSQ(Attributs!$CA$2:$CA$18)))*(SQRT(SUMSQ(Attributs!$B$2:$B$18)+SUMSQ(Attributs!$C$2:$C$18)))),0)</f>
        <v/>
      </c>
      <c r="C40" s="2">
        <f>IFERROR((SUMPRODUCT(Attributs!$BZ$2:$BZ$18,Attributs!$D$2:$D$18)+SUMPRODUCT(Attributs!$CA$2:$CA$18,Attributs!$E$2:$E$18))/((SQRT(SUMSQ(Attributs!$BZ$2:$BZ$18)+SUMSQ(Attributs!$CA$2:$CA$18)))*(SQRT(SUMSQ(Attributs!$D$2:$D$18)+SUMSQ(Attributs!$E$2:$E$18)))),0)</f>
        <v/>
      </c>
      <c r="D40" s="2">
        <f>IFERROR((SUMPRODUCT(Attributs!$BZ$2:$BZ$18,Attributs!$F$2:$F$18)+SUMPRODUCT(Attributs!$CA$2:$CA$18,Attributs!$G$2:$G$18))/((SQRT(SUMSQ(Attributs!$BZ$2:$BZ$18)+SUMSQ(Attributs!$CA$2:$CA$18)))*(SQRT(SUMSQ(Attributs!$F$2:$F$18)+SUMSQ(Attributs!$G$2:$G$18)))),0)</f>
        <v/>
      </c>
      <c r="E40" s="2">
        <f>IFERROR((SUMPRODUCT(Attributs!$BZ$2:$BZ$18,Attributs!$H$2:$H$18)+SUMPRODUCT(Attributs!$CA$2:$CA$18,Attributs!$I$2:$I$18))/((SQRT(SUMSQ(Attributs!$BZ$2:$BZ$18)+SUMSQ(Attributs!$CA$2:$CA$18)))*(SQRT(SUMSQ(Attributs!$H$2:$H$18)+SUMSQ(Attributs!$I$2:$I$18)))),0)</f>
        <v/>
      </c>
      <c r="F40" s="2">
        <f>IFERROR((SUMPRODUCT(Attributs!$BZ$2:$BZ$18,Attributs!$J$2:$J$18)+SUMPRODUCT(Attributs!$CA$2:$CA$18,Attributs!$K$2:$K$18))/((SQRT(SUMSQ(Attributs!$BZ$2:$BZ$18)+SUMSQ(Attributs!$CA$2:$CA$18)))*(SQRT(SUMSQ(Attributs!$J$2:$J$18)+SUMSQ(Attributs!$K$2:$K$18)))),0)</f>
        <v/>
      </c>
      <c r="G40" s="2">
        <f>IFERROR((SUMPRODUCT(Attributs!$BZ$2:$BZ$18,Attributs!$L$2:$L$18)+SUMPRODUCT(Attributs!$CA$2:$CA$18,Attributs!$M$2:$M$18))/((SQRT(SUMSQ(Attributs!$BZ$2:$BZ$18)+SUMSQ(Attributs!$CA$2:$CA$18)))*(SQRT(SUMSQ(Attributs!$L$2:$L$18)+SUMSQ(Attributs!$M$2:$M$18)))),0)</f>
        <v/>
      </c>
      <c r="H40" s="2">
        <f>IFERROR((SUMPRODUCT(Attributs!$BZ$2:$BZ$18,Attributs!$N$2:$N$18)+SUMPRODUCT(Attributs!$CA$2:$CA$18,Attributs!$O$2:$O$18))/((SQRT(SUMSQ(Attributs!$BZ$2:$BZ$18)+SUMSQ(Attributs!$CA$2:$CA$18)))*(SQRT(SUMSQ(Attributs!$N$2:$N$18)+SUMSQ(Attributs!$O$2:$O$18)))),0)</f>
        <v/>
      </c>
      <c r="I40" s="2">
        <f>IFERROR((SUMPRODUCT(Attributs!$BZ$2:$BZ$18,Attributs!$P$2:$P$18)+SUMPRODUCT(Attributs!$CA$2:$CA$18,Attributs!$Q$2:$Q$18))/((SQRT(SUMSQ(Attributs!$BZ$2:$BZ$18)+SUMSQ(Attributs!$CA$2:$CA$18)))*(SQRT(SUMSQ(Attributs!$P$2:$P$18)+SUMSQ(Attributs!$Q$2:$Q$18)))),0)</f>
        <v/>
      </c>
      <c r="J40" s="2">
        <f>IFERROR((SUMPRODUCT(Attributs!$BZ$2:$BZ$18,Attributs!$R$2:$R$18)+SUMPRODUCT(Attributs!$CA$2:$CA$18,Attributs!$S$2:$S$18))/((SQRT(SUMSQ(Attributs!$BZ$2:$BZ$18)+SUMSQ(Attributs!$CA$2:$CA$18)))*(SQRT(SUMSQ(Attributs!$R$2:$R$18)+SUMSQ(Attributs!$S$2:$S$18)))),0)</f>
        <v/>
      </c>
      <c r="K40" s="2">
        <f>IFERROR((SUMPRODUCT(Attributs!$BZ$2:$BZ$18,Attributs!$T$2:$T$18)+SUMPRODUCT(Attributs!$CA$2:$CA$18,Attributs!$U$2:$U$18))/((SQRT(SUMSQ(Attributs!$BZ$2:$BZ$18)+SUMSQ(Attributs!$CA$2:$CA$18)))*(SQRT(SUMSQ(Attributs!$T$2:$T$18)+SUMSQ(Attributs!$U$2:$U$18)))),0)</f>
        <v/>
      </c>
      <c r="L40" s="2">
        <f>IFERROR((SUMPRODUCT(Attributs!$BZ$2:$BZ$18,Attributs!$V$2:$V$18)+SUMPRODUCT(Attributs!$CA$2:$CA$18,Attributs!$W$2:$W$18))/((SQRT(SUMSQ(Attributs!$BZ$2:$BZ$18)+SUMSQ(Attributs!$CA$2:$CA$18)))*(SQRT(SUMSQ(Attributs!$V$2:$V$18)+SUMSQ(Attributs!$W$2:$W$18)))),0)</f>
        <v/>
      </c>
      <c r="M40" s="2">
        <f>IFERROR((SUMPRODUCT(Attributs!$BZ$2:$BZ$18,Attributs!$X$2:$X$18)+SUMPRODUCT(Attributs!$CA$2:$CA$18,Attributs!$Y$2:$Y$18))/((SQRT(SUMSQ(Attributs!$BZ$2:$BZ$18)+SUMSQ(Attributs!$CA$2:$CA$18)))*(SQRT(SUMSQ(Attributs!$X$2:$X$18)+SUMSQ(Attributs!$Y$2:$Y$18)))),0)</f>
        <v/>
      </c>
      <c r="N40" s="2">
        <f>IFERROR((SUMPRODUCT(Attributs!$BZ$2:$BZ$18,Attributs!$Z$2:$Z$18)+SUMPRODUCT(Attributs!$CA$2:$CA$18,Attributs!$AA$2:$AA$18))/((SQRT(SUMSQ(Attributs!$BZ$2:$BZ$18)+SUMSQ(Attributs!$CA$2:$CA$18)))*(SQRT(SUMSQ(Attributs!$Z$2:$Z$18)+SUMSQ(Attributs!$AA$2:$AA$18)))),0)</f>
        <v/>
      </c>
      <c r="O40" s="2">
        <f>IFERROR((SUMPRODUCT(Attributs!$BZ$2:$BZ$18,Attributs!$AB$2:$AB$18)+SUMPRODUCT(Attributs!$CA$2:$CA$18,Attributs!$AC$2:$AC$18))/((SQRT(SUMSQ(Attributs!$BZ$2:$BZ$18)+SUMSQ(Attributs!$CA$2:$CA$18)))*(SQRT(SUMSQ(Attributs!$AB$2:$AB$18)+SUMSQ(Attributs!$AC$2:$AC$18)))),0)</f>
        <v/>
      </c>
      <c r="P40" s="2">
        <f>IFERROR((SUMPRODUCT(Attributs!$BZ$2:$BZ$18,Attributs!$AD$2:$AD$18)+SUMPRODUCT(Attributs!$CA$2:$CA$18,Attributs!$AE$2:$AE$18))/((SQRT(SUMSQ(Attributs!$BZ$2:$BZ$18)+SUMSQ(Attributs!$CA$2:$CA$18)))*(SQRT(SUMSQ(Attributs!$AD$2:$AD$18)+SUMSQ(Attributs!$AE$2:$AE$18)))),0)</f>
        <v/>
      </c>
      <c r="Q40" s="2">
        <f>IFERROR((SUMPRODUCT(Attributs!$BZ$2:$BZ$18,Attributs!$AF$2:$AF$18)+SUMPRODUCT(Attributs!$CA$2:$CA$18,Attributs!$AG$2:$AG$18))/((SQRT(SUMSQ(Attributs!$BZ$2:$BZ$18)+SUMSQ(Attributs!$CA$2:$CA$18)))*(SQRT(SUMSQ(Attributs!$AF$2:$AF$18)+SUMSQ(Attributs!$AG$2:$AG$18)))),0)</f>
        <v/>
      </c>
      <c r="R40" s="2">
        <f>IFERROR((SUMPRODUCT(Attributs!$BZ$2:$BZ$18,Attributs!$AH$2:$AH$18)+SUMPRODUCT(Attributs!$CA$2:$CA$18,Attributs!$AI$2:$AI$18))/((SQRT(SUMSQ(Attributs!$BZ$2:$BZ$18)+SUMSQ(Attributs!$CA$2:$CA$18)))*(SQRT(SUMSQ(Attributs!$AH$2:$AH$18)+SUMSQ(Attributs!$AI$2:$AI$18)))),0)</f>
        <v/>
      </c>
      <c r="S40" s="2">
        <f>IFERROR((SUMPRODUCT(Attributs!$BZ$2:$BZ$18,Attributs!$AJ$2:$AJ$18)+SUMPRODUCT(Attributs!$CA$2:$CA$18,Attributs!$AK$2:$AK$18))/((SQRT(SUMSQ(Attributs!$BZ$2:$BZ$18)+SUMSQ(Attributs!$CA$2:$CA$18)))*(SQRT(SUMSQ(Attributs!$AJ$2:$AJ$18)+SUMSQ(Attributs!$AK$2:$AK$18)))),0)</f>
        <v/>
      </c>
      <c r="T40" s="2">
        <f>IFERROR((SUMPRODUCT(Attributs!$BZ$2:$BZ$18,Attributs!$AL$2:$AL$18)+SUMPRODUCT(Attributs!$CA$2:$CA$18,Attributs!$AM$2:$AM$18))/((SQRT(SUMSQ(Attributs!$BZ$2:$BZ$18)+SUMSQ(Attributs!$CA$2:$CA$18)))*(SQRT(SUMSQ(Attributs!$AL$2:$AL$18)+SUMSQ(Attributs!$AM$2:$AM$18)))),0)</f>
        <v/>
      </c>
      <c r="U40" s="2">
        <f>IFERROR((SUMPRODUCT(Attributs!$BZ$2:$BZ$18,Attributs!$AN$2:$AN$18)+SUMPRODUCT(Attributs!$CA$2:$CA$18,Attributs!$AO$2:$AO$18))/((SQRT(SUMSQ(Attributs!$BZ$2:$BZ$18)+SUMSQ(Attributs!$CA$2:$CA$18)))*(SQRT(SUMSQ(Attributs!$AN$2:$AN$18)+SUMSQ(Attributs!$AO$2:$AO$18)))),0)</f>
        <v/>
      </c>
      <c r="V40" s="2">
        <f>IFERROR((SUMPRODUCT(Attributs!$BZ$2:$BZ$18,Attributs!$AP$2:$AP$18)+SUMPRODUCT(Attributs!$CA$2:$CA$18,Attributs!$AQ$2:$AQ$18))/((SQRT(SUMSQ(Attributs!$BZ$2:$BZ$18)+SUMSQ(Attributs!$CA$2:$CA$18)))*(SQRT(SUMSQ(Attributs!$AP$2:$AP$18)+SUMSQ(Attributs!$AQ$2:$AQ$18)))),0)</f>
        <v/>
      </c>
      <c r="W40" s="2">
        <f>IFERROR((SUMPRODUCT(Attributs!$BZ$2:$BZ$18,Attributs!$AR$2:$AR$18)+SUMPRODUCT(Attributs!$CA$2:$CA$18,Attributs!$AS$2:$AS$18))/((SQRT(SUMSQ(Attributs!$BZ$2:$BZ$18)+SUMSQ(Attributs!$CA$2:$CA$18)))*(SQRT(SUMSQ(Attributs!$AR$2:$AR$18)+SUMSQ(Attributs!$AS$2:$AS$18)))),0)</f>
        <v/>
      </c>
      <c r="X40" s="2">
        <f>IFERROR((SUMPRODUCT(Attributs!$BZ$2:$BZ$18,Attributs!$AT$2:$AT$18)+SUMPRODUCT(Attributs!$CA$2:$CA$18,Attributs!$AU$2:$AU$18))/((SQRT(SUMSQ(Attributs!$BZ$2:$BZ$18)+SUMSQ(Attributs!$CA$2:$CA$18)))*(SQRT(SUMSQ(Attributs!$AT$2:$AT$18)+SUMSQ(Attributs!$AU$2:$AU$18)))),0)</f>
        <v/>
      </c>
      <c r="Y40" s="2">
        <f>IFERROR((SUMPRODUCT(Attributs!$BZ$2:$BZ$18,Attributs!$AV$2:$AV$18)+SUMPRODUCT(Attributs!$CA$2:$CA$18,Attributs!$AW$2:$AW$18))/((SQRT(SUMSQ(Attributs!$BZ$2:$BZ$18)+SUMSQ(Attributs!$CA$2:$CA$18)))*(SQRT(SUMSQ(Attributs!$AV$2:$AV$18)+SUMSQ(Attributs!$AW$2:$AW$18)))),0)</f>
        <v/>
      </c>
      <c r="Z40" s="2">
        <f>IFERROR((SUMPRODUCT(Attributs!$BZ$2:$BZ$18,Attributs!$AX$2:$AX$18)+SUMPRODUCT(Attributs!$CA$2:$CA$18,Attributs!$AY$2:$AY$18))/((SQRT(SUMSQ(Attributs!$BZ$2:$BZ$18)+SUMSQ(Attributs!$CA$2:$CA$18)))*(SQRT(SUMSQ(Attributs!$AX$2:$AX$18)+SUMSQ(Attributs!$AY$2:$AY$18)))),0)</f>
        <v/>
      </c>
      <c r="AA40" s="2">
        <f>IFERROR((SUMPRODUCT(Attributs!$BZ$2:$BZ$18,Attributs!$AZ$2:$AZ$18)+SUMPRODUCT(Attributs!$CA$2:$CA$18,Attributs!$BA$2:$BA$18))/((SQRT(SUMSQ(Attributs!$BZ$2:$BZ$18)+SUMSQ(Attributs!$CA$2:$CA$18)))*(SQRT(SUMSQ(Attributs!$AZ$2:$AZ$18)+SUMSQ(Attributs!$BA$2:$BA$18)))),0)</f>
        <v/>
      </c>
      <c r="AB40" s="2">
        <f>IFERROR((SUMPRODUCT(Attributs!$BZ$2:$BZ$18,Attributs!$BB$2:$BB$18)+SUMPRODUCT(Attributs!$CA$2:$CA$18,Attributs!$BC$2:$BC$18))/((SQRT(SUMSQ(Attributs!$BZ$2:$BZ$18)+SUMSQ(Attributs!$CA$2:$CA$18)))*(SQRT(SUMSQ(Attributs!$BB$2:$BB$18)+SUMSQ(Attributs!$BC$2:$BC$18)))),0)</f>
        <v/>
      </c>
      <c r="AC40" s="2">
        <f>IFERROR((SUMPRODUCT(Attributs!$BZ$2:$BZ$18,Attributs!$BD$2:$BD$18)+SUMPRODUCT(Attributs!$CA$2:$CA$18,Attributs!$BE$2:$BE$18))/((SQRT(SUMSQ(Attributs!$BZ$2:$BZ$18)+SUMSQ(Attributs!$CA$2:$CA$18)))*(SQRT(SUMSQ(Attributs!$BD$2:$BD$18)+SUMSQ(Attributs!$BE$2:$BE$18)))),0)</f>
        <v/>
      </c>
      <c r="AD40" s="2">
        <f>IFERROR((SUMPRODUCT(Attributs!$BZ$2:$BZ$18,Attributs!$BF$2:$BF$18)+SUMPRODUCT(Attributs!$CA$2:$CA$18,Attributs!$BG$2:$BG$18))/((SQRT(SUMSQ(Attributs!$BZ$2:$BZ$18)+SUMSQ(Attributs!$CA$2:$CA$18)))*(SQRT(SUMSQ(Attributs!$BF$2:$BF$18)+SUMSQ(Attributs!$BG$2:$BG$18)))),0)</f>
        <v/>
      </c>
      <c r="AE40" s="2">
        <f>IFERROR((SUMPRODUCT(Attributs!$BZ$2:$BZ$18,Attributs!$BH$2:$BH$18)+SUMPRODUCT(Attributs!$CA$2:$CA$18,Attributs!$BI$2:$BI$18))/((SQRT(SUMSQ(Attributs!$BZ$2:$BZ$18)+SUMSQ(Attributs!$CA$2:$CA$18)))*(SQRT(SUMSQ(Attributs!$BH$2:$BH$18)+SUMSQ(Attributs!$BI$2:$BI$18)))),0)</f>
        <v/>
      </c>
      <c r="AF40" s="2">
        <f>IFERROR((SUMPRODUCT(Attributs!$BZ$2:$BZ$18,Attributs!$BJ$2:$BJ$18)+SUMPRODUCT(Attributs!$CA$2:$CA$18,Attributs!$BK$2:$BK$18))/((SQRT(SUMSQ(Attributs!$BZ$2:$BZ$18)+SUMSQ(Attributs!$CA$2:$CA$18)))*(SQRT(SUMSQ(Attributs!$BJ$2:$BJ$18)+SUMSQ(Attributs!$BK$2:$BK$18)))),0)</f>
        <v/>
      </c>
      <c r="AG40" s="2">
        <f>IFERROR((SUMPRODUCT(Attributs!$BZ$2:$BZ$18,Attributs!$BL$2:$BL$18)+SUMPRODUCT(Attributs!$CA$2:$CA$18,Attributs!$BM$2:$BM$18))/((SQRT(SUMSQ(Attributs!$BZ$2:$BZ$18)+SUMSQ(Attributs!$CA$2:$CA$18)))*(SQRT(SUMSQ(Attributs!$BL$2:$BL$18)+SUMSQ(Attributs!$BM$2:$BM$18)))),0)</f>
        <v/>
      </c>
      <c r="AH40" s="2">
        <f>IFERROR((SUMPRODUCT(Attributs!$BZ$2:$BZ$18,Attributs!$BN$2:$BN$18)+SUMPRODUCT(Attributs!$CA$2:$CA$18,Attributs!$BO$2:$BO$18))/((SQRT(SUMSQ(Attributs!$BZ$2:$BZ$18)+SUMSQ(Attributs!$CA$2:$CA$18)))*(SQRT(SUMSQ(Attributs!$BN$2:$BN$18)+SUMSQ(Attributs!$BO$2:$BO$18)))),0)</f>
        <v/>
      </c>
      <c r="AI40" s="2">
        <f>IFERROR((SUMPRODUCT(Attributs!$BZ$2:$BZ$18,Attributs!$BP$2:$BP$18)+SUMPRODUCT(Attributs!$CA$2:$CA$18,Attributs!$BQ$2:$BQ$18))/((SQRT(SUMSQ(Attributs!$BZ$2:$BZ$18)+SUMSQ(Attributs!$CA$2:$CA$18)))*(SQRT(SUMSQ(Attributs!$BP$2:$BP$18)+SUMSQ(Attributs!$BQ$2:$BQ$18)))),0)</f>
        <v/>
      </c>
      <c r="AJ40" s="2">
        <f>IFERROR((SUMPRODUCT(Attributs!$BZ$2:$BZ$18,Attributs!$BR$2:$BR$18)+SUMPRODUCT(Attributs!$CA$2:$CA$18,Attributs!$BS$2:$BS$18))/((SQRT(SUMSQ(Attributs!$BZ$2:$BZ$18)+SUMSQ(Attributs!$CA$2:$CA$18)))*(SQRT(SUMSQ(Attributs!$BR$2:$BR$18)+SUMSQ(Attributs!$BS$2:$BS$18)))),0)</f>
        <v/>
      </c>
      <c r="AK40" s="2">
        <f>IFERROR((SUMPRODUCT(Attributs!$BZ$2:$BZ$18,Attributs!$BT$2:$BT$18)+SUMPRODUCT(Attributs!$CA$2:$CA$18,Attributs!$BU$2:$BU$18))/((SQRT(SUMSQ(Attributs!$BZ$2:$BZ$18)+SUMSQ(Attributs!$CA$2:$CA$18)))*(SQRT(SUMSQ(Attributs!$BT$2:$BT$18)+SUMSQ(Attributs!$BU$2:$BU$18)))),0)</f>
        <v/>
      </c>
      <c r="AL40" s="2">
        <f>IFERROR((SUMPRODUCT(Attributs!$BZ$2:$BZ$18,Attributs!$BV$2:$BV$18)+SUMPRODUCT(Attributs!$CA$2:$CA$18,Attributs!$BW$2:$BW$18))/((SQRT(SUMSQ(Attributs!$BZ$2:$BZ$18)+SUMSQ(Attributs!$CA$2:$CA$18)))*(SQRT(SUMSQ(Attributs!$BV$2:$BV$18)+SUMSQ(Attributs!$BW$2:$BW$18)))),0)</f>
        <v/>
      </c>
      <c r="AM40" s="2">
        <f>IFERROR((SUMPRODUCT(Attributs!$BZ$2:$BZ$18,Attributs!$BX$2:$BX$18)+SUMPRODUCT(Attributs!$CA$2:$CA$18,Attributs!$BY$2:$BY$18))/((SQRT(SUMSQ(Attributs!$BZ$2:$BZ$18)+SUMSQ(Attributs!$CA$2:$CA$18)))*(SQRT(SUMSQ(Attributs!$BX$2:$BX$18)+SUMSQ(Attributs!$BY$2:$BY$18)))),0)</f>
        <v/>
      </c>
      <c r="AN40" s="2">
        <f>IFERROR((SUMPRODUCT(Attributs!$BZ$2:$BZ$18,Attributs!$BZ$2:$BZ$18)+SUMPRODUCT(Attributs!$CA$2:$CA$18,Attributs!$CA$2:$CA$18))/((SQRT(SUMSQ(Attributs!$BZ$2:$BZ$18)+SUMSQ(Attributs!$CA$2:$CA$18)))*(SQRT(SUMSQ(Attributs!$BZ$2:$BZ$18)+SUMSQ(Attributs!$CA$2:$CA$18)))),0)</f>
        <v/>
      </c>
      <c r="AO40" s="2">
        <f>IFERROR((SUMPRODUCT(Attributs!$BZ$2:$BZ$18,Attributs!$CB$2:$CB$18)+SUMPRODUCT(Attributs!$CA$2:$CA$18,Attributs!$CC$2:$CC$18))/((SQRT(SUMSQ(Attributs!$BZ$2:$BZ$18)+SUMSQ(Attributs!$CA$2:$CA$18)))*(SQRT(SUMSQ(Attributs!$CB$2:$CB$18)+SUMSQ(Attributs!$CC$2:$CC$18)))),0)</f>
        <v/>
      </c>
      <c r="AP40" s="2">
        <f>IFERROR((SUMPRODUCT(Attributs!$BZ$2:$BZ$18,Attributs!$CD$2:$CD$18)+SUMPRODUCT(Attributs!$CA$2:$CA$18,Attributs!$CE$2:$CE$18))/((SQRT(SUMSQ(Attributs!$BZ$2:$BZ$18)+SUMSQ(Attributs!$CA$2:$CA$18)))*(SQRT(SUMSQ(Attributs!$CD$2:$CD$18)+SUMSQ(Attributs!$CE$2:$CE$18)))),0)</f>
        <v/>
      </c>
      <c r="AQ40" s="2">
        <f>IFERROR((SUMPRODUCT(Attributs!$BZ$2:$BZ$18,Attributs!$CF$2:$CF$18)+SUMPRODUCT(Attributs!$CA$2:$CA$18,Attributs!$CG$2:$CG$18))/((SQRT(SUMSQ(Attributs!$BZ$2:$BZ$18)+SUMSQ(Attributs!$CA$2:$CA$18)))*(SQRT(SUMSQ(Attributs!$CF$2:$CF$18)+SUMSQ(Attributs!$CG$2:$CG$18)))),0)</f>
        <v/>
      </c>
      <c r="AR40" s="2">
        <f>IFERROR((SUMPRODUCT(Attributs!$BZ$2:$BZ$18,Attributs!$CH$2:$CH$18)+SUMPRODUCT(Attributs!$CA$2:$CA$18,Attributs!$CI$2:$CI$18))/((SQRT(SUMSQ(Attributs!$BZ$2:$BZ$18)+SUMSQ(Attributs!$CA$2:$CA$18)))*(SQRT(SUMSQ(Attributs!$CH$2:$CH$18)+SUMSQ(Attributs!$CI$2:$CI$18)))),0)</f>
        <v/>
      </c>
      <c r="AS40" s="2">
        <f>IFERROR((SUMPRODUCT(Attributs!$BZ$2:$BZ$18,Attributs!$CJ$2:$CJ$18)+SUMPRODUCT(Attributs!$CA$2:$CA$18,Attributs!$CK$2:$CK$18))/((SQRT(SUMSQ(Attributs!$BZ$2:$BZ$18)+SUMSQ(Attributs!$CA$2:$CA$18)))*(SQRT(SUMSQ(Attributs!$CJ$2:$CJ$18)+SUMSQ(Attributs!$CK$2:$CK$18)))),0)</f>
        <v/>
      </c>
      <c r="AT40" s="2">
        <f>IFERROR((SUMPRODUCT(Attributs!$BZ$2:$BZ$18,Attributs!$CL$2:$CL$18)+SUMPRODUCT(Attributs!$CA$2:$CA$18,Attributs!$CM$2:$CM$18))/((SQRT(SUMSQ(Attributs!$BZ$2:$BZ$18)+SUMSQ(Attributs!$CA$2:$CA$18)))*(SQRT(SUMSQ(Attributs!$CL$2:$CL$18)+SUMSQ(Attributs!$CM$2:$CM$18)))),0)</f>
        <v/>
      </c>
      <c r="AU40" s="2">
        <f>IFERROR((SUMPRODUCT(Attributs!$BZ$2:$BZ$18,Attributs!$CN$2:$CN$18)+SUMPRODUCT(Attributs!$CA$2:$CA$18,Attributs!$CO$2:$CO$18))/((SQRT(SUMSQ(Attributs!$BZ$2:$BZ$18)+SUMSQ(Attributs!$CA$2:$CA$18)))*(SQRT(SUMSQ(Attributs!$CN$2:$CN$18)+SUMSQ(Attributs!$CO$2:$CO$18)))),0)</f>
        <v/>
      </c>
      <c r="AV40" s="2">
        <f>IFERROR((SUMPRODUCT(Attributs!$BZ$2:$BZ$18,Attributs!$CP$2:$CP$18)+SUMPRODUCT(Attributs!$CA$2:$CA$18,Attributs!$CQ$2:$CQ$18))/((SQRT(SUMSQ(Attributs!$BZ$2:$BZ$18)+SUMSQ(Attributs!$CA$2:$CA$18)))*(SQRT(SUMSQ(Attributs!$CP$2:$CP$18)+SUMSQ(Attributs!$CQ$2:$CQ$18)))),0)</f>
        <v/>
      </c>
      <c r="AW40" s="2">
        <f>IFERROR((SUMPRODUCT(Attributs!$BZ$2:$BZ$18,Attributs!$CR$2:$CR$18)+SUMPRODUCT(Attributs!$CA$2:$CA$18,Attributs!$CS$2:$CS$18))/((SQRT(SUMSQ(Attributs!$BZ$2:$BZ$18)+SUMSQ(Attributs!$CA$2:$CA$18)))*(SQRT(SUMSQ(Attributs!$CR$2:$CR$18)+SUMSQ(Attributs!$CS$2:$CS$18)))),0)</f>
        <v/>
      </c>
      <c r="AX40" s="2">
        <f>IFERROR((SUMPRODUCT(Attributs!$BZ$2:$BZ$18,Attributs!$CT$2:$CT$18)+SUMPRODUCT(Attributs!$CA$2:$CA$18,Attributs!$CU$2:$CU$18))/((SQRT(SUMSQ(Attributs!$BZ$2:$BZ$18)+SUMSQ(Attributs!$CA$2:$CA$18)))*(SQRT(SUMSQ(Attributs!$CT$2:$CT$18)+SUMSQ(Attributs!$CU$2:$CU$18)))),0)</f>
        <v/>
      </c>
      <c r="AY40" s="2">
        <f>IFERROR((SUMPRODUCT(Attributs!$BZ$2:$BZ$18,Attributs!$CV$2:$CV$18)+SUMPRODUCT(Attributs!$CA$2:$CA$18,Attributs!$CW$2:$CW$18))/((SQRT(SUMSQ(Attributs!$BZ$2:$BZ$18)+SUMSQ(Attributs!$CA$2:$CA$18)))*(SQRT(SUMSQ(Attributs!$CV$2:$CV$18)+SUMSQ(Attributs!$CW$2:$CW$18)))),0)</f>
        <v/>
      </c>
      <c r="AZ40" s="2">
        <f>IFERROR((SUMPRODUCT(Attributs!$BZ$2:$BZ$18,Attributs!$CX$2:$CX$18)+SUMPRODUCT(Attributs!$CA$2:$CA$18,Attributs!$CY$2:$CY$18))/((SQRT(SUMSQ(Attributs!$BZ$2:$BZ$18)+SUMSQ(Attributs!$CA$2:$CA$18)))*(SQRT(SUMSQ(Attributs!$CX$2:$CX$18)+SUMSQ(Attributs!$CY$2:$CY$18)))),0)</f>
        <v/>
      </c>
      <c r="BA40" s="2">
        <f>IFERROR((SUMPRODUCT(Attributs!$BZ$2:$BZ$18,Attributs!$CZ$2:$CZ$18)+SUMPRODUCT(Attributs!$CA$2:$CA$18,Attributs!$DA$2:$DA$18))/((SQRT(SUMSQ(Attributs!$BZ$2:$BZ$18)+SUMSQ(Attributs!$CA$2:$CA$18)))*(SQRT(SUMSQ(Attributs!$CZ$2:$CZ$18)+SUMSQ(Attributs!$DA$2:$DA$18)))),0)</f>
        <v/>
      </c>
      <c r="BB40" s="2">
        <f>IFERROR((SUMPRODUCT(Attributs!$BZ$2:$BZ$18,Attributs!$DB$2:$DB$18)+SUMPRODUCT(Attributs!$CA$2:$CA$18,Attributs!$DC$2:$DC$18))/((SQRT(SUMSQ(Attributs!$BZ$2:$BZ$18)+SUMSQ(Attributs!$CA$2:$CA$18)))*(SQRT(SUMSQ(Attributs!$DB$2:$DB$18)+SUMSQ(Attributs!$DC$2:$DC$18)))),0)</f>
        <v/>
      </c>
      <c r="BC40" s="2">
        <f>IFERROR((SUMPRODUCT(Attributs!$BZ$2:$BZ$18,Attributs!$DD$2:$DD$18)+SUMPRODUCT(Attributs!$CA$2:$CA$18,Attributs!$DE$2:$DE$18))/((SQRT(SUMSQ(Attributs!$BZ$2:$BZ$18)+SUMSQ(Attributs!$CA$2:$CA$18)))*(SQRT(SUMSQ(Attributs!$DD$2:$DD$18)+SUMSQ(Attributs!$DE$2:$DE$18)))),0)</f>
        <v/>
      </c>
      <c r="BD40" s="2">
        <f>IFERROR((SUMPRODUCT(Attributs!$BZ$2:$BZ$18,Attributs!$DF$2:$DF$18)+SUMPRODUCT(Attributs!$CA$2:$CA$18,Attributs!$DG$2:$DG$18))/((SQRT(SUMSQ(Attributs!$BZ$2:$BZ$18)+SUMSQ(Attributs!$CA$2:$CA$18)))*(SQRT(SUMSQ(Attributs!$DF$2:$DF$18)+SUMSQ(Attributs!$DG$2:$DG$18)))),0)</f>
        <v/>
      </c>
      <c r="BE40" s="2">
        <f>IFERROR((SUMPRODUCT(Attributs!$BZ$2:$BZ$18,Attributs!$DH$2:$DH$18)+SUMPRODUCT(Attributs!$CA$2:$CA$18,Attributs!$DI$2:$DI$18))/((SQRT(SUMSQ(Attributs!$BZ$2:$BZ$18)+SUMSQ(Attributs!$CA$2:$CA$18)))*(SQRT(SUMSQ(Attributs!$DH$2:$DH$18)+SUMSQ(Attributs!$DI$2:$DI$18)))),0)</f>
        <v/>
      </c>
      <c r="BF40" s="2">
        <f>IFERROR((SUMPRODUCT(Attributs!$BZ$2:$BZ$18,Attributs!$DJ$2:$DJ$18)+SUMPRODUCT(Attributs!$CA$2:$CA$18,Attributs!$DK$2:$DK$18))/((SQRT(SUMSQ(Attributs!$BZ$2:$BZ$18)+SUMSQ(Attributs!$CA$2:$CA$18)))*(SQRT(SUMSQ(Attributs!$DJ$2:$DJ$18)+SUMSQ(Attributs!$DK$2:$DK$18)))),0)</f>
        <v/>
      </c>
      <c r="BG40" s="2">
        <f>IFERROR((SUMPRODUCT(Attributs!$BZ$2:$BZ$18,Attributs!$DL$2:$DL$18)+SUMPRODUCT(Attributs!$CA$2:$CA$18,Attributs!$DM$2:$DM$18))/((SQRT(SUMSQ(Attributs!$BZ$2:$BZ$18)+SUMSQ(Attributs!$CA$2:$CA$18)))*(SQRT(SUMSQ(Attributs!$DL$2:$DL$18)+SUMSQ(Attributs!$DM$2:$DM$18)))),0)</f>
        <v/>
      </c>
      <c r="BH40" s="2">
        <f>IFERROR((SUMPRODUCT(Attributs!$BZ$2:$BZ$18,Attributs!$DN$2:$DN$18)+SUMPRODUCT(Attributs!$CA$2:$CA$18,Attributs!$DO$2:$DO$18))/((SQRT(SUMSQ(Attributs!$BZ$2:$BZ$18)+SUMSQ(Attributs!$CA$2:$CA$18)))*(SQRT(SUMSQ(Attributs!$DN$2:$DN$18)+SUMSQ(Attributs!$DO$2:$DO$18)))),0)</f>
        <v/>
      </c>
      <c r="BI40" s="2">
        <f>IFERROR((SUMPRODUCT(Attributs!$BZ$2:$BZ$18,Attributs!$DP$2:$DP$18)+SUMPRODUCT(Attributs!$CA$2:$CA$18,Attributs!$DQ$2:$DQ$18))/((SQRT(SUMSQ(Attributs!$BZ$2:$BZ$18)+SUMSQ(Attributs!$CA$2:$CA$18)))*(SQRT(SUMSQ(Attributs!$DP$2:$DP$18)+SUMSQ(Attributs!$DQ$2:$DQ$18)))),0)</f>
        <v/>
      </c>
      <c r="BJ40" s="2">
        <f>IFERROR((SUMPRODUCT(Attributs!$BZ$2:$BZ$18,Attributs!$DR$2:$DR$18)+SUMPRODUCT(Attributs!$CA$2:$CA$18,Attributs!$DS$2:$DS$18))/((SQRT(SUMSQ(Attributs!$BZ$2:$BZ$18)+SUMSQ(Attributs!$CA$2:$CA$18)))*(SQRT(SUMSQ(Attributs!$DR$2:$DR$18)+SUMSQ(Attributs!$DS$2:$DS$18)))),0)</f>
        <v/>
      </c>
      <c r="BK40" s="2">
        <f>IFERROR((SUMPRODUCT(Attributs!$BZ$2:$BZ$18,Attributs!$DT$2:$DT$18)+SUMPRODUCT(Attributs!$CA$2:$CA$18,Attributs!$DU$2:$DU$18))/((SQRT(SUMSQ(Attributs!$BZ$2:$BZ$18)+SUMSQ(Attributs!$CA$2:$CA$18)))*(SQRT(SUMSQ(Attributs!$DT$2:$DT$18)+SUMSQ(Attributs!$DU$2:$DU$18)))),0)</f>
        <v/>
      </c>
      <c r="BL40" s="2">
        <f>IFERROR((SUMPRODUCT(Attributs!$BZ$2:$BZ$18,Attributs!$DV$2:$DV$18)+SUMPRODUCT(Attributs!$CA$2:$CA$18,Attributs!$DW$2:$DW$18))/((SQRT(SUMSQ(Attributs!$BZ$2:$BZ$18)+SUMSQ(Attributs!$CA$2:$CA$18)))*(SQRT(SUMSQ(Attributs!$DV$2:$DV$18)+SUMSQ(Attributs!$DW$2:$DW$18)))),0)</f>
        <v/>
      </c>
    </row>
    <row r="41">
      <c r="A41" s="3" t="inlineStr">
        <is>
          <t>SE_mongodb.Comments.Text</t>
        </is>
      </c>
      <c r="B41" s="2">
        <f>IFERROR((SUMPRODUCT(Attributs!$CB$2:$CB$18,Attributs!$B$2:$B$18)+SUMPRODUCT(Attributs!$CC$2:$CC$18,Attributs!$C$2:$C$18))/((SQRT(SUMSQ(Attributs!$CB$2:$CB$18)+SUMSQ(Attributs!$CC$2:$CC$18)))*(SQRT(SUMSQ(Attributs!$B$2:$B$18)+SUMSQ(Attributs!$C$2:$C$18)))),0)</f>
        <v/>
      </c>
      <c r="C41" s="2">
        <f>IFERROR((SUMPRODUCT(Attributs!$CB$2:$CB$18,Attributs!$D$2:$D$18)+SUMPRODUCT(Attributs!$CC$2:$CC$18,Attributs!$E$2:$E$18))/((SQRT(SUMSQ(Attributs!$CB$2:$CB$18)+SUMSQ(Attributs!$CC$2:$CC$18)))*(SQRT(SUMSQ(Attributs!$D$2:$D$18)+SUMSQ(Attributs!$E$2:$E$18)))),0)</f>
        <v/>
      </c>
      <c r="D41" s="2">
        <f>IFERROR((SUMPRODUCT(Attributs!$CB$2:$CB$18,Attributs!$F$2:$F$18)+SUMPRODUCT(Attributs!$CC$2:$CC$18,Attributs!$G$2:$G$18))/((SQRT(SUMSQ(Attributs!$CB$2:$CB$18)+SUMSQ(Attributs!$CC$2:$CC$18)))*(SQRT(SUMSQ(Attributs!$F$2:$F$18)+SUMSQ(Attributs!$G$2:$G$18)))),0)</f>
        <v/>
      </c>
      <c r="E41" s="2">
        <f>IFERROR((SUMPRODUCT(Attributs!$CB$2:$CB$18,Attributs!$H$2:$H$18)+SUMPRODUCT(Attributs!$CC$2:$CC$18,Attributs!$I$2:$I$18))/((SQRT(SUMSQ(Attributs!$CB$2:$CB$18)+SUMSQ(Attributs!$CC$2:$CC$18)))*(SQRT(SUMSQ(Attributs!$H$2:$H$18)+SUMSQ(Attributs!$I$2:$I$18)))),0)</f>
        <v/>
      </c>
      <c r="F41" s="2">
        <f>IFERROR((SUMPRODUCT(Attributs!$CB$2:$CB$18,Attributs!$J$2:$J$18)+SUMPRODUCT(Attributs!$CC$2:$CC$18,Attributs!$K$2:$K$18))/((SQRT(SUMSQ(Attributs!$CB$2:$CB$18)+SUMSQ(Attributs!$CC$2:$CC$18)))*(SQRT(SUMSQ(Attributs!$J$2:$J$18)+SUMSQ(Attributs!$K$2:$K$18)))),0)</f>
        <v/>
      </c>
      <c r="G41" s="2">
        <f>IFERROR((SUMPRODUCT(Attributs!$CB$2:$CB$18,Attributs!$L$2:$L$18)+SUMPRODUCT(Attributs!$CC$2:$CC$18,Attributs!$M$2:$M$18))/((SQRT(SUMSQ(Attributs!$CB$2:$CB$18)+SUMSQ(Attributs!$CC$2:$CC$18)))*(SQRT(SUMSQ(Attributs!$L$2:$L$18)+SUMSQ(Attributs!$M$2:$M$18)))),0)</f>
        <v/>
      </c>
      <c r="H41" s="2">
        <f>IFERROR((SUMPRODUCT(Attributs!$CB$2:$CB$18,Attributs!$N$2:$N$18)+SUMPRODUCT(Attributs!$CC$2:$CC$18,Attributs!$O$2:$O$18))/((SQRT(SUMSQ(Attributs!$CB$2:$CB$18)+SUMSQ(Attributs!$CC$2:$CC$18)))*(SQRT(SUMSQ(Attributs!$N$2:$N$18)+SUMSQ(Attributs!$O$2:$O$18)))),0)</f>
        <v/>
      </c>
      <c r="I41" s="2">
        <f>IFERROR((SUMPRODUCT(Attributs!$CB$2:$CB$18,Attributs!$P$2:$P$18)+SUMPRODUCT(Attributs!$CC$2:$CC$18,Attributs!$Q$2:$Q$18))/((SQRT(SUMSQ(Attributs!$CB$2:$CB$18)+SUMSQ(Attributs!$CC$2:$CC$18)))*(SQRT(SUMSQ(Attributs!$P$2:$P$18)+SUMSQ(Attributs!$Q$2:$Q$18)))),0)</f>
        <v/>
      </c>
      <c r="J41" s="2">
        <f>IFERROR((SUMPRODUCT(Attributs!$CB$2:$CB$18,Attributs!$R$2:$R$18)+SUMPRODUCT(Attributs!$CC$2:$CC$18,Attributs!$S$2:$S$18))/((SQRT(SUMSQ(Attributs!$CB$2:$CB$18)+SUMSQ(Attributs!$CC$2:$CC$18)))*(SQRT(SUMSQ(Attributs!$R$2:$R$18)+SUMSQ(Attributs!$S$2:$S$18)))),0)</f>
        <v/>
      </c>
      <c r="K41" s="2">
        <f>IFERROR((SUMPRODUCT(Attributs!$CB$2:$CB$18,Attributs!$T$2:$T$18)+SUMPRODUCT(Attributs!$CC$2:$CC$18,Attributs!$U$2:$U$18))/((SQRT(SUMSQ(Attributs!$CB$2:$CB$18)+SUMSQ(Attributs!$CC$2:$CC$18)))*(SQRT(SUMSQ(Attributs!$T$2:$T$18)+SUMSQ(Attributs!$U$2:$U$18)))),0)</f>
        <v/>
      </c>
      <c r="L41" s="2">
        <f>IFERROR((SUMPRODUCT(Attributs!$CB$2:$CB$18,Attributs!$V$2:$V$18)+SUMPRODUCT(Attributs!$CC$2:$CC$18,Attributs!$W$2:$W$18))/((SQRT(SUMSQ(Attributs!$CB$2:$CB$18)+SUMSQ(Attributs!$CC$2:$CC$18)))*(SQRT(SUMSQ(Attributs!$V$2:$V$18)+SUMSQ(Attributs!$W$2:$W$18)))),0)</f>
        <v/>
      </c>
      <c r="M41" s="2">
        <f>IFERROR((SUMPRODUCT(Attributs!$CB$2:$CB$18,Attributs!$X$2:$X$18)+SUMPRODUCT(Attributs!$CC$2:$CC$18,Attributs!$Y$2:$Y$18))/((SQRT(SUMSQ(Attributs!$CB$2:$CB$18)+SUMSQ(Attributs!$CC$2:$CC$18)))*(SQRT(SUMSQ(Attributs!$X$2:$X$18)+SUMSQ(Attributs!$Y$2:$Y$18)))),0)</f>
        <v/>
      </c>
      <c r="N41" s="2">
        <f>IFERROR((SUMPRODUCT(Attributs!$CB$2:$CB$18,Attributs!$Z$2:$Z$18)+SUMPRODUCT(Attributs!$CC$2:$CC$18,Attributs!$AA$2:$AA$18))/((SQRT(SUMSQ(Attributs!$CB$2:$CB$18)+SUMSQ(Attributs!$CC$2:$CC$18)))*(SQRT(SUMSQ(Attributs!$Z$2:$Z$18)+SUMSQ(Attributs!$AA$2:$AA$18)))),0)</f>
        <v/>
      </c>
      <c r="O41" s="2">
        <f>IFERROR((SUMPRODUCT(Attributs!$CB$2:$CB$18,Attributs!$AB$2:$AB$18)+SUMPRODUCT(Attributs!$CC$2:$CC$18,Attributs!$AC$2:$AC$18))/((SQRT(SUMSQ(Attributs!$CB$2:$CB$18)+SUMSQ(Attributs!$CC$2:$CC$18)))*(SQRT(SUMSQ(Attributs!$AB$2:$AB$18)+SUMSQ(Attributs!$AC$2:$AC$18)))),0)</f>
        <v/>
      </c>
      <c r="P41" s="2">
        <f>IFERROR((SUMPRODUCT(Attributs!$CB$2:$CB$18,Attributs!$AD$2:$AD$18)+SUMPRODUCT(Attributs!$CC$2:$CC$18,Attributs!$AE$2:$AE$18))/((SQRT(SUMSQ(Attributs!$CB$2:$CB$18)+SUMSQ(Attributs!$CC$2:$CC$18)))*(SQRT(SUMSQ(Attributs!$AD$2:$AD$18)+SUMSQ(Attributs!$AE$2:$AE$18)))),0)</f>
        <v/>
      </c>
      <c r="Q41" s="2">
        <f>IFERROR((SUMPRODUCT(Attributs!$CB$2:$CB$18,Attributs!$AF$2:$AF$18)+SUMPRODUCT(Attributs!$CC$2:$CC$18,Attributs!$AG$2:$AG$18))/((SQRT(SUMSQ(Attributs!$CB$2:$CB$18)+SUMSQ(Attributs!$CC$2:$CC$18)))*(SQRT(SUMSQ(Attributs!$AF$2:$AF$18)+SUMSQ(Attributs!$AG$2:$AG$18)))),0)</f>
        <v/>
      </c>
      <c r="R41" s="2">
        <f>IFERROR((SUMPRODUCT(Attributs!$CB$2:$CB$18,Attributs!$AH$2:$AH$18)+SUMPRODUCT(Attributs!$CC$2:$CC$18,Attributs!$AI$2:$AI$18))/((SQRT(SUMSQ(Attributs!$CB$2:$CB$18)+SUMSQ(Attributs!$CC$2:$CC$18)))*(SQRT(SUMSQ(Attributs!$AH$2:$AH$18)+SUMSQ(Attributs!$AI$2:$AI$18)))),0)</f>
        <v/>
      </c>
      <c r="S41" s="2">
        <f>IFERROR((SUMPRODUCT(Attributs!$CB$2:$CB$18,Attributs!$AJ$2:$AJ$18)+SUMPRODUCT(Attributs!$CC$2:$CC$18,Attributs!$AK$2:$AK$18))/((SQRT(SUMSQ(Attributs!$CB$2:$CB$18)+SUMSQ(Attributs!$CC$2:$CC$18)))*(SQRT(SUMSQ(Attributs!$AJ$2:$AJ$18)+SUMSQ(Attributs!$AK$2:$AK$18)))),0)</f>
        <v/>
      </c>
      <c r="T41" s="2">
        <f>IFERROR((SUMPRODUCT(Attributs!$CB$2:$CB$18,Attributs!$AL$2:$AL$18)+SUMPRODUCT(Attributs!$CC$2:$CC$18,Attributs!$AM$2:$AM$18))/((SQRT(SUMSQ(Attributs!$CB$2:$CB$18)+SUMSQ(Attributs!$CC$2:$CC$18)))*(SQRT(SUMSQ(Attributs!$AL$2:$AL$18)+SUMSQ(Attributs!$AM$2:$AM$18)))),0)</f>
        <v/>
      </c>
      <c r="U41" s="2">
        <f>IFERROR((SUMPRODUCT(Attributs!$CB$2:$CB$18,Attributs!$AN$2:$AN$18)+SUMPRODUCT(Attributs!$CC$2:$CC$18,Attributs!$AO$2:$AO$18))/((SQRT(SUMSQ(Attributs!$CB$2:$CB$18)+SUMSQ(Attributs!$CC$2:$CC$18)))*(SQRT(SUMSQ(Attributs!$AN$2:$AN$18)+SUMSQ(Attributs!$AO$2:$AO$18)))),0)</f>
        <v/>
      </c>
      <c r="V41" s="2">
        <f>IFERROR((SUMPRODUCT(Attributs!$CB$2:$CB$18,Attributs!$AP$2:$AP$18)+SUMPRODUCT(Attributs!$CC$2:$CC$18,Attributs!$AQ$2:$AQ$18))/((SQRT(SUMSQ(Attributs!$CB$2:$CB$18)+SUMSQ(Attributs!$CC$2:$CC$18)))*(SQRT(SUMSQ(Attributs!$AP$2:$AP$18)+SUMSQ(Attributs!$AQ$2:$AQ$18)))),0)</f>
        <v/>
      </c>
      <c r="W41" s="2">
        <f>IFERROR((SUMPRODUCT(Attributs!$CB$2:$CB$18,Attributs!$AR$2:$AR$18)+SUMPRODUCT(Attributs!$CC$2:$CC$18,Attributs!$AS$2:$AS$18))/((SQRT(SUMSQ(Attributs!$CB$2:$CB$18)+SUMSQ(Attributs!$CC$2:$CC$18)))*(SQRT(SUMSQ(Attributs!$AR$2:$AR$18)+SUMSQ(Attributs!$AS$2:$AS$18)))),0)</f>
        <v/>
      </c>
      <c r="X41" s="2">
        <f>IFERROR((SUMPRODUCT(Attributs!$CB$2:$CB$18,Attributs!$AT$2:$AT$18)+SUMPRODUCT(Attributs!$CC$2:$CC$18,Attributs!$AU$2:$AU$18))/((SQRT(SUMSQ(Attributs!$CB$2:$CB$18)+SUMSQ(Attributs!$CC$2:$CC$18)))*(SQRT(SUMSQ(Attributs!$AT$2:$AT$18)+SUMSQ(Attributs!$AU$2:$AU$18)))),0)</f>
        <v/>
      </c>
      <c r="Y41" s="2">
        <f>IFERROR((SUMPRODUCT(Attributs!$CB$2:$CB$18,Attributs!$AV$2:$AV$18)+SUMPRODUCT(Attributs!$CC$2:$CC$18,Attributs!$AW$2:$AW$18))/((SQRT(SUMSQ(Attributs!$CB$2:$CB$18)+SUMSQ(Attributs!$CC$2:$CC$18)))*(SQRT(SUMSQ(Attributs!$AV$2:$AV$18)+SUMSQ(Attributs!$AW$2:$AW$18)))),0)</f>
        <v/>
      </c>
      <c r="Z41" s="2">
        <f>IFERROR((SUMPRODUCT(Attributs!$CB$2:$CB$18,Attributs!$AX$2:$AX$18)+SUMPRODUCT(Attributs!$CC$2:$CC$18,Attributs!$AY$2:$AY$18))/((SQRT(SUMSQ(Attributs!$CB$2:$CB$18)+SUMSQ(Attributs!$CC$2:$CC$18)))*(SQRT(SUMSQ(Attributs!$AX$2:$AX$18)+SUMSQ(Attributs!$AY$2:$AY$18)))),0)</f>
        <v/>
      </c>
      <c r="AA41" s="2">
        <f>IFERROR((SUMPRODUCT(Attributs!$CB$2:$CB$18,Attributs!$AZ$2:$AZ$18)+SUMPRODUCT(Attributs!$CC$2:$CC$18,Attributs!$BA$2:$BA$18))/((SQRT(SUMSQ(Attributs!$CB$2:$CB$18)+SUMSQ(Attributs!$CC$2:$CC$18)))*(SQRT(SUMSQ(Attributs!$AZ$2:$AZ$18)+SUMSQ(Attributs!$BA$2:$BA$18)))),0)</f>
        <v/>
      </c>
      <c r="AB41" s="2">
        <f>IFERROR((SUMPRODUCT(Attributs!$CB$2:$CB$18,Attributs!$BB$2:$BB$18)+SUMPRODUCT(Attributs!$CC$2:$CC$18,Attributs!$BC$2:$BC$18))/((SQRT(SUMSQ(Attributs!$CB$2:$CB$18)+SUMSQ(Attributs!$CC$2:$CC$18)))*(SQRT(SUMSQ(Attributs!$BB$2:$BB$18)+SUMSQ(Attributs!$BC$2:$BC$18)))),0)</f>
        <v/>
      </c>
      <c r="AC41" s="2">
        <f>IFERROR((SUMPRODUCT(Attributs!$CB$2:$CB$18,Attributs!$BD$2:$BD$18)+SUMPRODUCT(Attributs!$CC$2:$CC$18,Attributs!$BE$2:$BE$18))/((SQRT(SUMSQ(Attributs!$CB$2:$CB$18)+SUMSQ(Attributs!$CC$2:$CC$18)))*(SQRT(SUMSQ(Attributs!$BD$2:$BD$18)+SUMSQ(Attributs!$BE$2:$BE$18)))),0)</f>
        <v/>
      </c>
      <c r="AD41" s="2">
        <f>IFERROR((SUMPRODUCT(Attributs!$CB$2:$CB$18,Attributs!$BF$2:$BF$18)+SUMPRODUCT(Attributs!$CC$2:$CC$18,Attributs!$BG$2:$BG$18))/((SQRT(SUMSQ(Attributs!$CB$2:$CB$18)+SUMSQ(Attributs!$CC$2:$CC$18)))*(SQRT(SUMSQ(Attributs!$BF$2:$BF$18)+SUMSQ(Attributs!$BG$2:$BG$18)))),0)</f>
        <v/>
      </c>
      <c r="AE41" s="2">
        <f>IFERROR((SUMPRODUCT(Attributs!$CB$2:$CB$18,Attributs!$BH$2:$BH$18)+SUMPRODUCT(Attributs!$CC$2:$CC$18,Attributs!$BI$2:$BI$18))/((SQRT(SUMSQ(Attributs!$CB$2:$CB$18)+SUMSQ(Attributs!$CC$2:$CC$18)))*(SQRT(SUMSQ(Attributs!$BH$2:$BH$18)+SUMSQ(Attributs!$BI$2:$BI$18)))),0)</f>
        <v/>
      </c>
      <c r="AF41" s="2">
        <f>IFERROR((SUMPRODUCT(Attributs!$CB$2:$CB$18,Attributs!$BJ$2:$BJ$18)+SUMPRODUCT(Attributs!$CC$2:$CC$18,Attributs!$BK$2:$BK$18))/((SQRT(SUMSQ(Attributs!$CB$2:$CB$18)+SUMSQ(Attributs!$CC$2:$CC$18)))*(SQRT(SUMSQ(Attributs!$BJ$2:$BJ$18)+SUMSQ(Attributs!$BK$2:$BK$18)))),0)</f>
        <v/>
      </c>
      <c r="AG41" s="2">
        <f>IFERROR((SUMPRODUCT(Attributs!$CB$2:$CB$18,Attributs!$BL$2:$BL$18)+SUMPRODUCT(Attributs!$CC$2:$CC$18,Attributs!$BM$2:$BM$18))/((SQRT(SUMSQ(Attributs!$CB$2:$CB$18)+SUMSQ(Attributs!$CC$2:$CC$18)))*(SQRT(SUMSQ(Attributs!$BL$2:$BL$18)+SUMSQ(Attributs!$BM$2:$BM$18)))),0)</f>
        <v/>
      </c>
      <c r="AH41" s="2">
        <f>IFERROR((SUMPRODUCT(Attributs!$CB$2:$CB$18,Attributs!$BN$2:$BN$18)+SUMPRODUCT(Attributs!$CC$2:$CC$18,Attributs!$BO$2:$BO$18))/((SQRT(SUMSQ(Attributs!$CB$2:$CB$18)+SUMSQ(Attributs!$CC$2:$CC$18)))*(SQRT(SUMSQ(Attributs!$BN$2:$BN$18)+SUMSQ(Attributs!$BO$2:$BO$18)))),0)</f>
        <v/>
      </c>
      <c r="AI41" s="2">
        <f>IFERROR((SUMPRODUCT(Attributs!$CB$2:$CB$18,Attributs!$BP$2:$BP$18)+SUMPRODUCT(Attributs!$CC$2:$CC$18,Attributs!$BQ$2:$BQ$18))/((SQRT(SUMSQ(Attributs!$CB$2:$CB$18)+SUMSQ(Attributs!$CC$2:$CC$18)))*(SQRT(SUMSQ(Attributs!$BP$2:$BP$18)+SUMSQ(Attributs!$BQ$2:$BQ$18)))),0)</f>
        <v/>
      </c>
      <c r="AJ41" s="2">
        <f>IFERROR((SUMPRODUCT(Attributs!$CB$2:$CB$18,Attributs!$BR$2:$BR$18)+SUMPRODUCT(Attributs!$CC$2:$CC$18,Attributs!$BS$2:$BS$18))/((SQRT(SUMSQ(Attributs!$CB$2:$CB$18)+SUMSQ(Attributs!$CC$2:$CC$18)))*(SQRT(SUMSQ(Attributs!$BR$2:$BR$18)+SUMSQ(Attributs!$BS$2:$BS$18)))),0)</f>
        <v/>
      </c>
      <c r="AK41" s="2">
        <f>IFERROR((SUMPRODUCT(Attributs!$CB$2:$CB$18,Attributs!$BT$2:$BT$18)+SUMPRODUCT(Attributs!$CC$2:$CC$18,Attributs!$BU$2:$BU$18))/((SQRT(SUMSQ(Attributs!$CB$2:$CB$18)+SUMSQ(Attributs!$CC$2:$CC$18)))*(SQRT(SUMSQ(Attributs!$BT$2:$BT$18)+SUMSQ(Attributs!$BU$2:$BU$18)))),0)</f>
        <v/>
      </c>
      <c r="AL41" s="2">
        <f>IFERROR((SUMPRODUCT(Attributs!$CB$2:$CB$18,Attributs!$BV$2:$BV$18)+SUMPRODUCT(Attributs!$CC$2:$CC$18,Attributs!$BW$2:$BW$18))/((SQRT(SUMSQ(Attributs!$CB$2:$CB$18)+SUMSQ(Attributs!$CC$2:$CC$18)))*(SQRT(SUMSQ(Attributs!$BV$2:$BV$18)+SUMSQ(Attributs!$BW$2:$BW$18)))),0)</f>
        <v/>
      </c>
      <c r="AM41" s="2">
        <f>IFERROR((SUMPRODUCT(Attributs!$CB$2:$CB$18,Attributs!$BX$2:$BX$18)+SUMPRODUCT(Attributs!$CC$2:$CC$18,Attributs!$BY$2:$BY$18))/((SQRT(SUMSQ(Attributs!$CB$2:$CB$18)+SUMSQ(Attributs!$CC$2:$CC$18)))*(SQRT(SUMSQ(Attributs!$BX$2:$BX$18)+SUMSQ(Attributs!$BY$2:$BY$18)))),0)</f>
        <v/>
      </c>
      <c r="AN41" s="2">
        <f>IFERROR((SUMPRODUCT(Attributs!$CB$2:$CB$18,Attributs!$BZ$2:$BZ$18)+SUMPRODUCT(Attributs!$CC$2:$CC$18,Attributs!$CA$2:$CA$18))/((SQRT(SUMSQ(Attributs!$CB$2:$CB$18)+SUMSQ(Attributs!$CC$2:$CC$18)))*(SQRT(SUMSQ(Attributs!$BZ$2:$BZ$18)+SUMSQ(Attributs!$CA$2:$CA$18)))),0)</f>
        <v/>
      </c>
      <c r="AO41" s="2">
        <f>IFERROR((SUMPRODUCT(Attributs!$CB$2:$CB$18,Attributs!$CB$2:$CB$18)+SUMPRODUCT(Attributs!$CC$2:$CC$18,Attributs!$CC$2:$CC$18))/((SQRT(SUMSQ(Attributs!$CB$2:$CB$18)+SUMSQ(Attributs!$CC$2:$CC$18)))*(SQRT(SUMSQ(Attributs!$CB$2:$CB$18)+SUMSQ(Attributs!$CC$2:$CC$18)))),0)</f>
        <v/>
      </c>
      <c r="AP41" s="2">
        <f>IFERROR((SUMPRODUCT(Attributs!$CB$2:$CB$18,Attributs!$CD$2:$CD$18)+SUMPRODUCT(Attributs!$CC$2:$CC$18,Attributs!$CE$2:$CE$18))/((SQRT(SUMSQ(Attributs!$CB$2:$CB$18)+SUMSQ(Attributs!$CC$2:$CC$18)))*(SQRT(SUMSQ(Attributs!$CD$2:$CD$18)+SUMSQ(Attributs!$CE$2:$CE$18)))),0)</f>
        <v/>
      </c>
      <c r="AQ41" s="2">
        <f>IFERROR((SUMPRODUCT(Attributs!$CB$2:$CB$18,Attributs!$CF$2:$CF$18)+SUMPRODUCT(Attributs!$CC$2:$CC$18,Attributs!$CG$2:$CG$18))/((SQRT(SUMSQ(Attributs!$CB$2:$CB$18)+SUMSQ(Attributs!$CC$2:$CC$18)))*(SQRT(SUMSQ(Attributs!$CF$2:$CF$18)+SUMSQ(Attributs!$CG$2:$CG$18)))),0)</f>
        <v/>
      </c>
      <c r="AR41" s="2">
        <f>IFERROR((SUMPRODUCT(Attributs!$CB$2:$CB$18,Attributs!$CH$2:$CH$18)+SUMPRODUCT(Attributs!$CC$2:$CC$18,Attributs!$CI$2:$CI$18))/((SQRT(SUMSQ(Attributs!$CB$2:$CB$18)+SUMSQ(Attributs!$CC$2:$CC$18)))*(SQRT(SUMSQ(Attributs!$CH$2:$CH$18)+SUMSQ(Attributs!$CI$2:$CI$18)))),0)</f>
        <v/>
      </c>
      <c r="AS41" s="2">
        <f>IFERROR((SUMPRODUCT(Attributs!$CB$2:$CB$18,Attributs!$CJ$2:$CJ$18)+SUMPRODUCT(Attributs!$CC$2:$CC$18,Attributs!$CK$2:$CK$18))/((SQRT(SUMSQ(Attributs!$CB$2:$CB$18)+SUMSQ(Attributs!$CC$2:$CC$18)))*(SQRT(SUMSQ(Attributs!$CJ$2:$CJ$18)+SUMSQ(Attributs!$CK$2:$CK$18)))),0)</f>
        <v/>
      </c>
      <c r="AT41" s="2">
        <f>IFERROR((SUMPRODUCT(Attributs!$CB$2:$CB$18,Attributs!$CL$2:$CL$18)+SUMPRODUCT(Attributs!$CC$2:$CC$18,Attributs!$CM$2:$CM$18))/((SQRT(SUMSQ(Attributs!$CB$2:$CB$18)+SUMSQ(Attributs!$CC$2:$CC$18)))*(SQRT(SUMSQ(Attributs!$CL$2:$CL$18)+SUMSQ(Attributs!$CM$2:$CM$18)))),0)</f>
        <v/>
      </c>
      <c r="AU41" s="2">
        <f>IFERROR((SUMPRODUCT(Attributs!$CB$2:$CB$18,Attributs!$CN$2:$CN$18)+SUMPRODUCT(Attributs!$CC$2:$CC$18,Attributs!$CO$2:$CO$18))/((SQRT(SUMSQ(Attributs!$CB$2:$CB$18)+SUMSQ(Attributs!$CC$2:$CC$18)))*(SQRT(SUMSQ(Attributs!$CN$2:$CN$18)+SUMSQ(Attributs!$CO$2:$CO$18)))),0)</f>
        <v/>
      </c>
      <c r="AV41" s="2">
        <f>IFERROR((SUMPRODUCT(Attributs!$CB$2:$CB$18,Attributs!$CP$2:$CP$18)+SUMPRODUCT(Attributs!$CC$2:$CC$18,Attributs!$CQ$2:$CQ$18))/((SQRT(SUMSQ(Attributs!$CB$2:$CB$18)+SUMSQ(Attributs!$CC$2:$CC$18)))*(SQRT(SUMSQ(Attributs!$CP$2:$CP$18)+SUMSQ(Attributs!$CQ$2:$CQ$18)))),0)</f>
        <v/>
      </c>
      <c r="AW41" s="2">
        <f>IFERROR((SUMPRODUCT(Attributs!$CB$2:$CB$18,Attributs!$CR$2:$CR$18)+SUMPRODUCT(Attributs!$CC$2:$CC$18,Attributs!$CS$2:$CS$18))/((SQRT(SUMSQ(Attributs!$CB$2:$CB$18)+SUMSQ(Attributs!$CC$2:$CC$18)))*(SQRT(SUMSQ(Attributs!$CR$2:$CR$18)+SUMSQ(Attributs!$CS$2:$CS$18)))),0)</f>
        <v/>
      </c>
      <c r="AX41" s="2">
        <f>IFERROR((SUMPRODUCT(Attributs!$CB$2:$CB$18,Attributs!$CT$2:$CT$18)+SUMPRODUCT(Attributs!$CC$2:$CC$18,Attributs!$CU$2:$CU$18))/((SQRT(SUMSQ(Attributs!$CB$2:$CB$18)+SUMSQ(Attributs!$CC$2:$CC$18)))*(SQRT(SUMSQ(Attributs!$CT$2:$CT$18)+SUMSQ(Attributs!$CU$2:$CU$18)))),0)</f>
        <v/>
      </c>
      <c r="AY41" s="2">
        <f>IFERROR((SUMPRODUCT(Attributs!$CB$2:$CB$18,Attributs!$CV$2:$CV$18)+SUMPRODUCT(Attributs!$CC$2:$CC$18,Attributs!$CW$2:$CW$18))/((SQRT(SUMSQ(Attributs!$CB$2:$CB$18)+SUMSQ(Attributs!$CC$2:$CC$18)))*(SQRT(SUMSQ(Attributs!$CV$2:$CV$18)+SUMSQ(Attributs!$CW$2:$CW$18)))),0)</f>
        <v/>
      </c>
      <c r="AZ41" s="2">
        <f>IFERROR((SUMPRODUCT(Attributs!$CB$2:$CB$18,Attributs!$CX$2:$CX$18)+SUMPRODUCT(Attributs!$CC$2:$CC$18,Attributs!$CY$2:$CY$18))/((SQRT(SUMSQ(Attributs!$CB$2:$CB$18)+SUMSQ(Attributs!$CC$2:$CC$18)))*(SQRT(SUMSQ(Attributs!$CX$2:$CX$18)+SUMSQ(Attributs!$CY$2:$CY$18)))),0)</f>
        <v/>
      </c>
      <c r="BA41" s="2">
        <f>IFERROR((SUMPRODUCT(Attributs!$CB$2:$CB$18,Attributs!$CZ$2:$CZ$18)+SUMPRODUCT(Attributs!$CC$2:$CC$18,Attributs!$DA$2:$DA$18))/((SQRT(SUMSQ(Attributs!$CB$2:$CB$18)+SUMSQ(Attributs!$CC$2:$CC$18)))*(SQRT(SUMSQ(Attributs!$CZ$2:$CZ$18)+SUMSQ(Attributs!$DA$2:$DA$18)))),0)</f>
        <v/>
      </c>
      <c r="BB41" s="2">
        <f>IFERROR((SUMPRODUCT(Attributs!$CB$2:$CB$18,Attributs!$DB$2:$DB$18)+SUMPRODUCT(Attributs!$CC$2:$CC$18,Attributs!$DC$2:$DC$18))/((SQRT(SUMSQ(Attributs!$CB$2:$CB$18)+SUMSQ(Attributs!$CC$2:$CC$18)))*(SQRT(SUMSQ(Attributs!$DB$2:$DB$18)+SUMSQ(Attributs!$DC$2:$DC$18)))),0)</f>
        <v/>
      </c>
      <c r="BC41" s="2">
        <f>IFERROR((SUMPRODUCT(Attributs!$CB$2:$CB$18,Attributs!$DD$2:$DD$18)+SUMPRODUCT(Attributs!$CC$2:$CC$18,Attributs!$DE$2:$DE$18))/((SQRT(SUMSQ(Attributs!$CB$2:$CB$18)+SUMSQ(Attributs!$CC$2:$CC$18)))*(SQRT(SUMSQ(Attributs!$DD$2:$DD$18)+SUMSQ(Attributs!$DE$2:$DE$18)))),0)</f>
        <v/>
      </c>
      <c r="BD41" s="2">
        <f>IFERROR((SUMPRODUCT(Attributs!$CB$2:$CB$18,Attributs!$DF$2:$DF$18)+SUMPRODUCT(Attributs!$CC$2:$CC$18,Attributs!$DG$2:$DG$18))/((SQRT(SUMSQ(Attributs!$CB$2:$CB$18)+SUMSQ(Attributs!$CC$2:$CC$18)))*(SQRT(SUMSQ(Attributs!$DF$2:$DF$18)+SUMSQ(Attributs!$DG$2:$DG$18)))),0)</f>
        <v/>
      </c>
      <c r="BE41" s="2">
        <f>IFERROR((SUMPRODUCT(Attributs!$CB$2:$CB$18,Attributs!$DH$2:$DH$18)+SUMPRODUCT(Attributs!$CC$2:$CC$18,Attributs!$DI$2:$DI$18))/((SQRT(SUMSQ(Attributs!$CB$2:$CB$18)+SUMSQ(Attributs!$CC$2:$CC$18)))*(SQRT(SUMSQ(Attributs!$DH$2:$DH$18)+SUMSQ(Attributs!$DI$2:$DI$18)))),0)</f>
        <v/>
      </c>
      <c r="BF41" s="2">
        <f>IFERROR((SUMPRODUCT(Attributs!$CB$2:$CB$18,Attributs!$DJ$2:$DJ$18)+SUMPRODUCT(Attributs!$CC$2:$CC$18,Attributs!$DK$2:$DK$18))/((SQRT(SUMSQ(Attributs!$CB$2:$CB$18)+SUMSQ(Attributs!$CC$2:$CC$18)))*(SQRT(SUMSQ(Attributs!$DJ$2:$DJ$18)+SUMSQ(Attributs!$DK$2:$DK$18)))),0)</f>
        <v/>
      </c>
      <c r="BG41" s="2">
        <f>IFERROR((SUMPRODUCT(Attributs!$CB$2:$CB$18,Attributs!$DL$2:$DL$18)+SUMPRODUCT(Attributs!$CC$2:$CC$18,Attributs!$DM$2:$DM$18))/((SQRT(SUMSQ(Attributs!$CB$2:$CB$18)+SUMSQ(Attributs!$CC$2:$CC$18)))*(SQRT(SUMSQ(Attributs!$DL$2:$DL$18)+SUMSQ(Attributs!$DM$2:$DM$18)))),0)</f>
        <v/>
      </c>
      <c r="BH41" s="2">
        <f>IFERROR((SUMPRODUCT(Attributs!$CB$2:$CB$18,Attributs!$DN$2:$DN$18)+SUMPRODUCT(Attributs!$CC$2:$CC$18,Attributs!$DO$2:$DO$18))/((SQRT(SUMSQ(Attributs!$CB$2:$CB$18)+SUMSQ(Attributs!$CC$2:$CC$18)))*(SQRT(SUMSQ(Attributs!$DN$2:$DN$18)+SUMSQ(Attributs!$DO$2:$DO$18)))),0)</f>
        <v/>
      </c>
      <c r="BI41" s="2">
        <f>IFERROR((SUMPRODUCT(Attributs!$CB$2:$CB$18,Attributs!$DP$2:$DP$18)+SUMPRODUCT(Attributs!$CC$2:$CC$18,Attributs!$DQ$2:$DQ$18))/((SQRT(SUMSQ(Attributs!$CB$2:$CB$18)+SUMSQ(Attributs!$CC$2:$CC$18)))*(SQRT(SUMSQ(Attributs!$DP$2:$DP$18)+SUMSQ(Attributs!$DQ$2:$DQ$18)))),0)</f>
        <v/>
      </c>
      <c r="BJ41" s="2">
        <f>IFERROR((SUMPRODUCT(Attributs!$CB$2:$CB$18,Attributs!$DR$2:$DR$18)+SUMPRODUCT(Attributs!$CC$2:$CC$18,Attributs!$DS$2:$DS$18))/((SQRT(SUMSQ(Attributs!$CB$2:$CB$18)+SUMSQ(Attributs!$CC$2:$CC$18)))*(SQRT(SUMSQ(Attributs!$DR$2:$DR$18)+SUMSQ(Attributs!$DS$2:$DS$18)))),0)</f>
        <v/>
      </c>
      <c r="BK41" s="2">
        <f>IFERROR((SUMPRODUCT(Attributs!$CB$2:$CB$18,Attributs!$DT$2:$DT$18)+SUMPRODUCT(Attributs!$CC$2:$CC$18,Attributs!$DU$2:$DU$18))/((SQRT(SUMSQ(Attributs!$CB$2:$CB$18)+SUMSQ(Attributs!$CC$2:$CC$18)))*(SQRT(SUMSQ(Attributs!$DT$2:$DT$18)+SUMSQ(Attributs!$DU$2:$DU$18)))),0)</f>
        <v/>
      </c>
      <c r="BL41" s="2">
        <f>IFERROR((SUMPRODUCT(Attributs!$CB$2:$CB$18,Attributs!$DV$2:$DV$18)+SUMPRODUCT(Attributs!$CC$2:$CC$18,Attributs!$DW$2:$DW$18))/((SQRT(SUMSQ(Attributs!$CB$2:$CB$18)+SUMSQ(Attributs!$CC$2:$CC$18)))*(SQRT(SUMSQ(Attributs!$DV$2:$DV$18)+SUMSQ(Attributs!$DW$2:$DW$18)))),0)</f>
        <v/>
      </c>
    </row>
    <row r="42">
      <c r="A42" s="3" t="inlineStr">
        <is>
          <t>SE_mongodb.Comments.PostId</t>
        </is>
      </c>
      <c r="B42" s="2">
        <f>IFERROR((SUMPRODUCT(Attributs!$CD$2:$CD$18,Attributs!$B$2:$B$18)+SUMPRODUCT(Attributs!$CE$2:$CE$18,Attributs!$C$2:$C$18))/((SQRT(SUMSQ(Attributs!$CD$2:$CD$18)+SUMSQ(Attributs!$CE$2:$CE$18)))*(SQRT(SUMSQ(Attributs!$B$2:$B$18)+SUMSQ(Attributs!$C$2:$C$18)))),0)</f>
        <v/>
      </c>
      <c r="C42" s="2">
        <f>IFERROR((SUMPRODUCT(Attributs!$CD$2:$CD$18,Attributs!$D$2:$D$18)+SUMPRODUCT(Attributs!$CE$2:$CE$18,Attributs!$E$2:$E$18))/((SQRT(SUMSQ(Attributs!$CD$2:$CD$18)+SUMSQ(Attributs!$CE$2:$CE$18)))*(SQRT(SUMSQ(Attributs!$D$2:$D$18)+SUMSQ(Attributs!$E$2:$E$18)))),0)</f>
        <v/>
      </c>
      <c r="D42" s="2">
        <f>IFERROR((SUMPRODUCT(Attributs!$CD$2:$CD$18,Attributs!$F$2:$F$18)+SUMPRODUCT(Attributs!$CE$2:$CE$18,Attributs!$G$2:$G$18))/((SQRT(SUMSQ(Attributs!$CD$2:$CD$18)+SUMSQ(Attributs!$CE$2:$CE$18)))*(SQRT(SUMSQ(Attributs!$F$2:$F$18)+SUMSQ(Attributs!$G$2:$G$18)))),0)</f>
        <v/>
      </c>
      <c r="E42" s="2">
        <f>IFERROR((SUMPRODUCT(Attributs!$CD$2:$CD$18,Attributs!$H$2:$H$18)+SUMPRODUCT(Attributs!$CE$2:$CE$18,Attributs!$I$2:$I$18))/((SQRT(SUMSQ(Attributs!$CD$2:$CD$18)+SUMSQ(Attributs!$CE$2:$CE$18)))*(SQRT(SUMSQ(Attributs!$H$2:$H$18)+SUMSQ(Attributs!$I$2:$I$18)))),0)</f>
        <v/>
      </c>
      <c r="F42" s="2">
        <f>IFERROR((SUMPRODUCT(Attributs!$CD$2:$CD$18,Attributs!$J$2:$J$18)+SUMPRODUCT(Attributs!$CE$2:$CE$18,Attributs!$K$2:$K$18))/((SQRT(SUMSQ(Attributs!$CD$2:$CD$18)+SUMSQ(Attributs!$CE$2:$CE$18)))*(SQRT(SUMSQ(Attributs!$J$2:$J$18)+SUMSQ(Attributs!$K$2:$K$18)))),0)</f>
        <v/>
      </c>
      <c r="G42" s="2">
        <f>IFERROR((SUMPRODUCT(Attributs!$CD$2:$CD$18,Attributs!$L$2:$L$18)+SUMPRODUCT(Attributs!$CE$2:$CE$18,Attributs!$M$2:$M$18))/((SQRT(SUMSQ(Attributs!$CD$2:$CD$18)+SUMSQ(Attributs!$CE$2:$CE$18)))*(SQRT(SUMSQ(Attributs!$L$2:$L$18)+SUMSQ(Attributs!$M$2:$M$18)))),0)</f>
        <v/>
      </c>
      <c r="H42" s="2">
        <f>IFERROR((SUMPRODUCT(Attributs!$CD$2:$CD$18,Attributs!$N$2:$N$18)+SUMPRODUCT(Attributs!$CE$2:$CE$18,Attributs!$O$2:$O$18))/((SQRT(SUMSQ(Attributs!$CD$2:$CD$18)+SUMSQ(Attributs!$CE$2:$CE$18)))*(SQRT(SUMSQ(Attributs!$N$2:$N$18)+SUMSQ(Attributs!$O$2:$O$18)))),0)</f>
        <v/>
      </c>
      <c r="I42" s="2">
        <f>IFERROR((SUMPRODUCT(Attributs!$CD$2:$CD$18,Attributs!$P$2:$P$18)+SUMPRODUCT(Attributs!$CE$2:$CE$18,Attributs!$Q$2:$Q$18))/((SQRT(SUMSQ(Attributs!$CD$2:$CD$18)+SUMSQ(Attributs!$CE$2:$CE$18)))*(SQRT(SUMSQ(Attributs!$P$2:$P$18)+SUMSQ(Attributs!$Q$2:$Q$18)))),0)</f>
        <v/>
      </c>
      <c r="J42" s="2">
        <f>IFERROR((SUMPRODUCT(Attributs!$CD$2:$CD$18,Attributs!$R$2:$R$18)+SUMPRODUCT(Attributs!$CE$2:$CE$18,Attributs!$S$2:$S$18))/((SQRT(SUMSQ(Attributs!$CD$2:$CD$18)+SUMSQ(Attributs!$CE$2:$CE$18)))*(SQRT(SUMSQ(Attributs!$R$2:$R$18)+SUMSQ(Attributs!$S$2:$S$18)))),0)</f>
        <v/>
      </c>
      <c r="K42" s="2">
        <f>IFERROR((SUMPRODUCT(Attributs!$CD$2:$CD$18,Attributs!$T$2:$T$18)+SUMPRODUCT(Attributs!$CE$2:$CE$18,Attributs!$U$2:$U$18))/((SQRT(SUMSQ(Attributs!$CD$2:$CD$18)+SUMSQ(Attributs!$CE$2:$CE$18)))*(SQRT(SUMSQ(Attributs!$T$2:$T$18)+SUMSQ(Attributs!$U$2:$U$18)))),0)</f>
        <v/>
      </c>
      <c r="L42" s="2">
        <f>IFERROR((SUMPRODUCT(Attributs!$CD$2:$CD$18,Attributs!$V$2:$V$18)+SUMPRODUCT(Attributs!$CE$2:$CE$18,Attributs!$W$2:$W$18))/((SQRT(SUMSQ(Attributs!$CD$2:$CD$18)+SUMSQ(Attributs!$CE$2:$CE$18)))*(SQRT(SUMSQ(Attributs!$V$2:$V$18)+SUMSQ(Attributs!$W$2:$W$18)))),0)</f>
        <v/>
      </c>
      <c r="M42" s="2">
        <f>IFERROR((SUMPRODUCT(Attributs!$CD$2:$CD$18,Attributs!$X$2:$X$18)+SUMPRODUCT(Attributs!$CE$2:$CE$18,Attributs!$Y$2:$Y$18))/((SQRT(SUMSQ(Attributs!$CD$2:$CD$18)+SUMSQ(Attributs!$CE$2:$CE$18)))*(SQRT(SUMSQ(Attributs!$X$2:$X$18)+SUMSQ(Attributs!$Y$2:$Y$18)))),0)</f>
        <v/>
      </c>
      <c r="N42" s="2">
        <f>IFERROR((SUMPRODUCT(Attributs!$CD$2:$CD$18,Attributs!$Z$2:$Z$18)+SUMPRODUCT(Attributs!$CE$2:$CE$18,Attributs!$AA$2:$AA$18))/((SQRT(SUMSQ(Attributs!$CD$2:$CD$18)+SUMSQ(Attributs!$CE$2:$CE$18)))*(SQRT(SUMSQ(Attributs!$Z$2:$Z$18)+SUMSQ(Attributs!$AA$2:$AA$18)))),0)</f>
        <v/>
      </c>
      <c r="O42" s="2">
        <f>IFERROR((SUMPRODUCT(Attributs!$CD$2:$CD$18,Attributs!$AB$2:$AB$18)+SUMPRODUCT(Attributs!$CE$2:$CE$18,Attributs!$AC$2:$AC$18))/((SQRT(SUMSQ(Attributs!$CD$2:$CD$18)+SUMSQ(Attributs!$CE$2:$CE$18)))*(SQRT(SUMSQ(Attributs!$AB$2:$AB$18)+SUMSQ(Attributs!$AC$2:$AC$18)))),0)</f>
        <v/>
      </c>
      <c r="P42" s="2">
        <f>IFERROR((SUMPRODUCT(Attributs!$CD$2:$CD$18,Attributs!$AD$2:$AD$18)+SUMPRODUCT(Attributs!$CE$2:$CE$18,Attributs!$AE$2:$AE$18))/((SQRT(SUMSQ(Attributs!$CD$2:$CD$18)+SUMSQ(Attributs!$CE$2:$CE$18)))*(SQRT(SUMSQ(Attributs!$AD$2:$AD$18)+SUMSQ(Attributs!$AE$2:$AE$18)))),0)</f>
        <v/>
      </c>
      <c r="Q42" s="2">
        <f>IFERROR((SUMPRODUCT(Attributs!$CD$2:$CD$18,Attributs!$AF$2:$AF$18)+SUMPRODUCT(Attributs!$CE$2:$CE$18,Attributs!$AG$2:$AG$18))/((SQRT(SUMSQ(Attributs!$CD$2:$CD$18)+SUMSQ(Attributs!$CE$2:$CE$18)))*(SQRT(SUMSQ(Attributs!$AF$2:$AF$18)+SUMSQ(Attributs!$AG$2:$AG$18)))),0)</f>
        <v/>
      </c>
      <c r="R42" s="2">
        <f>IFERROR((SUMPRODUCT(Attributs!$CD$2:$CD$18,Attributs!$AH$2:$AH$18)+SUMPRODUCT(Attributs!$CE$2:$CE$18,Attributs!$AI$2:$AI$18))/((SQRT(SUMSQ(Attributs!$CD$2:$CD$18)+SUMSQ(Attributs!$CE$2:$CE$18)))*(SQRT(SUMSQ(Attributs!$AH$2:$AH$18)+SUMSQ(Attributs!$AI$2:$AI$18)))),0)</f>
        <v/>
      </c>
      <c r="S42" s="2">
        <f>IFERROR((SUMPRODUCT(Attributs!$CD$2:$CD$18,Attributs!$AJ$2:$AJ$18)+SUMPRODUCT(Attributs!$CE$2:$CE$18,Attributs!$AK$2:$AK$18))/((SQRT(SUMSQ(Attributs!$CD$2:$CD$18)+SUMSQ(Attributs!$CE$2:$CE$18)))*(SQRT(SUMSQ(Attributs!$AJ$2:$AJ$18)+SUMSQ(Attributs!$AK$2:$AK$18)))),0)</f>
        <v/>
      </c>
      <c r="T42" s="2">
        <f>IFERROR((SUMPRODUCT(Attributs!$CD$2:$CD$18,Attributs!$AL$2:$AL$18)+SUMPRODUCT(Attributs!$CE$2:$CE$18,Attributs!$AM$2:$AM$18))/((SQRT(SUMSQ(Attributs!$CD$2:$CD$18)+SUMSQ(Attributs!$CE$2:$CE$18)))*(SQRT(SUMSQ(Attributs!$AL$2:$AL$18)+SUMSQ(Attributs!$AM$2:$AM$18)))),0)</f>
        <v/>
      </c>
      <c r="U42" s="2">
        <f>IFERROR((SUMPRODUCT(Attributs!$CD$2:$CD$18,Attributs!$AN$2:$AN$18)+SUMPRODUCT(Attributs!$CE$2:$CE$18,Attributs!$AO$2:$AO$18))/((SQRT(SUMSQ(Attributs!$CD$2:$CD$18)+SUMSQ(Attributs!$CE$2:$CE$18)))*(SQRT(SUMSQ(Attributs!$AN$2:$AN$18)+SUMSQ(Attributs!$AO$2:$AO$18)))),0)</f>
        <v/>
      </c>
      <c r="V42" s="2">
        <f>IFERROR((SUMPRODUCT(Attributs!$CD$2:$CD$18,Attributs!$AP$2:$AP$18)+SUMPRODUCT(Attributs!$CE$2:$CE$18,Attributs!$AQ$2:$AQ$18))/((SQRT(SUMSQ(Attributs!$CD$2:$CD$18)+SUMSQ(Attributs!$CE$2:$CE$18)))*(SQRT(SUMSQ(Attributs!$AP$2:$AP$18)+SUMSQ(Attributs!$AQ$2:$AQ$18)))),0)</f>
        <v/>
      </c>
      <c r="W42" s="2">
        <f>IFERROR((SUMPRODUCT(Attributs!$CD$2:$CD$18,Attributs!$AR$2:$AR$18)+SUMPRODUCT(Attributs!$CE$2:$CE$18,Attributs!$AS$2:$AS$18))/((SQRT(SUMSQ(Attributs!$CD$2:$CD$18)+SUMSQ(Attributs!$CE$2:$CE$18)))*(SQRT(SUMSQ(Attributs!$AR$2:$AR$18)+SUMSQ(Attributs!$AS$2:$AS$18)))),0)</f>
        <v/>
      </c>
      <c r="X42" s="2">
        <f>IFERROR((SUMPRODUCT(Attributs!$CD$2:$CD$18,Attributs!$AT$2:$AT$18)+SUMPRODUCT(Attributs!$CE$2:$CE$18,Attributs!$AU$2:$AU$18))/((SQRT(SUMSQ(Attributs!$CD$2:$CD$18)+SUMSQ(Attributs!$CE$2:$CE$18)))*(SQRT(SUMSQ(Attributs!$AT$2:$AT$18)+SUMSQ(Attributs!$AU$2:$AU$18)))),0)</f>
        <v/>
      </c>
      <c r="Y42" s="2">
        <f>IFERROR((SUMPRODUCT(Attributs!$CD$2:$CD$18,Attributs!$AV$2:$AV$18)+SUMPRODUCT(Attributs!$CE$2:$CE$18,Attributs!$AW$2:$AW$18))/((SQRT(SUMSQ(Attributs!$CD$2:$CD$18)+SUMSQ(Attributs!$CE$2:$CE$18)))*(SQRT(SUMSQ(Attributs!$AV$2:$AV$18)+SUMSQ(Attributs!$AW$2:$AW$18)))),0)</f>
        <v/>
      </c>
      <c r="Z42" s="2">
        <f>IFERROR((SUMPRODUCT(Attributs!$CD$2:$CD$18,Attributs!$AX$2:$AX$18)+SUMPRODUCT(Attributs!$CE$2:$CE$18,Attributs!$AY$2:$AY$18))/((SQRT(SUMSQ(Attributs!$CD$2:$CD$18)+SUMSQ(Attributs!$CE$2:$CE$18)))*(SQRT(SUMSQ(Attributs!$AX$2:$AX$18)+SUMSQ(Attributs!$AY$2:$AY$18)))),0)</f>
        <v/>
      </c>
      <c r="AA42" s="2">
        <f>IFERROR((SUMPRODUCT(Attributs!$CD$2:$CD$18,Attributs!$AZ$2:$AZ$18)+SUMPRODUCT(Attributs!$CE$2:$CE$18,Attributs!$BA$2:$BA$18))/((SQRT(SUMSQ(Attributs!$CD$2:$CD$18)+SUMSQ(Attributs!$CE$2:$CE$18)))*(SQRT(SUMSQ(Attributs!$AZ$2:$AZ$18)+SUMSQ(Attributs!$BA$2:$BA$18)))),0)</f>
        <v/>
      </c>
      <c r="AB42" s="2">
        <f>IFERROR((SUMPRODUCT(Attributs!$CD$2:$CD$18,Attributs!$BB$2:$BB$18)+SUMPRODUCT(Attributs!$CE$2:$CE$18,Attributs!$BC$2:$BC$18))/((SQRT(SUMSQ(Attributs!$CD$2:$CD$18)+SUMSQ(Attributs!$CE$2:$CE$18)))*(SQRT(SUMSQ(Attributs!$BB$2:$BB$18)+SUMSQ(Attributs!$BC$2:$BC$18)))),0)</f>
        <v/>
      </c>
      <c r="AC42" s="2">
        <f>IFERROR((SUMPRODUCT(Attributs!$CD$2:$CD$18,Attributs!$BD$2:$BD$18)+SUMPRODUCT(Attributs!$CE$2:$CE$18,Attributs!$BE$2:$BE$18))/((SQRT(SUMSQ(Attributs!$CD$2:$CD$18)+SUMSQ(Attributs!$CE$2:$CE$18)))*(SQRT(SUMSQ(Attributs!$BD$2:$BD$18)+SUMSQ(Attributs!$BE$2:$BE$18)))),0)</f>
        <v/>
      </c>
      <c r="AD42" s="2">
        <f>IFERROR((SUMPRODUCT(Attributs!$CD$2:$CD$18,Attributs!$BF$2:$BF$18)+SUMPRODUCT(Attributs!$CE$2:$CE$18,Attributs!$BG$2:$BG$18))/((SQRT(SUMSQ(Attributs!$CD$2:$CD$18)+SUMSQ(Attributs!$CE$2:$CE$18)))*(SQRT(SUMSQ(Attributs!$BF$2:$BF$18)+SUMSQ(Attributs!$BG$2:$BG$18)))),0)</f>
        <v/>
      </c>
      <c r="AE42" s="2">
        <f>IFERROR((SUMPRODUCT(Attributs!$CD$2:$CD$18,Attributs!$BH$2:$BH$18)+SUMPRODUCT(Attributs!$CE$2:$CE$18,Attributs!$BI$2:$BI$18))/((SQRT(SUMSQ(Attributs!$CD$2:$CD$18)+SUMSQ(Attributs!$CE$2:$CE$18)))*(SQRT(SUMSQ(Attributs!$BH$2:$BH$18)+SUMSQ(Attributs!$BI$2:$BI$18)))),0)</f>
        <v/>
      </c>
      <c r="AF42" s="2">
        <f>IFERROR((SUMPRODUCT(Attributs!$CD$2:$CD$18,Attributs!$BJ$2:$BJ$18)+SUMPRODUCT(Attributs!$CE$2:$CE$18,Attributs!$BK$2:$BK$18))/((SQRT(SUMSQ(Attributs!$CD$2:$CD$18)+SUMSQ(Attributs!$CE$2:$CE$18)))*(SQRT(SUMSQ(Attributs!$BJ$2:$BJ$18)+SUMSQ(Attributs!$BK$2:$BK$18)))),0)</f>
        <v/>
      </c>
      <c r="AG42" s="2">
        <f>IFERROR((SUMPRODUCT(Attributs!$CD$2:$CD$18,Attributs!$BL$2:$BL$18)+SUMPRODUCT(Attributs!$CE$2:$CE$18,Attributs!$BM$2:$BM$18))/((SQRT(SUMSQ(Attributs!$CD$2:$CD$18)+SUMSQ(Attributs!$CE$2:$CE$18)))*(SQRT(SUMSQ(Attributs!$BL$2:$BL$18)+SUMSQ(Attributs!$BM$2:$BM$18)))),0)</f>
        <v/>
      </c>
      <c r="AH42" s="2">
        <f>IFERROR((SUMPRODUCT(Attributs!$CD$2:$CD$18,Attributs!$BN$2:$BN$18)+SUMPRODUCT(Attributs!$CE$2:$CE$18,Attributs!$BO$2:$BO$18))/((SQRT(SUMSQ(Attributs!$CD$2:$CD$18)+SUMSQ(Attributs!$CE$2:$CE$18)))*(SQRT(SUMSQ(Attributs!$BN$2:$BN$18)+SUMSQ(Attributs!$BO$2:$BO$18)))),0)</f>
        <v/>
      </c>
      <c r="AI42" s="2">
        <f>IFERROR((SUMPRODUCT(Attributs!$CD$2:$CD$18,Attributs!$BP$2:$BP$18)+SUMPRODUCT(Attributs!$CE$2:$CE$18,Attributs!$BQ$2:$BQ$18))/((SQRT(SUMSQ(Attributs!$CD$2:$CD$18)+SUMSQ(Attributs!$CE$2:$CE$18)))*(SQRT(SUMSQ(Attributs!$BP$2:$BP$18)+SUMSQ(Attributs!$BQ$2:$BQ$18)))),0)</f>
        <v/>
      </c>
      <c r="AJ42" s="2">
        <f>IFERROR((SUMPRODUCT(Attributs!$CD$2:$CD$18,Attributs!$BR$2:$BR$18)+SUMPRODUCT(Attributs!$CE$2:$CE$18,Attributs!$BS$2:$BS$18))/((SQRT(SUMSQ(Attributs!$CD$2:$CD$18)+SUMSQ(Attributs!$CE$2:$CE$18)))*(SQRT(SUMSQ(Attributs!$BR$2:$BR$18)+SUMSQ(Attributs!$BS$2:$BS$18)))),0)</f>
        <v/>
      </c>
      <c r="AK42" s="2">
        <f>IFERROR((SUMPRODUCT(Attributs!$CD$2:$CD$18,Attributs!$BT$2:$BT$18)+SUMPRODUCT(Attributs!$CE$2:$CE$18,Attributs!$BU$2:$BU$18))/((SQRT(SUMSQ(Attributs!$CD$2:$CD$18)+SUMSQ(Attributs!$CE$2:$CE$18)))*(SQRT(SUMSQ(Attributs!$BT$2:$BT$18)+SUMSQ(Attributs!$BU$2:$BU$18)))),0)</f>
        <v/>
      </c>
      <c r="AL42" s="2">
        <f>IFERROR((SUMPRODUCT(Attributs!$CD$2:$CD$18,Attributs!$BV$2:$BV$18)+SUMPRODUCT(Attributs!$CE$2:$CE$18,Attributs!$BW$2:$BW$18))/((SQRT(SUMSQ(Attributs!$CD$2:$CD$18)+SUMSQ(Attributs!$CE$2:$CE$18)))*(SQRT(SUMSQ(Attributs!$BV$2:$BV$18)+SUMSQ(Attributs!$BW$2:$BW$18)))),0)</f>
        <v/>
      </c>
      <c r="AM42" s="2">
        <f>IFERROR((SUMPRODUCT(Attributs!$CD$2:$CD$18,Attributs!$BX$2:$BX$18)+SUMPRODUCT(Attributs!$CE$2:$CE$18,Attributs!$BY$2:$BY$18))/((SQRT(SUMSQ(Attributs!$CD$2:$CD$18)+SUMSQ(Attributs!$CE$2:$CE$18)))*(SQRT(SUMSQ(Attributs!$BX$2:$BX$18)+SUMSQ(Attributs!$BY$2:$BY$18)))),0)</f>
        <v/>
      </c>
      <c r="AN42" s="2">
        <f>IFERROR((SUMPRODUCT(Attributs!$CD$2:$CD$18,Attributs!$BZ$2:$BZ$18)+SUMPRODUCT(Attributs!$CE$2:$CE$18,Attributs!$CA$2:$CA$18))/((SQRT(SUMSQ(Attributs!$CD$2:$CD$18)+SUMSQ(Attributs!$CE$2:$CE$18)))*(SQRT(SUMSQ(Attributs!$BZ$2:$BZ$18)+SUMSQ(Attributs!$CA$2:$CA$18)))),0)</f>
        <v/>
      </c>
      <c r="AO42" s="2">
        <f>IFERROR((SUMPRODUCT(Attributs!$CD$2:$CD$18,Attributs!$CB$2:$CB$18)+SUMPRODUCT(Attributs!$CE$2:$CE$18,Attributs!$CC$2:$CC$18))/((SQRT(SUMSQ(Attributs!$CD$2:$CD$18)+SUMSQ(Attributs!$CE$2:$CE$18)))*(SQRT(SUMSQ(Attributs!$CB$2:$CB$18)+SUMSQ(Attributs!$CC$2:$CC$18)))),0)</f>
        <v/>
      </c>
      <c r="AP42" s="2">
        <f>IFERROR((SUMPRODUCT(Attributs!$CD$2:$CD$18,Attributs!$CD$2:$CD$18)+SUMPRODUCT(Attributs!$CE$2:$CE$18,Attributs!$CE$2:$CE$18))/((SQRT(SUMSQ(Attributs!$CD$2:$CD$18)+SUMSQ(Attributs!$CE$2:$CE$18)))*(SQRT(SUMSQ(Attributs!$CD$2:$CD$18)+SUMSQ(Attributs!$CE$2:$CE$18)))),0)</f>
        <v/>
      </c>
      <c r="AQ42" s="2">
        <f>IFERROR((SUMPRODUCT(Attributs!$CD$2:$CD$18,Attributs!$CF$2:$CF$18)+SUMPRODUCT(Attributs!$CE$2:$CE$18,Attributs!$CG$2:$CG$18))/((SQRT(SUMSQ(Attributs!$CD$2:$CD$18)+SUMSQ(Attributs!$CE$2:$CE$18)))*(SQRT(SUMSQ(Attributs!$CF$2:$CF$18)+SUMSQ(Attributs!$CG$2:$CG$18)))),0)</f>
        <v/>
      </c>
      <c r="AR42" s="2">
        <f>IFERROR((SUMPRODUCT(Attributs!$CD$2:$CD$18,Attributs!$CH$2:$CH$18)+SUMPRODUCT(Attributs!$CE$2:$CE$18,Attributs!$CI$2:$CI$18))/((SQRT(SUMSQ(Attributs!$CD$2:$CD$18)+SUMSQ(Attributs!$CE$2:$CE$18)))*(SQRT(SUMSQ(Attributs!$CH$2:$CH$18)+SUMSQ(Attributs!$CI$2:$CI$18)))),0)</f>
        <v/>
      </c>
      <c r="AS42" s="2">
        <f>IFERROR((SUMPRODUCT(Attributs!$CD$2:$CD$18,Attributs!$CJ$2:$CJ$18)+SUMPRODUCT(Attributs!$CE$2:$CE$18,Attributs!$CK$2:$CK$18))/((SQRT(SUMSQ(Attributs!$CD$2:$CD$18)+SUMSQ(Attributs!$CE$2:$CE$18)))*(SQRT(SUMSQ(Attributs!$CJ$2:$CJ$18)+SUMSQ(Attributs!$CK$2:$CK$18)))),0)</f>
        <v/>
      </c>
      <c r="AT42" s="2">
        <f>IFERROR((SUMPRODUCT(Attributs!$CD$2:$CD$18,Attributs!$CL$2:$CL$18)+SUMPRODUCT(Attributs!$CE$2:$CE$18,Attributs!$CM$2:$CM$18))/((SQRT(SUMSQ(Attributs!$CD$2:$CD$18)+SUMSQ(Attributs!$CE$2:$CE$18)))*(SQRT(SUMSQ(Attributs!$CL$2:$CL$18)+SUMSQ(Attributs!$CM$2:$CM$18)))),0)</f>
        <v/>
      </c>
      <c r="AU42" s="2">
        <f>IFERROR((SUMPRODUCT(Attributs!$CD$2:$CD$18,Attributs!$CN$2:$CN$18)+SUMPRODUCT(Attributs!$CE$2:$CE$18,Attributs!$CO$2:$CO$18))/((SQRT(SUMSQ(Attributs!$CD$2:$CD$18)+SUMSQ(Attributs!$CE$2:$CE$18)))*(SQRT(SUMSQ(Attributs!$CN$2:$CN$18)+SUMSQ(Attributs!$CO$2:$CO$18)))),0)</f>
        <v/>
      </c>
      <c r="AV42" s="2">
        <f>IFERROR((SUMPRODUCT(Attributs!$CD$2:$CD$18,Attributs!$CP$2:$CP$18)+SUMPRODUCT(Attributs!$CE$2:$CE$18,Attributs!$CQ$2:$CQ$18))/((SQRT(SUMSQ(Attributs!$CD$2:$CD$18)+SUMSQ(Attributs!$CE$2:$CE$18)))*(SQRT(SUMSQ(Attributs!$CP$2:$CP$18)+SUMSQ(Attributs!$CQ$2:$CQ$18)))),0)</f>
        <v/>
      </c>
      <c r="AW42" s="2">
        <f>IFERROR((SUMPRODUCT(Attributs!$CD$2:$CD$18,Attributs!$CR$2:$CR$18)+SUMPRODUCT(Attributs!$CE$2:$CE$18,Attributs!$CS$2:$CS$18))/((SQRT(SUMSQ(Attributs!$CD$2:$CD$18)+SUMSQ(Attributs!$CE$2:$CE$18)))*(SQRT(SUMSQ(Attributs!$CR$2:$CR$18)+SUMSQ(Attributs!$CS$2:$CS$18)))),0)</f>
        <v/>
      </c>
      <c r="AX42" s="2">
        <f>IFERROR((SUMPRODUCT(Attributs!$CD$2:$CD$18,Attributs!$CT$2:$CT$18)+SUMPRODUCT(Attributs!$CE$2:$CE$18,Attributs!$CU$2:$CU$18))/((SQRT(SUMSQ(Attributs!$CD$2:$CD$18)+SUMSQ(Attributs!$CE$2:$CE$18)))*(SQRT(SUMSQ(Attributs!$CT$2:$CT$18)+SUMSQ(Attributs!$CU$2:$CU$18)))),0)</f>
        <v/>
      </c>
      <c r="AY42" s="2">
        <f>IFERROR((SUMPRODUCT(Attributs!$CD$2:$CD$18,Attributs!$CV$2:$CV$18)+SUMPRODUCT(Attributs!$CE$2:$CE$18,Attributs!$CW$2:$CW$18))/((SQRT(SUMSQ(Attributs!$CD$2:$CD$18)+SUMSQ(Attributs!$CE$2:$CE$18)))*(SQRT(SUMSQ(Attributs!$CV$2:$CV$18)+SUMSQ(Attributs!$CW$2:$CW$18)))),0)</f>
        <v/>
      </c>
      <c r="AZ42" s="2">
        <f>IFERROR((SUMPRODUCT(Attributs!$CD$2:$CD$18,Attributs!$CX$2:$CX$18)+SUMPRODUCT(Attributs!$CE$2:$CE$18,Attributs!$CY$2:$CY$18))/((SQRT(SUMSQ(Attributs!$CD$2:$CD$18)+SUMSQ(Attributs!$CE$2:$CE$18)))*(SQRT(SUMSQ(Attributs!$CX$2:$CX$18)+SUMSQ(Attributs!$CY$2:$CY$18)))),0)</f>
        <v/>
      </c>
      <c r="BA42" s="2">
        <f>IFERROR((SUMPRODUCT(Attributs!$CD$2:$CD$18,Attributs!$CZ$2:$CZ$18)+SUMPRODUCT(Attributs!$CE$2:$CE$18,Attributs!$DA$2:$DA$18))/((SQRT(SUMSQ(Attributs!$CD$2:$CD$18)+SUMSQ(Attributs!$CE$2:$CE$18)))*(SQRT(SUMSQ(Attributs!$CZ$2:$CZ$18)+SUMSQ(Attributs!$DA$2:$DA$18)))),0)</f>
        <v/>
      </c>
      <c r="BB42" s="2">
        <f>IFERROR((SUMPRODUCT(Attributs!$CD$2:$CD$18,Attributs!$DB$2:$DB$18)+SUMPRODUCT(Attributs!$CE$2:$CE$18,Attributs!$DC$2:$DC$18))/((SQRT(SUMSQ(Attributs!$CD$2:$CD$18)+SUMSQ(Attributs!$CE$2:$CE$18)))*(SQRT(SUMSQ(Attributs!$DB$2:$DB$18)+SUMSQ(Attributs!$DC$2:$DC$18)))),0)</f>
        <v/>
      </c>
      <c r="BC42" s="2">
        <f>IFERROR((SUMPRODUCT(Attributs!$CD$2:$CD$18,Attributs!$DD$2:$DD$18)+SUMPRODUCT(Attributs!$CE$2:$CE$18,Attributs!$DE$2:$DE$18))/((SQRT(SUMSQ(Attributs!$CD$2:$CD$18)+SUMSQ(Attributs!$CE$2:$CE$18)))*(SQRT(SUMSQ(Attributs!$DD$2:$DD$18)+SUMSQ(Attributs!$DE$2:$DE$18)))),0)</f>
        <v/>
      </c>
      <c r="BD42" s="2">
        <f>IFERROR((SUMPRODUCT(Attributs!$CD$2:$CD$18,Attributs!$DF$2:$DF$18)+SUMPRODUCT(Attributs!$CE$2:$CE$18,Attributs!$DG$2:$DG$18))/((SQRT(SUMSQ(Attributs!$CD$2:$CD$18)+SUMSQ(Attributs!$CE$2:$CE$18)))*(SQRT(SUMSQ(Attributs!$DF$2:$DF$18)+SUMSQ(Attributs!$DG$2:$DG$18)))),0)</f>
        <v/>
      </c>
      <c r="BE42" s="2">
        <f>IFERROR((SUMPRODUCT(Attributs!$CD$2:$CD$18,Attributs!$DH$2:$DH$18)+SUMPRODUCT(Attributs!$CE$2:$CE$18,Attributs!$DI$2:$DI$18))/((SQRT(SUMSQ(Attributs!$CD$2:$CD$18)+SUMSQ(Attributs!$CE$2:$CE$18)))*(SQRT(SUMSQ(Attributs!$DH$2:$DH$18)+SUMSQ(Attributs!$DI$2:$DI$18)))),0)</f>
        <v/>
      </c>
      <c r="BF42" s="2">
        <f>IFERROR((SUMPRODUCT(Attributs!$CD$2:$CD$18,Attributs!$DJ$2:$DJ$18)+SUMPRODUCT(Attributs!$CE$2:$CE$18,Attributs!$DK$2:$DK$18))/((SQRT(SUMSQ(Attributs!$CD$2:$CD$18)+SUMSQ(Attributs!$CE$2:$CE$18)))*(SQRT(SUMSQ(Attributs!$DJ$2:$DJ$18)+SUMSQ(Attributs!$DK$2:$DK$18)))),0)</f>
        <v/>
      </c>
      <c r="BG42" s="2">
        <f>IFERROR((SUMPRODUCT(Attributs!$CD$2:$CD$18,Attributs!$DL$2:$DL$18)+SUMPRODUCT(Attributs!$CE$2:$CE$18,Attributs!$DM$2:$DM$18))/((SQRT(SUMSQ(Attributs!$CD$2:$CD$18)+SUMSQ(Attributs!$CE$2:$CE$18)))*(SQRT(SUMSQ(Attributs!$DL$2:$DL$18)+SUMSQ(Attributs!$DM$2:$DM$18)))),0)</f>
        <v/>
      </c>
      <c r="BH42" s="2">
        <f>IFERROR((SUMPRODUCT(Attributs!$CD$2:$CD$18,Attributs!$DN$2:$DN$18)+SUMPRODUCT(Attributs!$CE$2:$CE$18,Attributs!$DO$2:$DO$18))/((SQRT(SUMSQ(Attributs!$CD$2:$CD$18)+SUMSQ(Attributs!$CE$2:$CE$18)))*(SQRT(SUMSQ(Attributs!$DN$2:$DN$18)+SUMSQ(Attributs!$DO$2:$DO$18)))),0)</f>
        <v/>
      </c>
      <c r="BI42" s="2">
        <f>IFERROR((SUMPRODUCT(Attributs!$CD$2:$CD$18,Attributs!$DP$2:$DP$18)+SUMPRODUCT(Attributs!$CE$2:$CE$18,Attributs!$DQ$2:$DQ$18))/((SQRT(SUMSQ(Attributs!$CD$2:$CD$18)+SUMSQ(Attributs!$CE$2:$CE$18)))*(SQRT(SUMSQ(Attributs!$DP$2:$DP$18)+SUMSQ(Attributs!$DQ$2:$DQ$18)))),0)</f>
        <v/>
      </c>
      <c r="BJ42" s="2">
        <f>IFERROR((SUMPRODUCT(Attributs!$CD$2:$CD$18,Attributs!$DR$2:$DR$18)+SUMPRODUCT(Attributs!$CE$2:$CE$18,Attributs!$DS$2:$DS$18))/((SQRT(SUMSQ(Attributs!$CD$2:$CD$18)+SUMSQ(Attributs!$CE$2:$CE$18)))*(SQRT(SUMSQ(Attributs!$DR$2:$DR$18)+SUMSQ(Attributs!$DS$2:$DS$18)))),0)</f>
        <v/>
      </c>
      <c r="BK42" s="2">
        <f>IFERROR((SUMPRODUCT(Attributs!$CD$2:$CD$18,Attributs!$DT$2:$DT$18)+SUMPRODUCT(Attributs!$CE$2:$CE$18,Attributs!$DU$2:$DU$18))/((SQRT(SUMSQ(Attributs!$CD$2:$CD$18)+SUMSQ(Attributs!$CE$2:$CE$18)))*(SQRT(SUMSQ(Attributs!$DT$2:$DT$18)+SUMSQ(Attributs!$DU$2:$DU$18)))),0)</f>
        <v/>
      </c>
      <c r="BL42" s="2">
        <f>IFERROR((SUMPRODUCT(Attributs!$CD$2:$CD$18,Attributs!$DV$2:$DV$18)+SUMPRODUCT(Attributs!$CE$2:$CE$18,Attributs!$DW$2:$DW$18))/((SQRT(SUMSQ(Attributs!$CD$2:$CD$18)+SUMSQ(Attributs!$CE$2:$CE$18)))*(SQRT(SUMSQ(Attributs!$DV$2:$DV$18)+SUMSQ(Attributs!$DW$2:$DW$18)))),0)</f>
        <v/>
      </c>
    </row>
    <row r="43">
      <c r="A43" s="3" t="inlineStr">
        <is>
          <t>SE_neo4j.postlinks.id</t>
        </is>
      </c>
      <c r="B43" s="2">
        <f>IFERROR((SUMPRODUCT(Attributs!$CF$2:$CF$18,Attributs!$B$2:$B$18)+SUMPRODUCT(Attributs!$CG$2:$CG$18,Attributs!$C$2:$C$18))/((SQRT(SUMSQ(Attributs!$CF$2:$CF$18)+SUMSQ(Attributs!$CG$2:$CG$18)))*(SQRT(SUMSQ(Attributs!$B$2:$B$18)+SUMSQ(Attributs!$C$2:$C$18)))),0)</f>
        <v/>
      </c>
      <c r="C43" s="2">
        <f>IFERROR((SUMPRODUCT(Attributs!$CF$2:$CF$18,Attributs!$D$2:$D$18)+SUMPRODUCT(Attributs!$CG$2:$CG$18,Attributs!$E$2:$E$18))/((SQRT(SUMSQ(Attributs!$CF$2:$CF$18)+SUMSQ(Attributs!$CG$2:$CG$18)))*(SQRT(SUMSQ(Attributs!$D$2:$D$18)+SUMSQ(Attributs!$E$2:$E$18)))),0)</f>
        <v/>
      </c>
      <c r="D43" s="2">
        <f>IFERROR((SUMPRODUCT(Attributs!$CF$2:$CF$18,Attributs!$F$2:$F$18)+SUMPRODUCT(Attributs!$CG$2:$CG$18,Attributs!$G$2:$G$18))/((SQRT(SUMSQ(Attributs!$CF$2:$CF$18)+SUMSQ(Attributs!$CG$2:$CG$18)))*(SQRT(SUMSQ(Attributs!$F$2:$F$18)+SUMSQ(Attributs!$G$2:$G$18)))),0)</f>
        <v/>
      </c>
      <c r="E43" s="2">
        <f>IFERROR((SUMPRODUCT(Attributs!$CF$2:$CF$18,Attributs!$H$2:$H$18)+SUMPRODUCT(Attributs!$CG$2:$CG$18,Attributs!$I$2:$I$18))/((SQRT(SUMSQ(Attributs!$CF$2:$CF$18)+SUMSQ(Attributs!$CG$2:$CG$18)))*(SQRT(SUMSQ(Attributs!$H$2:$H$18)+SUMSQ(Attributs!$I$2:$I$18)))),0)</f>
        <v/>
      </c>
      <c r="F43" s="2">
        <f>IFERROR((SUMPRODUCT(Attributs!$CF$2:$CF$18,Attributs!$J$2:$J$18)+SUMPRODUCT(Attributs!$CG$2:$CG$18,Attributs!$K$2:$K$18))/((SQRT(SUMSQ(Attributs!$CF$2:$CF$18)+SUMSQ(Attributs!$CG$2:$CG$18)))*(SQRT(SUMSQ(Attributs!$J$2:$J$18)+SUMSQ(Attributs!$K$2:$K$18)))),0)</f>
        <v/>
      </c>
      <c r="G43" s="2">
        <f>IFERROR((SUMPRODUCT(Attributs!$CF$2:$CF$18,Attributs!$L$2:$L$18)+SUMPRODUCT(Attributs!$CG$2:$CG$18,Attributs!$M$2:$M$18))/((SQRT(SUMSQ(Attributs!$CF$2:$CF$18)+SUMSQ(Attributs!$CG$2:$CG$18)))*(SQRT(SUMSQ(Attributs!$L$2:$L$18)+SUMSQ(Attributs!$M$2:$M$18)))),0)</f>
        <v/>
      </c>
      <c r="H43" s="2">
        <f>IFERROR((SUMPRODUCT(Attributs!$CF$2:$CF$18,Attributs!$N$2:$N$18)+SUMPRODUCT(Attributs!$CG$2:$CG$18,Attributs!$O$2:$O$18))/((SQRT(SUMSQ(Attributs!$CF$2:$CF$18)+SUMSQ(Attributs!$CG$2:$CG$18)))*(SQRT(SUMSQ(Attributs!$N$2:$N$18)+SUMSQ(Attributs!$O$2:$O$18)))),0)</f>
        <v/>
      </c>
      <c r="I43" s="2">
        <f>IFERROR((SUMPRODUCT(Attributs!$CF$2:$CF$18,Attributs!$P$2:$P$18)+SUMPRODUCT(Attributs!$CG$2:$CG$18,Attributs!$Q$2:$Q$18))/((SQRT(SUMSQ(Attributs!$CF$2:$CF$18)+SUMSQ(Attributs!$CG$2:$CG$18)))*(SQRT(SUMSQ(Attributs!$P$2:$P$18)+SUMSQ(Attributs!$Q$2:$Q$18)))),0)</f>
        <v/>
      </c>
      <c r="J43" s="2">
        <f>IFERROR((SUMPRODUCT(Attributs!$CF$2:$CF$18,Attributs!$R$2:$R$18)+SUMPRODUCT(Attributs!$CG$2:$CG$18,Attributs!$S$2:$S$18))/((SQRT(SUMSQ(Attributs!$CF$2:$CF$18)+SUMSQ(Attributs!$CG$2:$CG$18)))*(SQRT(SUMSQ(Attributs!$R$2:$R$18)+SUMSQ(Attributs!$S$2:$S$18)))),0)</f>
        <v/>
      </c>
      <c r="K43" s="2">
        <f>IFERROR((SUMPRODUCT(Attributs!$CF$2:$CF$18,Attributs!$T$2:$T$18)+SUMPRODUCT(Attributs!$CG$2:$CG$18,Attributs!$U$2:$U$18))/((SQRT(SUMSQ(Attributs!$CF$2:$CF$18)+SUMSQ(Attributs!$CG$2:$CG$18)))*(SQRT(SUMSQ(Attributs!$T$2:$T$18)+SUMSQ(Attributs!$U$2:$U$18)))),0)</f>
        <v/>
      </c>
      <c r="L43" s="2">
        <f>IFERROR((SUMPRODUCT(Attributs!$CF$2:$CF$18,Attributs!$V$2:$V$18)+SUMPRODUCT(Attributs!$CG$2:$CG$18,Attributs!$W$2:$W$18))/((SQRT(SUMSQ(Attributs!$CF$2:$CF$18)+SUMSQ(Attributs!$CG$2:$CG$18)))*(SQRT(SUMSQ(Attributs!$V$2:$V$18)+SUMSQ(Attributs!$W$2:$W$18)))),0)</f>
        <v/>
      </c>
      <c r="M43" s="2">
        <f>IFERROR((SUMPRODUCT(Attributs!$CF$2:$CF$18,Attributs!$X$2:$X$18)+SUMPRODUCT(Attributs!$CG$2:$CG$18,Attributs!$Y$2:$Y$18))/((SQRT(SUMSQ(Attributs!$CF$2:$CF$18)+SUMSQ(Attributs!$CG$2:$CG$18)))*(SQRT(SUMSQ(Attributs!$X$2:$X$18)+SUMSQ(Attributs!$Y$2:$Y$18)))),0)</f>
        <v/>
      </c>
      <c r="N43" s="2">
        <f>IFERROR((SUMPRODUCT(Attributs!$CF$2:$CF$18,Attributs!$Z$2:$Z$18)+SUMPRODUCT(Attributs!$CG$2:$CG$18,Attributs!$AA$2:$AA$18))/((SQRT(SUMSQ(Attributs!$CF$2:$CF$18)+SUMSQ(Attributs!$CG$2:$CG$18)))*(SQRT(SUMSQ(Attributs!$Z$2:$Z$18)+SUMSQ(Attributs!$AA$2:$AA$18)))),0)</f>
        <v/>
      </c>
      <c r="O43" s="2">
        <f>IFERROR((SUMPRODUCT(Attributs!$CF$2:$CF$18,Attributs!$AB$2:$AB$18)+SUMPRODUCT(Attributs!$CG$2:$CG$18,Attributs!$AC$2:$AC$18))/((SQRT(SUMSQ(Attributs!$CF$2:$CF$18)+SUMSQ(Attributs!$CG$2:$CG$18)))*(SQRT(SUMSQ(Attributs!$AB$2:$AB$18)+SUMSQ(Attributs!$AC$2:$AC$18)))),0)</f>
        <v/>
      </c>
      <c r="P43" s="2">
        <f>IFERROR((SUMPRODUCT(Attributs!$CF$2:$CF$18,Attributs!$AD$2:$AD$18)+SUMPRODUCT(Attributs!$CG$2:$CG$18,Attributs!$AE$2:$AE$18))/((SQRT(SUMSQ(Attributs!$CF$2:$CF$18)+SUMSQ(Attributs!$CG$2:$CG$18)))*(SQRT(SUMSQ(Attributs!$AD$2:$AD$18)+SUMSQ(Attributs!$AE$2:$AE$18)))),0)</f>
        <v/>
      </c>
      <c r="Q43" s="2">
        <f>IFERROR((SUMPRODUCT(Attributs!$CF$2:$CF$18,Attributs!$AF$2:$AF$18)+SUMPRODUCT(Attributs!$CG$2:$CG$18,Attributs!$AG$2:$AG$18))/((SQRT(SUMSQ(Attributs!$CF$2:$CF$18)+SUMSQ(Attributs!$CG$2:$CG$18)))*(SQRT(SUMSQ(Attributs!$AF$2:$AF$18)+SUMSQ(Attributs!$AG$2:$AG$18)))),0)</f>
        <v/>
      </c>
      <c r="R43" s="2">
        <f>IFERROR((SUMPRODUCT(Attributs!$CF$2:$CF$18,Attributs!$AH$2:$AH$18)+SUMPRODUCT(Attributs!$CG$2:$CG$18,Attributs!$AI$2:$AI$18))/((SQRT(SUMSQ(Attributs!$CF$2:$CF$18)+SUMSQ(Attributs!$CG$2:$CG$18)))*(SQRT(SUMSQ(Attributs!$AH$2:$AH$18)+SUMSQ(Attributs!$AI$2:$AI$18)))),0)</f>
        <v/>
      </c>
      <c r="S43" s="2">
        <f>IFERROR((SUMPRODUCT(Attributs!$CF$2:$CF$18,Attributs!$AJ$2:$AJ$18)+SUMPRODUCT(Attributs!$CG$2:$CG$18,Attributs!$AK$2:$AK$18))/((SQRT(SUMSQ(Attributs!$CF$2:$CF$18)+SUMSQ(Attributs!$CG$2:$CG$18)))*(SQRT(SUMSQ(Attributs!$AJ$2:$AJ$18)+SUMSQ(Attributs!$AK$2:$AK$18)))),0)</f>
        <v/>
      </c>
      <c r="T43" s="2">
        <f>IFERROR((SUMPRODUCT(Attributs!$CF$2:$CF$18,Attributs!$AL$2:$AL$18)+SUMPRODUCT(Attributs!$CG$2:$CG$18,Attributs!$AM$2:$AM$18))/((SQRT(SUMSQ(Attributs!$CF$2:$CF$18)+SUMSQ(Attributs!$CG$2:$CG$18)))*(SQRT(SUMSQ(Attributs!$AL$2:$AL$18)+SUMSQ(Attributs!$AM$2:$AM$18)))),0)</f>
        <v/>
      </c>
      <c r="U43" s="2">
        <f>IFERROR((SUMPRODUCT(Attributs!$CF$2:$CF$18,Attributs!$AN$2:$AN$18)+SUMPRODUCT(Attributs!$CG$2:$CG$18,Attributs!$AO$2:$AO$18))/((SQRT(SUMSQ(Attributs!$CF$2:$CF$18)+SUMSQ(Attributs!$CG$2:$CG$18)))*(SQRT(SUMSQ(Attributs!$AN$2:$AN$18)+SUMSQ(Attributs!$AO$2:$AO$18)))),0)</f>
        <v/>
      </c>
      <c r="V43" s="2">
        <f>IFERROR((SUMPRODUCT(Attributs!$CF$2:$CF$18,Attributs!$AP$2:$AP$18)+SUMPRODUCT(Attributs!$CG$2:$CG$18,Attributs!$AQ$2:$AQ$18))/((SQRT(SUMSQ(Attributs!$CF$2:$CF$18)+SUMSQ(Attributs!$CG$2:$CG$18)))*(SQRT(SUMSQ(Attributs!$AP$2:$AP$18)+SUMSQ(Attributs!$AQ$2:$AQ$18)))),0)</f>
        <v/>
      </c>
      <c r="W43" s="2">
        <f>IFERROR((SUMPRODUCT(Attributs!$CF$2:$CF$18,Attributs!$AR$2:$AR$18)+SUMPRODUCT(Attributs!$CG$2:$CG$18,Attributs!$AS$2:$AS$18))/((SQRT(SUMSQ(Attributs!$CF$2:$CF$18)+SUMSQ(Attributs!$CG$2:$CG$18)))*(SQRT(SUMSQ(Attributs!$AR$2:$AR$18)+SUMSQ(Attributs!$AS$2:$AS$18)))),0)</f>
        <v/>
      </c>
      <c r="X43" s="2">
        <f>IFERROR((SUMPRODUCT(Attributs!$CF$2:$CF$18,Attributs!$AT$2:$AT$18)+SUMPRODUCT(Attributs!$CG$2:$CG$18,Attributs!$AU$2:$AU$18))/((SQRT(SUMSQ(Attributs!$CF$2:$CF$18)+SUMSQ(Attributs!$CG$2:$CG$18)))*(SQRT(SUMSQ(Attributs!$AT$2:$AT$18)+SUMSQ(Attributs!$AU$2:$AU$18)))),0)</f>
        <v/>
      </c>
      <c r="Y43" s="2">
        <f>IFERROR((SUMPRODUCT(Attributs!$CF$2:$CF$18,Attributs!$AV$2:$AV$18)+SUMPRODUCT(Attributs!$CG$2:$CG$18,Attributs!$AW$2:$AW$18))/((SQRT(SUMSQ(Attributs!$CF$2:$CF$18)+SUMSQ(Attributs!$CG$2:$CG$18)))*(SQRT(SUMSQ(Attributs!$AV$2:$AV$18)+SUMSQ(Attributs!$AW$2:$AW$18)))),0)</f>
        <v/>
      </c>
      <c r="Z43" s="2">
        <f>IFERROR((SUMPRODUCT(Attributs!$CF$2:$CF$18,Attributs!$AX$2:$AX$18)+SUMPRODUCT(Attributs!$CG$2:$CG$18,Attributs!$AY$2:$AY$18))/((SQRT(SUMSQ(Attributs!$CF$2:$CF$18)+SUMSQ(Attributs!$CG$2:$CG$18)))*(SQRT(SUMSQ(Attributs!$AX$2:$AX$18)+SUMSQ(Attributs!$AY$2:$AY$18)))),0)</f>
        <v/>
      </c>
      <c r="AA43" s="2">
        <f>IFERROR((SUMPRODUCT(Attributs!$CF$2:$CF$18,Attributs!$AZ$2:$AZ$18)+SUMPRODUCT(Attributs!$CG$2:$CG$18,Attributs!$BA$2:$BA$18))/((SQRT(SUMSQ(Attributs!$CF$2:$CF$18)+SUMSQ(Attributs!$CG$2:$CG$18)))*(SQRT(SUMSQ(Attributs!$AZ$2:$AZ$18)+SUMSQ(Attributs!$BA$2:$BA$18)))),0)</f>
        <v/>
      </c>
      <c r="AB43" s="2">
        <f>IFERROR((SUMPRODUCT(Attributs!$CF$2:$CF$18,Attributs!$BB$2:$BB$18)+SUMPRODUCT(Attributs!$CG$2:$CG$18,Attributs!$BC$2:$BC$18))/((SQRT(SUMSQ(Attributs!$CF$2:$CF$18)+SUMSQ(Attributs!$CG$2:$CG$18)))*(SQRT(SUMSQ(Attributs!$BB$2:$BB$18)+SUMSQ(Attributs!$BC$2:$BC$18)))),0)</f>
        <v/>
      </c>
      <c r="AC43" s="2">
        <f>IFERROR((SUMPRODUCT(Attributs!$CF$2:$CF$18,Attributs!$BD$2:$BD$18)+SUMPRODUCT(Attributs!$CG$2:$CG$18,Attributs!$BE$2:$BE$18))/((SQRT(SUMSQ(Attributs!$CF$2:$CF$18)+SUMSQ(Attributs!$CG$2:$CG$18)))*(SQRT(SUMSQ(Attributs!$BD$2:$BD$18)+SUMSQ(Attributs!$BE$2:$BE$18)))),0)</f>
        <v/>
      </c>
      <c r="AD43" s="2">
        <f>IFERROR((SUMPRODUCT(Attributs!$CF$2:$CF$18,Attributs!$BF$2:$BF$18)+SUMPRODUCT(Attributs!$CG$2:$CG$18,Attributs!$BG$2:$BG$18))/((SQRT(SUMSQ(Attributs!$CF$2:$CF$18)+SUMSQ(Attributs!$CG$2:$CG$18)))*(SQRT(SUMSQ(Attributs!$BF$2:$BF$18)+SUMSQ(Attributs!$BG$2:$BG$18)))),0)</f>
        <v/>
      </c>
      <c r="AE43" s="2">
        <f>IFERROR((SUMPRODUCT(Attributs!$CF$2:$CF$18,Attributs!$BH$2:$BH$18)+SUMPRODUCT(Attributs!$CG$2:$CG$18,Attributs!$BI$2:$BI$18))/((SQRT(SUMSQ(Attributs!$CF$2:$CF$18)+SUMSQ(Attributs!$CG$2:$CG$18)))*(SQRT(SUMSQ(Attributs!$BH$2:$BH$18)+SUMSQ(Attributs!$BI$2:$BI$18)))),0)</f>
        <v/>
      </c>
      <c r="AF43" s="2">
        <f>IFERROR((SUMPRODUCT(Attributs!$CF$2:$CF$18,Attributs!$BJ$2:$BJ$18)+SUMPRODUCT(Attributs!$CG$2:$CG$18,Attributs!$BK$2:$BK$18))/((SQRT(SUMSQ(Attributs!$CF$2:$CF$18)+SUMSQ(Attributs!$CG$2:$CG$18)))*(SQRT(SUMSQ(Attributs!$BJ$2:$BJ$18)+SUMSQ(Attributs!$BK$2:$BK$18)))),0)</f>
        <v/>
      </c>
      <c r="AG43" s="2">
        <f>IFERROR((SUMPRODUCT(Attributs!$CF$2:$CF$18,Attributs!$BL$2:$BL$18)+SUMPRODUCT(Attributs!$CG$2:$CG$18,Attributs!$BM$2:$BM$18))/((SQRT(SUMSQ(Attributs!$CF$2:$CF$18)+SUMSQ(Attributs!$CG$2:$CG$18)))*(SQRT(SUMSQ(Attributs!$BL$2:$BL$18)+SUMSQ(Attributs!$BM$2:$BM$18)))),0)</f>
        <v/>
      </c>
      <c r="AH43" s="2">
        <f>IFERROR((SUMPRODUCT(Attributs!$CF$2:$CF$18,Attributs!$BN$2:$BN$18)+SUMPRODUCT(Attributs!$CG$2:$CG$18,Attributs!$BO$2:$BO$18))/((SQRT(SUMSQ(Attributs!$CF$2:$CF$18)+SUMSQ(Attributs!$CG$2:$CG$18)))*(SQRT(SUMSQ(Attributs!$BN$2:$BN$18)+SUMSQ(Attributs!$BO$2:$BO$18)))),0)</f>
        <v/>
      </c>
      <c r="AI43" s="2">
        <f>IFERROR((SUMPRODUCT(Attributs!$CF$2:$CF$18,Attributs!$BP$2:$BP$18)+SUMPRODUCT(Attributs!$CG$2:$CG$18,Attributs!$BQ$2:$BQ$18))/((SQRT(SUMSQ(Attributs!$CF$2:$CF$18)+SUMSQ(Attributs!$CG$2:$CG$18)))*(SQRT(SUMSQ(Attributs!$BP$2:$BP$18)+SUMSQ(Attributs!$BQ$2:$BQ$18)))),0)</f>
        <v/>
      </c>
      <c r="AJ43" s="2">
        <f>IFERROR((SUMPRODUCT(Attributs!$CF$2:$CF$18,Attributs!$BR$2:$BR$18)+SUMPRODUCT(Attributs!$CG$2:$CG$18,Attributs!$BS$2:$BS$18))/((SQRT(SUMSQ(Attributs!$CF$2:$CF$18)+SUMSQ(Attributs!$CG$2:$CG$18)))*(SQRT(SUMSQ(Attributs!$BR$2:$BR$18)+SUMSQ(Attributs!$BS$2:$BS$18)))),0)</f>
        <v/>
      </c>
      <c r="AK43" s="2">
        <f>IFERROR((SUMPRODUCT(Attributs!$CF$2:$CF$18,Attributs!$BT$2:$BT$18)+SUMPRODUCT(Attributs!$CG$2:$CG$18,Attributs!$BU$2:$BU$18))/((SQRT(SUMSQ(Attributs!$CF$2:$CF$18)+SUMSQ(Attributs!$CG$2:$CG$18)))*(SQRT(SUMSQ(Attributs!$BT$2:$BT$18)+SUMSQ(Attributs!$BU$2:$BU$18)))),0)</f>
        <v/>
      </c>
      <c r="AL43" s="2">
        <f>IFERROR((SUMPRODUCT(Attributs!$CF$2:$CF$18,Attributs!$BV$2:$BV$18)+SUMPRODUCT(Attributs!$CG$2:$CG$18,Attributs!$BW$2:$BW$18))/((SQRT(SUMSQ(Attributs!$CF$2:$CF$18)+SUMSQ(Attributs!$CG$2:$CG$18)))*(SQRT(SUMSQ(Attributs!$BV$2:$BV$18)+SUMSQ(Attributs!$BW$2:$BW$18)))),0)</f>
        <v/>
      </c>
      <c r="AM43" s="2">
        <f>IFERROR((SUMPRODUCT(Attributs!$CF$2:$CF$18,Attributs!$BX$2:$BX$18)+SUMPRODUCT(Attributs!$CG$2:$CG$18,Attributs!$BY$2:$BY$18))/((SQRT(SUMSQ(Attributs!$CF$2:$CF$18)+SUMSQ(Attributs!$CG$2:$CG$18)))*(SQRT(SUMSQ(Attributs!$BX$2:$BX$18)+SUMSQ(Attributs!$BY$2:$BY$18)))),0)</f>
        <v/>
      </c>
      <c r="AN43" s="2">
        <f>IFERROR((SUMPRODUCT(Attributs!$CF$2:$CF$18,Attributs!$BZ$2:$BZ$18)+SUMPRODUCT(Attributs!$CG$2:$CG$18,Attributs!$CA$2:$CA$18))/((SQRT(SUMSQ(Attributs!$CF$2:$CF$18)+SUMSQ(Attributs!$CG$2:$CG$18)))*(SQRT(SUMSQ(Attributs!$BZ$2:$BZ$18)+SUMSQ(Attributs!$CA$2:$CA$18)))),0)</f>
        <v/>
      </c>
      <c r="AO43" s="2">
        <f>IFERROR((SUMPRODUCT(Attributs!$CF$2:$CF$18,Attributs!$CB$2:$CB$18)+SUMPRODUCT(Attributs!$CG$2:$CG$18,Attributs!$CC$2:$CC$18))/((SQRT(SUMSQ(Attributs!$CF$2:$CF$18)+SUMSQ(Attributs!$CG$2:$CG$18)))*(SQRT(SUMSQ(Attributs!$CB$2:$CB$18)+SUMSQ(Attributs!$CC$2:$CC$18)))),0)</f>
        <v/>
      </c>
      <c r="AP43" s="2">
        <f>IFERROR((SUMPRODUCT(Attributs!$CF$2:$CF$18,Attributs!$CD$2:$CD$18)+SUMPRODUCT(Attributs!$CG$2:$CG$18,Attributs!$CE$2:$CE$18))/((SQRT(SUMSQ(Attributs!$CF$2:$CF$18)+SUMSQ(Attributs!$CG$2:$CG$18)))*(SQRT(SUMSQ(Attributs!$CD$2:$CD$18)+SUMSQ(Attributs!$CE$2:$CE$18)))),0)</f>
        <v/>
      </c>
      <c r="AQ43" s="2">
        <f>IFERROR((SUMPRODUCT(Attributs!$CF$2:$CF$18,Attributs!$CF$2:$CF$18)+SUMPRODUCT(Attributs!$CG$2:$CG$18,Attributs!$CG$2:$CG$18))/((SQRT(SUMSQ(Attributs!$CF$2:$CF$18)+SUMSQ(Attributs!$CG$2:$CG$18)))*(SQRT(SUMSQ(Attributs!$CF$2:$CF$18)+SUMSQ(Attributs!$CG$2:$CG$18)))),0)</f>
        <v/>
      </c>
      <c r="AR43" s="2">
        <f>IFERROR((SUMPRODUCT(Attributs!$CF$2:$CF$18,Attributs!$CH$2:$CH$18)+SUMPRODUCT(Attributs!$CG$2:$CG$18,Attributs!$CI$2:$CI$18))/((SQRT(SUMSQ(Attributs!$CF$2:$CF$18)+SUMSQ(Attributs!$CG$2:$CG$18)))*(SQRT(SUMSQ(Attributs!$CH$2:$CH$18)+SUMSQ(Attributs!$CI$2:$CI$18)))),0)</f>
        <v/>
      </c>
      <c r="AS43" s="2">
        <f>IFERROR((SUMPRODUCT(Attributs!$CF$2:$CF$18,Attributs!$CJ$2:$CJ$18)+SUMPRODUCT(Attributs!$CG$2:$CG$18,Attributs!$CK$2:$CK$18))/((SQRT(SUMSQ(Attributs!$CF$2:$CF$18)+SUMSQ(Attributs!$CG$2:$CG$18)))*(SQRT(SUMSQ(Attributs!$CJ$2:$CJ$18)+SUMSQ(Attributs!$CK$2:$CK$18)))),0)</f>
        <v/>
      </c>
      <c r="AT43" s="2">
        <f>IFERROR((SUMPRODUCT(Attributs!$CF$2:$CF$18,Attributs!$CL$2:$CL$18)+SUMPRODUCT(Attributs!$CG$2:$CG$18,Attributs!$CM$2:$CM$18))/((SQRT(SUMSQ(Attributs!$CF$2:$CF$18)+SUMSQ(Attributs!$CG$2:$CG$18)))*(SQRT(SUMSQ(Attributs!$CL$2:$CL$18)+SUMSQ(Attributs!$CM$2:$CM$18)))),0)</f>
        <v/>
      </c>
      <c r="AU43" s="2">
        <f>IFERROR((SUMPRODUCT(Attributs!$CF$2:$CF$18,Attributs!$CN$2:$CN$18)+SUMPRODUCT(Attributs!$CG$2:$CG$18,Attributs!$CO$2:$CO$18))/((SQRT(SUMSQ(Attributs!$CF$2:$CF$18)+SUMSQ(Attributs!$CG$2:$CG$18)))*(SQRT(SUMSQ(Attributs!$CN$2:$CN$18)+SUMSQ(Attributs!$CO$2:$CO$18)))),0)</f>
        <v/>
      </c>
      <c r="AV43" s="2">
        <f>IFERROR((SUMPRODUCT(Attributs!$CF$2:$CF$18,Attributs!$CP$2:$CP$18)+SUMPRODUCT(Attributs!$CG$2:$CG$18,Attributs!$CQ$2:$CQ$18))/((SQRT(SUMSQ(Attributs!$CF$2:$CF$18)+SUMSQ(Attributs!$CG$2:$CG$18)))*(SQRT(SUMSQ(Attributs!$CP$2:$CP$18)+SUMSQ(Attributs!$CQ$2:$CQ$18)))),0)</f>
        <v/>
      </c>
      <c r="AW43" s="2">
        <f>IFERROR((SUMPRODUCT(Attributs!$CF$2:$CF$18,Attributs!$CR$2:$CR$18)+SUMPRODUCT(Attributs!$CG$2:$CG$18,Attributs!$CS$2:$CS$18))/((SQRT(SUMSQ(Attributs!$CF$2:$CF$18)+SUMSQ(Attributs!$CG$2:$CG$18)))*(SQRT(SUMSQ(Attributs!$CR$2:$CR$18)+SUMSQ(Attributs!$CS$2:$CS$18)))),0)</f>
        <v/>
      </c>
      <c r="AX43" s="2">
        <f>IFERROR((SUMPRODUCT(Attributs!$CF$2:$CF$18,Attributs!$CT$2:$CT$18)+SUMPRODUCT(Attributs!$CG$2:$CG$18,Attributs!$CU$2:$CU$18))/((SQRT(SUMSQ(Attributs!$CF$2:$CF$18)+SUMSQ(Attributs!$CG$2:$CG$18)))*(SQRT(SUMSQ(Attributs!$CT$2:$CT$18)+SUMSQ(Attributs!$CU$2:$CU$18)))),0)</f>
        <v/>
      </c>
      <c r="AY43" s="2">
        <f>IFERROR((SUMPRODUCT(Attributs!$CF$2:$CF$18,Attributs!$CV$2:$CV$18)+SUMPRODUCT(Attributs!$CG$2:$CG$18,Attributs!$CW$2:$CW$18))/((SQRT(SUMSQ(Attributs!$CF$2:$CF$18)+SUMSQ(Attributs!$CG$2:$CG$18)))*(SQRT(SUMSQ(Attributs!$CV$2:$CV$18)+SUMSQ(Attributs!$CW$2:$CW$18)))),0)</f>
        <v/>
      </c>
      <c r="AZ43" s="2">
        <f>IFERROR((SUMPRODUCT(Attributs!$CF$2:$CF$18,Attributs!$CX$2:$CX$18)+SUMPRODUCT(Attributs!$CG$2:$CG$18,Attributs!$CY$2:$CY$18))/((SQRT(SUMSQ(Attributs!$CF$2:$CF$18)+SUMSQ(Attributs!$CG$2:$CG$18)))*(SQRT(SUMSQ(Attributs!$CX$2:$CX$18)+SUMSQ(Attributs!$CY$2:$CY$18)))),0)</f>
        <v/>
      </c>
      <c r="BA43" s="2">
        <f>IFERROR((SUMPRODUCT(Attributs!$CF$2:$CF$18,Attributs!$CZ$2:$CZ$18)+SUMPRODUCT(Attributs!$CG$2:$CG$18,Attributs!$DA$2:$DA$18))/((SQRT(SUMSQ(Attributs!$CF$2:$CF$18)+SUMSQ(Attributs!$CG$2:$CG$18)))*(SQRT(SUMSQ(Attributs!$CZ$2:$CZ$18)+SUMSQ(Attributs!$DA$2:$DA$18)))),0)</f>
        <v/>
      </c>
      <c r="BB43" s="2">
        <f>IFERROR((SUMPRODUCT(Attributs!$CF$2:$CF$18,Attributs!$DB$2:$DB$18)+SUMPRODUCT(Attributs!$CG$2:$CG$18,Attributs!$DC$2:$DC$18))/((SQRT(SUMSQ(Attributs!$CF$2:$CF$18)+SUMSQ(Attributs!$CG$2:$CG$18)))*(SQRT(SUMSQ(Attributs!$DB$2:$DB$18)+SUMSQ(Attributs!$DC$2:$DC$18)))),0)</f>
        <v/>
      </c>
      <c r="BC43" s="2">
        <f>IFERROR((SUMPRODUCT(Attributs!$CF$2:$CF$18,Attributs!$DD$2:$DD$18)+SUMPRODUCT(Attributs!$CG$2:$CG$18,Attributs!$DE$2:$DE$18))/((SQRT(SUMSQ(Attributs!$CF$2:$CF$18)+SUMSQ(Attributs!$CG$2:$CG$18)))*(SQRT(SUMSQ(Attributs!$DD$2:$DD$18)+SUMSQ(Attributs!$DE$2:$DE$18)))),0)</f>
        <v/>
      </c>
      <c r="BD43" s="2">
        <f>IFERROR((SUMPRODUCT(Attributs!$CF$2:$CF$18,Attributs!$DF$2:$DF$18)+SUMPRODUCT(Attributs!$CG$2:$CG$18,Attributs!$DG$2:$DG$18))/((SQRT(SUMSQ(Attributs!$CF$2:$CF$18)+SUMSQ(Attributs!$CG$2:$CG$18)))*(SQRT(SUMSQ(Attributs!$DF$2:$DF$18)+SUMSQ(Attributs!$DG$2:$DG$18)))),0)</f>
        <v/>
      </c>
      <c r="BE43" s="2">
        <f>IFERROR((SUMPRODUCT(Attributs!$CF$2:$CF$18,Attributs!$DH$2:$DH$18)+SUMPRODUCT(Attributs!$CG$2:$CG$18,Attributs!$DI$2:$DI$18))/((SQRT(SUMSQ(Attributs!$CF$2:$CF$18)+SUMSQ(Attributs!$CG$2:$CG$18)))*(SQRT(SUMSQ(Attributs!$DH$2:$DH$18)+SUMSQ(Attributs!$DI$2:$DI$18)))),0)</f>
        <v/>
      </c>
      <c r="BF43" s="2">
        <f>IFERROR((SUMPRODUCT(Attributs!$CF$2:$CF$18,Attributs!$DJ$2:$DJ$18)+SUMPRODUCT(Attributs!$CG$2:$CG$18,Attributs!$DK$2:$DK$18))/((SQRT(SUMSQ(Attributs!$CF$2:$CF$18)+SUMSQ(Attributs!$CG$2:$CG$18)))*(SQRT(SUMSQ(Attributs!$DJ$2:$DJ$18)+SUMSQ(Attributs!$DK$2:$DK$18)))),0)</f>
        <v/>
      </c>
      <c r="BG43" s="2">
        <f>IFERROR((SUMPRODUCT(Attributs!$CF$2:$CF$18,Attributs!$DL$2:$DL$18)+SUMPRODUCT(Attributs!$CG$2:$CG$18,Attributs!$DM$2:$DM$18))/((SQRT(SUMSQ(Attributs!$CF$2:$CF$18)+SUMSQ(Attributs!$CG$2:$CG$18)))*(SQRT(SUMSQ(Attributs!$DL$2:$DL$18)+SUMSQ(Attributs!$DM$2:$DM$18)))),0)</f>
        <v/>
      </c>
      <c r="BH43" s="2">
        <f>IFERROR((SUMPRODUCT(Attributs!$CF$2:$CF$18,Attributs!$DN$2:$DN$18)+SUMPRODUCT(Attributs!$CG$2:$CG$18,Attributs!$DO$2:$DO$18))/((SQRT(SUMSQ(Attributs!$CF$2:$CF$18)+SUMSQ(Attributs!$CG$2:$CG$18)))*(SQRT(SUMSQ(Attributs!$DN$2:$DN$18)+SUMSQ(Attributs!$DO$2:$DO$18)))),0)</f>
        <v/>
      </c>
      <c r="BI43" s="2">
        <f>IFERROR((SUMPRODUCT(Attributs!$CF$2:$CF$18,Attributs!$DP$2:$DP$18)+SUMPRODUCT(Attributs!$CG$2:$CG$18,Attributs!$DQ$2:$DQ$18))/((SQRT(SUMSQ(Attributs!$CF$2:$CF$18)+SUMSQ(Attributs!$CG$2:$CG$18)))*(SQRT(SUMSQ(Attributs!$DP$2:$DP$18)+SUMSQ(Attributs!$DQ$2:$DQ$18)))),0)</f>
        <v/>
      </c>
      <c r="BJ43" s="2">
        <f>IFERROR((SUMPRODUCT(Attributs!$CF$2:$CF$18,Attributs!$DR$2:$DR$18)+SUMPRODUCT(Attributs!$CG$2:$CG$18,Attributs!$DS$2:$DS$18))/((SQRT(SUMSQ(Attributs!$CF$2:$CF$18)+SUMSQ(Attributs!$CG$2:$CG$18)))*(SQRT(SUMSQ(Attributs!$DR$2:$DR$18)+SUMSQ(Attributs!$DS$2:$DS$18)))),0)</f>
        <v/>
      </c>
      <c r="BK43" s="2">
        <f>IFERROR((SUMPRODUCT(Attributs!$CF$2:$CF$18,Attributs!$DT$2:$DT$18)+SUMPRODUCT(Attributs!$CG$2:$CG$18,Attributs!$DU$2:$DU$18))/((SQRT(SUMSQ(Attributs!$CF$2:$CF$18)+SUMSQ(Attributs!$CG$2:$CG$18)))*(SQRT(SUMSQ(Attributs!$DT$2:$DT$18)+SUMSQ(Attributs!$DU$2:$DU$18)))),0)</f>
        <v/>
      </c>
      <c r="BL43" s="2">
        <f>IFERROR((SUMPRODUCT(Attributs!$CF$2:$CF$18,Attributs!$DV$2:$DV$18)+SUMPRODUCT(Attributs!$CG$2:$CG$18,Attributs!$DW$2:$DW$18))/((SQRT(SUMSQ(Attributs!$CF$2:$CF$18)+SUMSQ(Attributs!$CG$2:$CG$18)))*(SQRT(SUMSQ(Attributs!$DV$2:$DV$18)+SUMSQ(Attributs!$DW$2:$DW$18)))),0)</f>
        <v/>
      </c>
    </row>
    <row r="44">
      <c r="A44" s="3" t="inlineStr">
        <is>
          <t>SE_neo4j.postlinks.LinkTypeId</t>
        </is>
      </c>
      <c r="B44" s="2">
        <f>IFERROR((SUMPRODUCT(Attributs!$CH$2:$CH$18,Attributs!$B$2:$B$18)+SUMPRODUCT(Attributs!$CI$2:$CI$18,Attributs!$C$2:$C$18))/((SQRT(SUMSQ(Attributs!$CH$2:$CH$18)+SUMSQ(Attributs!$CI$2:$CI$18)))*(SQRT(SUMSQ(Attributs!$B$2:$B$18)+SUMSQ(Attributs!$C$2:$C$18)))),0)</f>
        <v/>
      </c>
      <c r="C44" s="2">
        <f>IFERROR((SUMPRODUCT(Attributs!$CH$2:$CH$18,Attributs!$D$2:$D$18)+SUMPRODUCT(Attributs!$CI$2:$CI$18,Attributs!$E$2:$E$18))/((SQRT(SUMSQ(Attributs!$CH$2:$CH$18)+SUMSQ(Attributs!$CI$2:$CI$18)))*(SQRT(SUMSQ(Attributs!$D$2:$D$18)+SUMSQ(Attributs!$E$2:$E$18)))),0)</f>
        <v/>
      </c>
      <c r="D44" s="2">
        <f>IFERROR((SUMPRODUCT(Attributs!$CH$2:$CH$18,Attributs!$F$2:$F$18)+SUMPRODUCT(Attributs!$CI$2:$CI$18,Attributs!$G$2:$G$18))/((SQRT(SUMSQ(Attributs!$CH$2:$CH$18)+SUMSQ(Attributs!$CI$2:$CI$18)))*(SQRT(SUMSQ(Attributs!$F$2:$F$18)+SUMSQ(Attributs!$G$2:$G$18)))),0)</f>
        <v/>
      </c>
      <c r="E44" s="2">
        <f>IFERROR((SUMPRODUCT(Attributs!$CH$2:$CH$18,Attributs!$H$2:$H$18)+SUMPRODUCT(Attributs!$CI$2:$CI$18,Attributs!$I$2:$I$18))/((SQRT(SUMSQ(Attributs!$CH$2:$CH$18)+SUMSQ(Attributs!$CI$2:$CI$18)))*(SQRT(SUMSQ(Attributs!$H$2:$H$18)+SUMSQ(Attributs!$I$2:$I$18)))),0)</f>
        <v/>
      </c>
      <c r="F44" s="2">
        <f>IFERROR((SUMPRODUCT(Attributs!$CH$2:$CH$18,Attributs!$J$2:$J$18)+SUMPRODUCT(Attributs!$CI$2:$CI$18,Attributs!$K$2:$K$18))/((SQRT(SUMSQ(Attributs!$CH$2:$CH$18)+SUMSQ(Attributs!$CI$2:$CI$18)))*(SQRT(SUMSQ(Attributs!$J$2:$J$18)+SUMSQ(Attributs!$K$2:$K$18)))),0)</f>
        <v/>
      </c>
      <c r="G44" s="2">
        <f>IFERROR((SUMPRODUCT(Attributs!$CH$2:$CH$18,Attributs!$L$2:$L$18)+SUMPRODUCT(Attributs!$CI$2:$CI$18,Attributs!$M$2:$M$18))/((SQRT(SUMSQ(Attributs!$CH$2:$CH$18)+SUMSQ(Attributs!$CI$2:$CI$18)))*(SQRT(SUMSQ(Attributs!$L$2:$L$18)+SUMSQ(Attributs!$M$2:$M$18)))),0)</f>
        <v/>
      </c>
      <c r="H44" s="2">
        <f>IFERROR((SUMPRODUCT(Attributs!$CH$2:$CH$18,Attributs!$N$2:$N$18)+SUMPRODUCT(Attributs!$CI$2:$CI$18,Attributs!$O$2:$O$18))/((SQRT(SUMSQ(Attributs!$CH$2:$CH$18)+SUMSQ(Attributs!$CI$2:$CI$18)))*(SQRT(SUMSQ(Attributs!$N$2:$N$18)+SUMSQ(Attributs!$O$2:$O$18)))),0)</f>
        <v/>
      </c>
      <c r="I44" s="2">
        <f>IFERROR((SUMPRODUCT(Attributs!$CH$2:$CH$18,Attributs!$P$2:$P$18)+SUMPRODUCT(Attributs!$CI$2:$CI$18,Attributs!$Q$2:$Q$18))/((SQRT(SUMSQ(Attributs!$CH$2:$CH$18)+SUMSQ(Attributs!$CI$2:$CI$18)))*(SQRT(SUMSQ(Attributs!$P$2:$P$18)+SUMSQ(Attributs!$Q$2:$Q$18)))),0)</f>
        <v/>
      </c>
      <c r="J44" s="2">
        <f>IFERROR((SUMPRODUCT(Attributs!$CH$2:$CH$18,Attributs!$R$2:$R$18)+SUMPRODUCT(Attributs!$CI$2:$CI$18,Attributs!$S$2:$S$18))/((SQRT(SUMSQ(Attributs!$CH$2:$CH$18)+SUMSQ(Attributs!$CI$2:$CI$18)))*(SQRT(SUMSQ(Attributs!$R$2:$R$18)+SUMSQ(Attributs!$S$2:$S$18)))),0)</f>
        <v/>
      </c>
      <c r="K44" s="2">
        <f>IFERROR((SUMPRODUCT(Attributs!$CH$2:$CH$18,Attributs!$T$2:$T$18)+SUMPRODUCT(Attributs!$CI$2:$CI$18,Attributs!$U$2:$U$18))/((SQRT(SUMSQ(Attributs!$CH$2:$CH$18)+SUMSQ(Attributs!$CI$2:$CI$18)))*(SQRT(SUMSQ(Attributs!$T$2:$T$18)+SUMSQ(Attributs!$U$2:$U$18)))),0)</f>
        <v/>
      </c>
      <c r="L44" s="2">
        <f>IFERROR((SUMPRODUCT(Attributs!$CH$2:$CH$18,Attributs!$V$2:$V$18)+SUMPRODUCT(Attributs!$CI$2:$CI$18,Attributs!$W$2:$W$18))/((SQRT(SUMSQ(Attributs!$CH$2:$CH$18)+SUMSQ(Attributs!$CI$2:$CI$18)))*(SQRT(SUMSQ(Attributs!$V$2:$V$18)+SUMSQ(Attributs!$W$2:$W$18)))),0)</f>
        <v/>
      </c>
      <c r="M44" s="2">
        <f>IFERROR((SUMPRODUCT(Attributs!$CH$2:$CH$18,Attributs!$X$2:$X$18)+SUMPRODUCT(Attributs!$CI$2:$CI$18,Attributs!$Y$2:$Y$18))/((SQRT(SUMSQ(Attributs!$CH$2:$CH$18)+SUMSQ(Attributs!$CI$2:$CI$18)))*(SQRT(SUMSQ(Attributs!$X$2:$X$18)+SUMSQ(Attributs!$Y$2:$Y$18)))),0)</f>
        <v/>
      </c>
      <c r="N44" s="2">
        <f>IFERROR((SUMPRODUCT(Attributs!$CH$2:$CH$18,Attributs!$Z$2:$Z$18)+SUMPRODUCT(Attributs!$CI$2:$CI$18,Attributs!$AA$2:$AA$18))/((SQRT(SUMSQ(Attributs!$CH$2:$CH$18)+SUMSQ(Attributs!$CI$2:$CI$18)))*(SQRT(SUMSQ(Attributs!$Z$2:$Z$18)+SUMSQ(Attributs!$AA$2:$AA$18)))),0)</f>
        <v/>
      </c>
      <c r="O44" s="2">
        <f>IFERROR((SUMPRODUCT(Attributs!$CH$2:$CH$18,Attributs!$AB$2:$AB$18)+SUMPRODUCT(Attributs!$CI$2:$CI$18,Attributs!$AC$2:$AC$18))/((SQRT(SUMSQ(Attributs!$CH$2:$CH$18)+SUMSQ(Attributs!$CI$2:$CI$18)))*(SQRT(SUMSQ(Attributs!$AB$2:$AB$18)+SUMSQ(Attributs!$AC$2:$AC$18)))),0)</f>
        <v/>
      </c>
      <c r="P44" s="2">
        <f>IFERROR((SUMPRODUCT(Attributs!$CH$2:$CH$18,Attributs!$AD$2:$AD$18)+SUMPRODUCT(Attributs!$CI$2:$CI$18,Attributs!$AE$2:$AE$18))/((SQRT(SUMSQ(Attributs!$CH$2:$CH$18)+SUMSQ(Attributs!$CI$2:$CI$18)))*(SQRT(SUMSQ(Attributs!$AD$2:$AD$18)+SUMSQ(Attributs!$AE$2:$AE$18)))),0)</f>
        <v/>
      </c>
      <c r="Q44" s="2">
        <f>IFERROR((SUMPRODUCT(Attributs!$CH$2:$CH$18,Attributs!$AF$2:$AF$18)+SUMPRODUCT(Attributs!$CI$2:$CI$18,Attributs!$AG$2:$AG$18))/((SQRT(SUMSQ(Attributs!$CH$2:$CH$18)+SUMSQ(Attributs!$CI$2:$CI$18)))*(SQRT(SUMSQ(Attributs!$AF$2:$AF$18)+SUMSQ(Attributs!$AG$2:$AG$18)))),0)</f>
        <v/>
      </c>
      <c r="R44" s="2">
        <f>IFERROR((SUMPRODUCT(Attributs!$CH$2:$CH$18,Attributs!$AH$2:$AH$18)+SUMPRODUCT(Attributs!$CI$2:$CI$18,Attributs!$AI$2:$AI$18))/((SQRT(SUMSQ(Attributs!$CH$2:$CH$18)+SUMSQ(Attributs!$CI$2:$CI$18)))*(SQRT(SUMSQ(Attributs!$AH$2:$AH$18)+SUMSQ(Attributs!$AI$2:$AI$18)))),0)</f>
        <v/>
      </c>
      <c r="S44" s="2">
        <f>IFERROR((SUMPRODUCT(Attributs!$CH$2:$CH$18,Attributs!$AJ$2:$AJ$18)+SUMPRODUCT(Attributs!$CI$2:$CI$18,Attributs!$AK$2:$AK$18))/((SQRT(SUMSQ(Attributs!$CH$2:$CH$18)+SUMSQ(Attributs!$CI$2:$CI$18)))*(SQRT(SUMSQ(Attributs!$AJ$2:$AJ$18)+SUMSQ(Attributs!$AK$2:$AK$18)))),0)</f>
        <v/>
      </c>
      <c r="T44" s="2">
        <f>IFERROR((SUMPRODUCT(Attributs!$CH$2:$CH$18,Attributs!$AL$2:$AL$18)+SUMPRODUCT(Attributs!$CI$2:$CI$18,Attributs!$AM$2:$AM$18))/((SQRT(SUMSQ(Attributs!$CH$2:$CH$18)+SUMSQ(Attributs!$CI$2:$CI$18)))*(SQRT(SUMSQ(Attributs!$AL$2:$AL$18)+SUMSQ(Attributs!$AM$2:$AM$18)))),0)</f>
        <v/>
      </c>
      <c r="U44" s="2">
        <f>IFERROR((SUMPRODUCT(Attributs!$CH$2:$CH$18,Attributs!$AN$2:$AN$18)+SUMPRODUCT(Attributs!$CI$2:$CI$18,Attributs!$AO$2:$AO$18))/((SQRT(SUMSQ(Attributs!$CH$2:$CH$18)+SUMSQ(Attributs!$CI$2:$CI$18)))*(SQRT(SUMSQ(Attributs!$AN$2:$AN$18)+SUMSQ(Attributs!$AO$2:$AO$18)))),0)</f>
        <v/>
      </c>
      <c r="V44" s="2">
        <f>IFERROR((SUMPRODUCT(Attributs!$CH$2:$CH$18,Attributs!$AP$2:$AP$18)+SUMPRODUCT(Attributs!$CI$2:$CI$18,Attributs!$AQ$2:$AQ$18))/((SQRT(SUMSQ(Attributs!$CH$2:$CH$18)+SUMSQ(Attributs!$CI$2:$CI$18)))*(SQRT(SUMSQ(Attributs!$AP$2:$AP$18)+SUMSQ(Attributs!$AQ$2:$AQ$18)))),0)</f>
        <v/>
      </c>
      <c r="W44" s="2">
        <f>IFERROR((SUMPRODUCT(Attributs!$CH$2:$CH$18,Attributs!$AR$2:$AR$18)+SUMPRODUCT(Attributs!$CI$2:$CI$18,Attributs!$AS$2:$AS$18))/((SQRT(SUMSQ(Attributs!$CH$2:$CH$18)+SUMSQ(Attributs!$CI$2:$CI$18)))*(SQRT(SUMSQ(Attributs!$AR$2:$AR$18)+SUMSQ(Attributs!$AS$2:$AS$18)))),0)</f>
        <v/>
      </c>
      <c r="X44" s="2">
        <f>IFERROR((SUMPRODUCT(Attributs!$CH$2:$CH$18,Attributs!$AT$2:$AT$18)+SUMPRODUCT(Attributs!$CI$2:$CI$18,Attributs!$AU$2:$AU$18))/((SQRT(SUMSQ(Attributs!$CH$2:$CH$18)+SUMSQ(Attributs!$CI$2:$CI$18)))*(SQRT(SUMSQ(Attributs!$AT$2:$AT$18)+SUMSQ(Attributs!$AU$2:$AU$18)))),0)</f>
        <v/>
      </c>
      <c r="Y44" s="2">
        <f>IFERROR((SUMPRODUCT(Attributs!$CH$2:$CH$18,Attributs!$AV$2:$AV$18)+SUMPRODUCT(Attributs!$CI$2:$CI$18,Attributs!$AW$2:$AW$18))/((SQRT(SUMSQ(Attributs!$CH$2:$CH$18)+SUMSQ(Attributs!$CI$2:$CI$18)))*(SQRT(SUMSQ(Attributs!$AV$2:$AV$18)+SUMSQ(Attributs!$AW$2:$AW$18)))),0)</f>
        <v/>
      </c>
      <c r="Z44" s="2">
        <f>IFERROR((SUMPRODUCT(Attributs!$CH$2:$CH$18,Attributs!$AX$2:$AX$18)+SUMPRODUCT(Attributs!$CI$2:$CI$18,Attributs!$AY$2:$AY$18))/((SQRT(SUMSQ(Attributs!$CH$2:$CH$18)+SUMSQ(Attributs!$CI$2:$CI$18)))*(SQRT(SUMSQ(Attributs!$AX$2:$AX$18)+SUMSQ(Attributs!$AY$2:$AY$18)))),0)</f>
        <v/>
      </c>
      <c r="AA44" s="2">
        <f>IFERROR((SUMPRODUCT(Attributs!$CH$2:$CH$18,Attributs!$AZ$2:$AZ$18)+SUMPRODUCT(Attributs!$CI$2:$CI$18,Attributs!$BA$2:$BA$18))/((SQRT(SUMSQ(Attributs!$CH$2:$CH$18)+SUMSQ(Attributs!$CI$2:$CI$18)))*(SQRT(SUMSQ(Attributs!$AZ$2:$AZ$18)+SUMSQ(Attributs!$BA$2:$BA$18)))),0)</f>
        <v/>
      </c>
      <c r="AB44" s="2">
        <f>IFERROR((SUMPRODUCT(Attributs!$CH$2:$CH$18,Attributs!$BB$2:$BB$18)+SUMPRODUCT(Attributs!$CI$2:$CI$18,Attributs!$BC$2:$BC$18))/((SQRT(SUMSQ(Attributs!$CH$2:$CH$18)+SUMSQ(Attributs!$CI$2:$CI$18)))*(SQRT(SUMSQ(Attributs!$BB$2:$BB$18)+SUMSQ(Attributs!$BC$2:$BC$18)))),0)</f>
        <v/>
      </c>
      <c r="AC44" s="2">
        <f>IFERROR((SUMPRODUCT(Attributs!$CH$2:$CH$18,Attributs!$BD$2:$BD$18)+SUMPRODUCT(Attributs!$CI$2:$CI$18,Attributs!$BE$2:$BE$18))/((SQRT(SUMSQ(Attributs!$CH$2:$CH$18)+SUMSQ(Attributs!$CI$2:$CI$18)))*(SQRT(SUMSQ(Attributs!$BD$2:$BD$18)+SUMSQ(Attributs!$BE$2:$BE$18)))),0)</f>
        <v/>
      </c>
      <c r="AD44" s="2">
        <f>IFERROR((SUMPRODUCT(Attributs!$CH$2:$CH$18,Attributs!$BF$2:$BF$18)+SUMPRODUCT(Attributs!$CI$2:$CI$18,Attributs!$BG$2:$BG$18))/((SQRT(SUMSQ(Attributs!$CH$2:$CH$18)+SUMSQ(Attributs!$CI$2:$CI$18)))*(SQRT(SUMSQ(Attributs!$BF$2:$BF$18)+SUMSQ(Attributs!$BG$2:$BG$18)))),0)</f>
        <v/>
      </c>
      <c r="AE44" s="2">
        <f>IFERROR((SUMPRODUCT(Attributs!$CH$2:$CH$18,Attributs!$BH$2:$BH$18)+SUMPRODUCT(Attributs!$CI$2:$CI$18,Attributs!$BI$2:$BI$18))/((SQRT(SUMSQ(Attributs!$CH$2:$CH$18)+SUMSQ(Attributs!$CI$2:$CI$18)))*(SQRT(SUMSQ(Attributs!$BH$2:$BH$18)+SUMSQ(Attributs!$BI$2:$BI$18)))),0)</f>
        <v/>
      </c>
      <c r="AF44" s="2">
        <f>IFERROR((SUMPRODUCT(Attributs!$CH$2:$CH$18,Attributs!$BJ$2:$BJ$18)+SUMPRODUCT(Attributs!$CI$2:$CI$18,Attributs!$BK$2:$BK$18))/((SQRT(SUMSQ(Attributs!$CH$2:$CH$18)+SUMSQ(Attributs!$CI$2:$CI$18)))*(SQRT(SUMSQ(Attributs!$BJ$2:$BJ$18)+SUMSQ(Attributs!$BK$2:$BK$18)))),0)</f>
        <v/>
      </c>
      <c r="AG44" s="2">
        <f>IFERROR((SUMPRODUCT(Attributs!$CH$2:$CH$18,Attributs!$BL$2:$BL$18)+SUMPRODUCT(Attributs!$CI$2:$CI$18,Attributs!$BM$2:$BM$18))/((SQRT(SUMSQ(Attributs!$CH$2:$CH$18)+SUMSQ(Attributs!$CI$2:$CI$18)))*(SQRT(SUMSQ(Attributs!$BL$2:$BL$18)+SUMSQ(Attributs!$BM$2:$BM$18)))),0)</f>
        <v/>
      </c>
      <c r="AH44" s="2">
        <f>IFERROR((SUMPRODUCT(Attributs!$CH$2:$CH$18,Attributs!$BN$2:$BN$18)+SUMPRODUCT(Attributs!$CI$2:$CI$18,Attributs!$BO$2:$BO$18))/((SQRT(SUMSQ(Attributs!$CH$2:$CH$18)+SUMSQ(Attributs!$CI$2:$CI$18)))*(SQRT(SUMSQ(Attributs!$BN$2:$BN$18)+SUMSQ(Attributs!$BO$2:$BO$18)))),0)</f>
        <v/>
      </c>
      <c r="AI44" s="2">
        <f>IFERROR((SUMPRODUCT(Attributs!$CH$2:$CH$18,Attributs!$BP$2:$BP$18)+SUMPRODUCT(Attributs!$CI$2:$CI$18,Attributs!$BQ$2:$BQ$18))/((SQRT(SUMSQ(Attributs!$CH$2:$CH$18)+SUMSQ(Attributs!$CI$2:$CI$18)))*(SQRT(SUMSQ(Attributs!$BP$2:$BP$18)+SUMSQ(Attributs!$BQ$2:$BQ$18)))),0)</f>
        <v/>
      </c>
      <c r="AJ44" s="2">
        <f>IFERROR((SUMPRODUCT(Attributs!$CH$2:$CH$18,Attributs!$BR$2:$BR$18)+SUMPRODUCT(Attributs!$CI$2:$CI$18,Attributs!$BS$2:$BS$18))/((SQRT(SUMSQ(Attributs!$CH$2:$CH$18)+SUMSQ(Attributs!$CI$2:$CI$18)))*(SQRT(SUMSQ(Attributs!$BR$2:$BR$18)+SUMSQ(Attributs!$BS$2:$BS$18)))),0)</f>
        <v/>
      </c>
      <c r="AK44" s="2">
        <f>IFERROR((SUMPRODUCT(Attributs!$CH$2:$CH$18,Attributs!$BT$2:$BT$18)+SUMPRODUCT(Attributs!$CI$2:$CI$18,Attributs!$BU$2:$BU$18))/((SQRT(SUMSQ(Attributs!$CH$2:$CH$18)+SUMSQ(Attributs!$CI$2:$CI$18)))*(SQRT(SUMSQ(Attributs!$BT$2:$BT$18)+SUMSQ(Attributs!$BU$2:$BU$18)))),0)</f>
        <v/>
      </c>
      <c r="AL44" s="2">
        <f>IFERROR((SUMPRODUCT(Attributs!$CH$2:$CH$18,Attributs!$BV$2:$BV$18)+SUMPRODUCT(Attributs!$CI$2:$CI$18,Attributs!$BW$2:$BW$18))/((SQRT(SUMSQ(Attributs!$CH$2:$CH$18)+SUMSQ(Attributs!$CI$2:$CI$18)))*(SQRT(SUMSQ(Attributs!$BV$2:$BV$18)+SUMSQ(Attributs!$BW$2:$BW$18)))),0)</f>
        <v/>
      </c>
      <c r="AM44" s="2">
        <f>IFERROR((SUMPRODUCT(Attributs!$CH$2:$CH$18,Attributs!$BX$2:$BX$18)+SUMPRODUCT(Attributs!$CI$2:$CI$18,Attributs!$BY$2:$BY$18))/((SQRT(SUMSQ(Attributs!$CH$2:$CH$18)+SUMSQ(Attributs!$CI$2:$CI$18)))*(SQRT(SUMSQ(Attributs!$BX$2:$BX$18)+SUMSQ(Attributs!$BY$2:$BY$18)))),0)</f>
        <v/>
      </c>
      <c r="AN44" s="2">
        <f>IFERROR((SUMPRODUCT(Attributs!$CH$2:$CH$18,Attributs!$BZ$2:$BZ$18)+SUMPRODUCT(Attributs!$CI$2:$CI$18,Attributs!$CA$2:$CA$18))/((SQRT(SUMSQ(Attributs!$CH$2:$CH$18)+SUMSQ(Attributs!$CI$2:$CI$18)))*(SQRT(SUMSQ(Attributs!$BZ$2:$BZ$18)+SUMSQ(Attributs!$CA$2:$CA$18)))),0)</f>
        <v/>
      </c>
      <c r="AO44" s="2">
        <f>IFERROR((SUMPRODUCT(Attributs!$CH$2:$CH$18,Attributs!$CB$2:$CB$18)+SUMPRODUCT(Attributs!$CI$2:$CI$18,Attributs!$CC$2:$CC$18))/((SQRT(SUMSQ(Attributs!$CH$2:$CH$18)+SUMSQ(Attributs!$CI$2:$CI$18)))*(SQRT(SUMSQ(Attributs!$CB$2:$CB$18)+SUMSQ(Attributs!$CC$2:$CC$18)))),0)</f>
        <v/>
      </c>
      <c r="AP44" s="2">
        <f>IFERROR((SUMPRODUCT(Attributs!$CH$2:$CH$18,Attributs!$CD$2:$CD$18)+SUMPRODUCT(Attributs!$CI$2:$CI$18,Attributs!$CE$2:$CE$18))/((SQRT(SUMSQ(Attributs!$CH$2:$CH$18)+SUMSQ(Attributs!$CI$2:$CI$18)))*(SQRT(SUMSQ(Attributs!$CD$2:$CD$18)+SUMSQ(Attributs!$CE$2:$CE$18)))),0)</f>
        <v/>
      </c>
      <c r="AQ44" s="2">
        <f>IFERROR((SUMPRODUCT(Attributs!$CH$2:$CH$18,Attributs!$CF$2:$CF$18)+SUMPRODUCT(Attributs!$CI$2:$CI$18,Attributs!$CG$2:$CG$18))/((SQRT(SUMSQ(Attributs!$CH$2:$CH$18)+SUMSQ(Attributs!$CI$2:$CI$18)))*(SQRT(SUMSQ(Attributs!$CF$2:$CF$18)+SUMSQ(Attributs!$CG$2:$CG$18)))),0)</f>
        <v/>
      </c>
      <c r="AR44" s="2">
        <f>IFERROR((SUMPRODUCT(Attributs!$CH$2:$CH$18,Attributs!$CH$2:$CH$18)+SUMPRODUCT(Attributs!$CI$2:$CI$18,Attributs!$CI$2:$CI$18))/((SQRT(SUMSQ(Attributs!$CH$2:$CH$18)+SUMSQ(Attributs!$CI$2:$CI$18)))*(SQRT(SUMSQ(Attributs!$CH$2:$CH$18)+SUMSQ(Attributs!$CI$2:$CI$18)))),0)</f>
        <v/>
      </c>
      <c r="AS44" s="2">
        <f>IFERROR((SUMPRODUCT(Attributs!$CH$2:$CH$18,Attributs!$CJ$2:$CJ$18)+SUMPRODUCT(Attributs!$CI$2:$CI$18,Attributs!$CK$2:$CK$18))/((SQRT(SUMSQ(Attributs!$CH$2:$CH$18)+SUMSQ(Attributs!$CI$2:$CI$18)))*(SQRT(SUMSQ(Attributs!$CJ$2:$CJ$18)+SUMSQ(Attributs!$CK$2:$CK$18)))),0)</f>
        <v/>
      </c>
      <c r="AT44" s="2">
        <f>IFERROR((SUMPRODUCT(Attributs!$CH$2:$CH$18,Attributs!$CL$2:$CL$18)+SUMPRODUCT(Attributs!$CI$2:$CI$18,Attributs!$CM$2:$CM$18))/((SQRT(SUMSQ(Attributs!$CH$2:$CH$18)+SUMSQ(Attributs!$CI$2:$CI$18)))*(SQRT(SUMSQ(Attributs!$CL$2:$CL$18)+SUMSQ(Attributs!$CM$2:$CM$18)))),0)</f>
        <v/>
      </c>
      <c r="AU44" s="2">
        <f>IFERROR((SUMPRODUCT(Attributs!$CH$2:$CH$18,Attributs!$CN$2:$CN$18)+SUMPRODUCT(Attributs!$CI$2:$CI$18,Attributs!$CO$2:$CO$18))/((SQRT(SUMSQ(Attributs!$CH$2:$CH$18)+SUMSQ(Attributs!$CI$2:$CI$18)))*(SQRT(SUMSQ(Attributs!$CN$2:$CN$18)+SUMSQ(Attributs!$CO$2:$CO$18)))),0)</f>
        <v/>
      </c>
      <c r="AV44" s="2">
        <f>IFERROR((SUMPRODUCT(Attributs!$CH$2:$CH$18,Attributs!$CP$2:$CP$18)+SUMPRODUCT(Attributs!$CI$2:$CI$18,Attributs!$CQ$2:$CQ$18))/((SQRT(SUMSQ(Attributs!$CH$2:$CH$18)+SUMSQ(Attributs!$CI$2:$CI$18)))*(SQRT(SUMSQ(Attributs!$CP$2:$CP$18)+SUMSQ(Attributs!$CQ$2:$CQ$18)))),0)</f>
        <v/>
      </c>
      <c r="AW44" s="2">
        <f>IFERROR((SUMPRODUCT(Attributs!$CH$2:$CH$18,Attributs!$CR$2:$CR$18)+SUMPRODUCT(Attributs!$CI$2:$CI$18,Attributs!$CS$2:$CS$18))/((SQRT(SUMSQ(Attributs!$CH$2:$CH$18)+SUMSQ(Attributs!$CI$2:$CI$18)))*(SQRT(SUMSQ(Attributs!$CR$2:$CR$18)+SUMSQ(Attributs!$CS$2:$CS$18)))),0)</f>
        <v/>
      </c>
      <c r="AX44" s="2">
        <f>IFERROR((SUMPRODUCT(Attributs!$CH$2:$CH$18,Attributs!$CT$2:$CT$18)+SUMPRODUCT(Attributs!$CI$2:$CI$18,Attributs!$CU$2:$CU$18))/((SQRT(SUMSQ(Attributs!$CH$2:$CH$18)+SUMSQ(Attributs!$CI$2:$CI$18)))*(SQRT(SUMSQ(Attributs!$CT$2:$CT$18)+SUMSQ(Attributs!$CU$2:$CU$18)))),0)</f>
        <v/>
      </c>
      <c r="AY44" s="2">
        <f>IFERROR((SUMPRODUCT(Attributs!$CH$2:$CH$18,Attributs!$CV$2:$CV$18)+SUMPRODUCT(Attributs!$CI$2:$CI$18,Attributs!$CW$2:$CW$18))/((SQRT(SUMSQ(Attributs!$CH$2:$CH$18)+SUMSQ(Attributs!$CI$2:$CI$18)))*(SQRT(SUMSQ(Attributs!$CV$2:$CV$18)+SUMSQ(Attributs!$CW$2:$CW$18)))),0)</f>
        <v/>
      </c>
      <c r="AZ44" s="2">
        <f>IFERROR((SUMPRODUCT(Attributs!$CH$2:$CH$18,Attributs!$CX$2:$CX$18)+SUMPRODUCT(Attributs!$CI$2:$CI$18,Attributs!$CY$2:$CY$18))/((SQRT(SUMSQ(Attributs!$CH$2:$CH$18)+SUMSQ(Attributs!$CI$2:$CI$18)))*(SQRT(SUMSQ(Attributs!$CX$2:$CX$18)+SUMSQ(Attributs!$CY$2:$CY$18)))),0)</f>
        <v/>
      </c>
      <c r="BA44" s="2">
        <f>IFERROR((SUMPRODUCT(Attributs!$CH$2:$CH$18,Attributs!$CZ$2:$CZ$18)+SUMPRODUCT(Attributs!$CI$2:$CI$18,Attributs!$DA$2:$DA$18))/((SQRT(SUMSQ(Attributs!$CH$2:$CH$18)+SUMSQ(Attributs!$CI$2:$CI$18)))*(SQRT(SUMSQ(Attributs!$CZ$2:$CZ$18)+SUMSQ(Attributs!$DA$2:$DA$18)))),0)</f>
        <v/>
      </c>
      <c r="BB44" s="2">
        <f>IFERROR((SUMPRODUCT(Attributs!$CH$2:$CH$18,Attributs!$DB$2:$DB$18)+SUMPRODUCT(Attributs!$CI$2:$CI$18,Attributs!$DC$2:$DC$18))/((SQRT(SUMSQ(Attributs!$CH$2:$CH$18)+SUMSQ(Attributs!$CI$2:$CI$18)))*(SQRT(SUMSQ(Attributs!$DB$2:$DB$18)+SUMSQ(Attributs!$DC$2:$DC$18)))),0)</f>
        <v/>
      </c>
      <c r="BC44" s="2">
        <f>IFERROR((SUMPRODUCT(Attributs!$CH$2:$CH$18,Attributs!$DD$2:$DD$18)+SUMPRODUCT(Attributs!$CI$2:$CI$18,Attributs!$DE$2:$DE$18))/((SQRT(SUMSQ(Attributs!$CH$2:$CH$18)+SUMSQ(Attributs!$CI$2:$CI$18)))*(SQRT(SUMSQ(Attributs!$DD$2:$DD$18)+SUMSQ(Attributs!$DE$2:$DE$18)))),0)</f>
        <v/>
      </c>
      <c r="BD44" s="2">
        <f>IFERROR((SUMPRODUCT(Attributs!$CH$2:$CH$18,Attributs!$DF$2:$DF$18)+SUMPRODUCT(Attributs!$CI$2:$CI$18,Attributs!$DG$2:$DG$18))/((SQRT(SUMSQ(Attributs!$CH$2:$CH$18)+SUMSQ(Attributs!$CI$2:$CI$18)))*(SQRT(SUMSQ(Attributs!$DF$2:$DF$18)+SUMSQ(Attributs!$DG$2:$DG$18)))),0)</f>
        <v/>
      </c>
      <c r="BE44" s="2">
        <f>IFERROR((SUMPRODUCT(Attributs!$CH$2:$CH$18,Attributs!$DH$2:$DH$18)+SUMPRODUCT(Attributs!$CI$2:$CI$18,Attributs!$DI$2:$DI$18))/((SQRT(SUMSQ(Attributs!$CH$2:$CH$18)+SUMSQ(Attributs!$CI$2:$CI$18)))*(SQRT(SUMSQ(Attributs!$DH$2:$DH$18)+SUMSQ(Attributs!$DI$2:$DI$18)))),0)</f>
        <v/>
      </c>
      <c r="BF44" s="2">
        <f>IFERROR((SUMPRODUCT(Attributs!$CH$2:$CH$18,Attributs!$DJ$2:$DJ$18)+SUMPRODUCT(Attributs!$CI$2:$CI$18,Attributs!$DK$2:$DK$18))/((SQRT(SUMSQ(Attributs!$CH$2:$CH$18)+SUMSQ(Attributs!$CI$2:$CI$18)))*(SQRT(SUMSQ(Attributs!$DJ$2:$DJ$18)+SUMSQ(Attributs!$DK$2:$DK$18)))),0)</f>
        <v/>
      </c>
      <c r="BG44" s="2">
        <f>IFERROR((SUMPRODUCT(Attributs!$CH$2:$CH$18,Attributs!$DL$2:$DL$18)+SUMPRODUCT(Attributs!$CI$2:$CI$18,Attributs!$DM$2:$DM$18))/((SQRT(SUMSQ(Attributs!$CH$2:$CH$18)+SUMSQ(Attributs!$CI$2:$CI$18)))*(SQRT(SUMSQ(Attributs!$DL$2:$DL$18)+SUMSQ(Attributs!$DM$2:$DM$18)))),0)</f>
        <v/>
      </c>
      <c r="BH44" s="2">
        <f>IFERROR((SUMPRODUCT(Attributs!$CH$2:$CH$18,Attributs!$DN$2:$DN$18)+SUMPRODUCT(Attributs!$CI$2:$CI$18,Attributs!$DO$2:$DO$18))/((SQRT(SUMSQ(Attributs!$CH$2:$CH$18)+SUMSQ(Attributs!$CI$2:$CI$18)))*(SQRT(SUMSQ(Attributs!$DN$2:$DN$18)+SUMSQ(Attributs!$DO$2:$DO$18)))),0)</f>
        <v/>
      </c>
      <c r="BI44" s="2">
        <f>IFERROR((SUMPRODUCT(Attributs!$CH$2:$CH$18,Attributs!$DP$2:$DP$18)+SUMPRODUCT(Attributs!$CI$2:$CI$18,Attributs!$DQ$2:$DQ$18))/((SQRT(SUMSQ(Attributs!$CH$2:$CH$18)+SUMSQ(Attributs!$CI$2:$CI$18)))*(SQRT(SUMSQ(Attributs!$DP$2:$DP$18)+SUMSQ(Attributs!$DQ$2:$DQ$18)))),0)</f>
        <v/>
      </c>
      <c r="BJ44" s="2">
        <f>IFERROR((SUMPRODUCT(Attributs!$CH$2:$CH$18,Attributs!$DR$2:$DR$18)+SUMPRODUCT(Attributs!$CI$2:$CI$18,Attributs!$DS$2:$DS$18))/((SQRT(SUMSQ(Attributs!$CH$2:$CH$18)+SUMSQ(Attributs!$CI$2:$CI$18)))*(SQRT(SUMSQ(Attributs!$DR$2:$DR$18)+SUMSQ(Attributs!$DS$2:$DS$18)))),0)</f>
        <v/>
      </c>
      <c r="BK44" s="2">
        <f>IFERROR((SUMPRODUCT(Attributs!$CH$2:$CH$18,Attributs!$DT$2:$DT$18)+SUMPRODUCT(Attributs!$CI$2:$CI$18,Attributs!$DU$2:$DU$18))/((SQRT(SUMSQ(Attributs!$CH$2:$CH$18)+SUMSQ(Attributs!$CI$2:$CI$18)))*(SQRT(SUMSQ(Attributs!$DT$2:$DT$18)+SUMSQ(Attributs!$DU$2:$DU$18)))),0)</f>
        <v/>
      </c>
      <c r="BL44" s="2">
        <f>IFERROR((SUMPRODUCT(Attributs!$CH$2:$CH$18,Attributs!$DV$2:$DV$18)+SUMPRODUCT(Attributs!$CI$2:$CI$18,Attributs!$DW$2:$DW$18))/((SQRT(SUMSQ(Attributs!$CH$2:$CH$18)+SUMSQ(Attributs!$CI$2:$CI$18)))*(SQRT(SUMSQ(Attributs!$DV$2:$DV$18)+SUMSQ(Attributs!$DW$2:$DW$18)))),0)</f>
        <v/>
      </c>
    </row>
    <row r="45">
      <c r="A45" s="3" t="inlineStr">
        <is>
          <t>SE_neo4j.postlinks.RelatedPostId</t>
        </is>
      </c>
      <c r="B45" s="2">
        <f>IFERROR((SUMPRODUCT(Attributs!$CJ$2:$CJ$18,Attributs!$B$2:$B$18)+SUMPRODUCT(Attributs!$CK$2:$CK$18,Attributs!$C$2:$C$18))/((SQRT(SUMSQ(Attributs!$CJ$2:$CJ$18)+SUMSQ(Attributs!$CK$2:$CK$18)))*(SQRT(SUMSQ(Attributs!$B$2:$B$18)+SUMSQ(Attributs!$C$2:$C$18)))),0)</f>
        <v/>
      </c>
      <c r="C45" s="2">
        <f>IFERROR((SUMPRODUCT(Attributs!$CJ$2:$CJ$18,Attributs!$D$2:$D$18)+SUMPRODUCT(Attributs!$CK$2:$CK$18,Attributs!$E$2:$E$18))/((SQRT(SUMSQ(Attributs!$CJ$2:$CJ$18)+SUMSQ(Attributs!$CK$2:$CK$18)))*(SQRT(SUMSQ(Attributs!$D$2:$D$18)+SUMSQ(Attributs!$E$2:$E$18)))),0)</f>
        <v/>
      </c>
      <c r="D45" s="2">
        <f>IFERROR((SUMPRODUCT(Attributs!$CJ$2:$CJ$18,Attributs!$F$2:$F$18)+SUMPRODUCT(Attributs!$CK$2:$CK$18,Attributs!$G$2:$G$18))/((SQRT(SUMSQ(Attributs!$CJ$2:$CJ$18)+SUMSQ(Attributs!$CK$2:$CK$18)))*(SQRT(SUMSQ(Attributs!$F$2:$F$18)+SUMSQ(Attributs!$G$2:$G$18)))),0)</f>
        <v/>
      </c>
      <c r="E45" s="2">
        <f>IFERROR((SUMPRODUCT(Attributs!$CJ$2:$CJ$18,Attributs!$H$2:$H$18)+SUMPRODUCT(Attributs!$CK$2:$CK$18,Attributs!$I$2:$I$18))/((SQRT(SUMSQ(Attributs!$CJ$2:$CJ$18)+SUMSQ(Attributs!$CK$2:$CK$18)))*(SQRT(SUMSQ(Attributs!$H$2:$H$18)+SUMSQ(Attributs!$I$2:$I$18)))),0)</f>
        <v/>
      </c>
      <c r="F45" s="2">
        <f>IFERROR((SUMPRODUCT(Attributs!$CJ$2:$CJ$18,Attributs!$J$2:$J$18)+SUMPRODUCT(Attributs!$CK$2:$CK$18,Attributs!$K$2:$K$18))/((SQRT(SUMSQ(Attributs!$CJ$2:$CJ$18)+SUMSQ(Attributs!$CK$2:$CK$18)))*(SQRT(SUMSQ(Attributs!$J$2:$J$18)+SUMSQ(Attributs!$K$2:$K$18)))),0)</f>
        <v/>
      </c>
      <c r="G45" s="2">
        <f>IFERROR((SUMPRODUCT(Attributs!$CJ$2:$CJ$18,Attributs!$L$2:$L$18)+SUMPRODUCT(Attributs!$CK$2:$CK$18,Attributs!$M$2:$M$18))/((SQRT(SUMSQ(Attributs!$CJ$2:$CJ$18)+SUMSQ(Attributs!$CK$2:$CK$18)))*(SQRT(SUMSQ(Attributs!$L$2:$L$18)+SUMSQ(Attributs!$M$2:$M$18)))),0)</f>
        <v/>
      </c>
      <c r="H45" s="2">
        <f>IFERROR((SUMPRODUCT(Attributs!$CJ$2:$CJ$18,Attributs!$N$2:$N$18)+SUMPRODUCT(Attributs!$CK$2:$CK$18,Attributs!$O$2:$O$18))/((SQRT(SUMSQ(Attributs!$CJ$2:$CJ$18)+SUMSQ(Attributs!$CK$2:$CK$18)))*(SQRT(SUMSQ(Attributs!$N$2:$N$18)+SUMSQ(Attributs!$O$2:$O$18)))),0)</f>
        <v/>
      </c>
      <c r="I45" s="2">
        <f>IFERROR((SUMPRODUCT(Attributs!$CJ$2:$CJ$18,Attributs!$P$2:$P$18)+SUMPRODUCT(Attributs!$CK$2:$CK$18,Attributs!$Q$2:$Q$18))/((SQRT(SUMSQ(Attributs!$CJ$2:$CJ$18)+SUMSQ(Attributs!$CK$2:$CK$18)))*(SQRT(SUMSQ(Attributs!$P$2:$P$18)+SUMSQ(Attributs!$Q$2:$Q$18)))),0)</f>
        <v/>
      </c>
      <c r="J45" s="2">
        <f>IFERROR((SUMPRODUCT(Attributs!$CJ$2:$CJ$18,Attributs!$R$2:$R$18)+SUMPRODUCT(Attributs!$CK$2:$CK$18,Attributs!$S$2:$S$18))/((SQRT(SUMSQ(Attributs!$CJ$2:$CJ$18)+SUMSQ(Attributs!$CK$2:$CK$18)))*(SQRT(SUMSQ(Attributs!$R$2:$R$18)+SUMSQ(Attributs!$S$2:$S$18)))),0)</f>
        <v/>
      </c>
      <c r="K45" s="2">
        <f>IFERROR((SUMPRODUCT(Attributs!$CJ$2:$CJ$18,Attributs!$T$2:$T$18)+SUMPRODUCT(Attributs!$CK$2:$CK$18,Attributs!$U$2:$U$18))/((SQRT(SUMSQ(Attributs!$CJ$2:$CJ$18)+SUMSQ(Attributs!$CK$2:$CK$18)))*(SQRT(SUMSQ(Attributs!$T$2:$T$18)+SUMSQ(Attributs!$U$2:$U$18)))),0)</f>
        <v/>
      </c>
      <c r="L45" s="2">
        <f>IFERROR((SUMPRODUCT(Attributs!$CJ$2:$CJ$18,Attributs!$V$2:$V$18)+SUMPRODUCT(Attributs!$CK$2:$CK$18,Attributs!$W$2:$W$18))/((SQRT(SUMSQ(Attributs!$CJ$2:$CJ$18)+SUMSQ(Attributs!$CK$2:$CK$18)))*(SQRT(SUMSQ(Attributs!$V$2:$V$18)+SUMSQ(Attributs!$W$2:$W$18)))),0)</f>
        <v/>
      </c>
      <c r="M45" s="2">
        <f>IFERROR((SUMPRODUCT(Attributs!$CJ$2:$CJ$18,Attributs!$X$2:$X$18)+SUMPRODUCT(Attributs!$CK$2:$CK$18,Attributs!$Y$2:$Y$18))/((SQRT(SUMSQ(Attributs!$CJ$2:$CJ$18)+SUMSQ(Attributs!$CK$2:$CK$18)))*(SQRT(SUMSQ(Attributs!$X$2:$X$18)+SUMSQ(Attributs!$Y$2:$Y$18)))),0)</f>
        <v/>
      </c>
      <c r="N45" s="2">
        <f>IFERROR((SUMPRODUCT(Attributs!$CJ$2:$CJ$18,Attributs!$Z$2:$Z$18)+SUMPRODUCT(Attributs!$CK$2:$CK$18,Attributs!$AA$2:$AA$18))/((SQRT(SUMSQ(Attributs!$CJ$2:$CJ$18)+SUMSQ(Attributs!$CK$2:$CK$18)))*(SQRT(SUMSQ(Attributs!$Z$2:$Z$18)+SUMSQ(Attributs!$AA$2:$AA$18)))),0)</f>
        <v/>
      </c>
      <c r="O45" s="2">
        <f>IFERROR((SUMPRODUCT(Attributs!$CJ$2:$CJ$18,Attributs!$AB$2:$AB$18)+SUMPRODUCT(Attributs!$CK$2:$CK$18,Attributs!$AC$2:$AC$18))/((SQRT(SUMSQ(Attributs!$CJ$2:$CJ$18)+SUMSQ(Attributs!$CK$2:$CK$18)))*(SQRT(SUMSQ(Attributs!$AB$2:$AB$18)+SUMSQ(Attributs!$AC$2:$AC$18)))),0)</f>
        <v/>
      </c>
      <c r="P45" s="2">
        <f>IFERROR((SUMPRODUCT(Attributs!$CJ$2:$CJ$18,Attributs!$AD$2:$AD$18)+SUMPRODUCT(Attributs!$CK$2:$CK$18,Attributs!$AE$2:$AE$18))/((SQRT(SUMSQ(Attributs!$CJ$2:$CJ$18)+SUMSQ(Attributs!$CK$2:$CK$18)))*(SQRT(SUMSQ(Attributs!$AD$2:$AD$18)+SUMSQ(Attributs!$AE$2:$AE$18)))),0)</f>
        <v/>
      </c>
      <c r="Q45" s="2">
        <f>IFERROR((SUMPRODUCT(Attributs!$CJ$2:$CJ$18,Attributs!$AF$2:$AF$18)+SUMPRODUCT(Attributs!$CK$2:$CK$18,Attributs!$AG$2:$AG$18))/((SQRT(SUMSQ(Attributs!$CJ$2:$CJ$18)+SUMSQ(Attributs!$CK$2:$CK$18)))*(SQRT(SUMSQ(Attributs!$AF$2:$AF$18)+SUMSQ(Attributs!$AG$2:$AG$18)))),0)</f>
        <v/>
      </c>
      <c r="R45" s="2">
        <f>IFERROR((SUMPRODUCT(Attributs!$CJ$2:$CJ$18,Attributs!$AH$2:$AH$18)+SUMPRODUCT(Attributs!$CK$2:$CK$18,Attributs!$AI$2:$AI$18))/((SQRT(SUMSQ(Attributs!$CJ$2:$CJ$18)+SUMSQ(Attributs!$CK$2:$CK$18)))*(SQRT(SUMSQ(Attributs!$AH$2:$AH$18)+SUMSQ(Attributs!$AI$2:$AI$18)))),0)</f>
        <v/>
      </c>
      <c r="S45" s="2">
        <f>IFERROR((SUMPRODUCT(Attributs!$CJ$2:$CJ$18,Attributs!$AJ$2:$AJ$18)+SUMPRODUCT(Attributs!$CK$2:$CK$18,Attributs!$AK$2:$AK$18))/((SQRT(SUMSQ(Attributs!$CJ$2:$CJ$18)+SUMSQ(Attributs!$CK$2:$CK$18)))*(SQRT(SUMSQ(Attributs!$AJ$2:$AJ$18)+SUMSQ(Attributs!$AK$2:$AK$18)))),0)</f>
        <v/>
      </c>
      <c r="T45" s="2">
        <f>IFERROR((SUMPRODUCT(Attributs!$CJ$2:$CJ$18,Attributs!$AL$2:$AL$18)+SUMPRODUCT(Attributs!$CK$2:$CK$18,Attributs!$AM$2:$AM$18))/((SQRT(SUMSQ(Attributs!$CJ$2:$CJ$18)+SUMSQ(Attributs!$CK$2:$CK$18)))*(SQRT(SUMSQ(Attributs!$AL$2:$AL$18)+SUMSQ(Attributs!$AM$2:$AM$18)))),0)</f>
        <v/>
      </c>
      <c r="U45" s="2">
        <f>IFERROR((SUMPRODUCT(Attributs!$CJ$2:$CJ$18,Attributs!$AN$2:$AN$18)+SUMPRODUCT(Attributs!$CK$2:$CK$18,Attributs!$AO$2:$AO$18))/((SQRT(SUMSQ(Attributs!$CJ$2:$CJ$18)+SUMSQ(Attributs!$CK$2:$CK$18)))*(SQRT(SUMSQ(Attributs!$AN$2:$AN$18)+SUMSQ(Attributs!$AO$2:$AO$18)))),0)</f>
        <v/>
      </c>
      <c r="V45" s="2">
        <f>IFERROR((SUMPRODUCT(Attributs!$CJ$2:$CJ$18,Attributs!$AP$2:$AP$18)+SUMPRODUCT(Attributs!$CK$2:$CK$18,Attributs!$AQ$2:$AQ$18))/((SQRT(SUMSQ(Attributs!$CJ$2:$CJ$18)+SUMSQ(Attributs!$CK$2:$CK$18)))*(SQRT(SUMSQ(Attributs!$AP$2:$AP$18)+SUMSQ(Attributs!$AQ$2:$AQ$18)))),0)</f>
        <v/>
      </c>
      <c r="W45" s="2">
        <f>IFERROR((SUMPRODUCT(Attributs!$CJ$2:$CJ$18,Attributs!$AR$2:$AR$18)+SUMPRODUCT(Attributs!$CK$2:$CK$18,Attributs!$AS$2:$AS$18))/((SQRT(SUMSQ(Attributs!$CJ$2:$CJ$18)+SUMSQ(Attributs!$CK$2:$CK$18)))*(SQRT(SUMSQ(Attributs!$AR$2:$AR$18)+SUMSQ(Attributs!$AS$2:$AS$18)))),0)</f>
        <v/>
      </c>
      <c r="X45" s="2">
        <f>IFERROR((SUMPRODUCT(Attributs!$CJ$2:$CJ$18,Attributs!$AT$2:$AT$18)+SUMPRODUCT(Attributs!$CK$2:$CK$18,Attributs!$AU$2:$AU$18))/((SQRT(SUMSQ(Attributs!$CJ$2:$CJ$18)+SUMSQ(Attributs!$CK$2:$CK$18)))*(SQRT(SUMSQ(Attributs!$AT$2:$AT$18)+SUMSQ(Attributs!$AU$2:$AU$18)))),0)</f>
        <v/>
      </c>
      <c r="Y45" s="2">
        <f>IFERROR((SUMPRODUCT(Attributs!$CJ$2:$CJ$18,Attributs!$AV$2:$AV$18)+SUMPRODUCT(Attributs!$CK$2:$CK$18,Attributs!$AW$2:$AW$18))/((SQRT(SUMSQ(Attributs!$CJ$2:$CJ$18)+SUMSQ(Attributs!$CK$2:$CK$18)))*(SQRT(SUMSQ(Attributs!$AV$2:$AV$18)+SUMSQ(Attributs!$AW$2:$AW$18)))),0)</f>
        <v/>
      </c>
      <c r="Z45" s="2">
        <f>IFERROR((SUMPRODUCT(Attributs!$CJ$2:$CJ$18,Attributs!$AX$2:$AX$18)+SUMPRODUCT(Attributs!$CK$2:$CK$18,Attributs!$AY$2:$AY$18))/((SQRT(SUMSQ(Attributs!$CJ$2:$CJ$18)+SUMSQ(Attributs!$CK$2:$CK$18)))*(SQRT(SUMSQ(Attributs!$AX$2:$AX$18)+SUMSQ(Attributs!$AY$2:$AY$18)))),0)</f>
        <v/>
      </c>
      <c r="AA45" s="2">
        <f>IFERROR((SUMPRODUCT(Attributs!$CJ$2:$CJ$18,Attributs!$AZ$2:$AZ$18)+SUMPRODUCT(Attributs!$CK$2:$CK$18,Attributs!$BA$2:$BA$18))/((SQRT(SUMSQ(Attributs!$CJ$2:$CJ$18)+SUMSQ(Attributs!$CK$2:$CK$18)))*(SQRT(SUMSQ(Attributs!$AZ$2:$AZ$18)+SUMSQ(Attributs!$BA$2:$BA$18)))),0)</f>
        <v/>
      </c>
      <c r="AB45" s="2">
        <f>IFERROR((SUMPRODUCT(Attributs!$CJ$2:$CJ$18,Attributs!$BB$2:$BB$18)+SUMPRODUCT(Attributs!$CK$2:$CK$18,Attributs!$BC$2:$BC$18))/((SQRT(SUMSQ(Attributs!$CJ$2:$CJ$18)+SUMSQ(Attributs!$CK$2:$CK$18)))*(SQRT(SUMSQ(Attributs!$BB$2:$BB$18)+SUMSQ(Attributs!$BC$2:$BC$18)))),0)</f>
        <v/>
      </c>
      <c r="AC45" s="2">
        <f>IFERROR((SUMPRODUCT(Attributs!$CJ$2:$CJ$18,Attributs!$BD$2:$BD$18)+SUMPRODUCT(Attributs!$CK$2:$CK$18,Attributs!$BE$2:$BE$18))/((SQRT(SUMSQ(Attributs!$CJ$2:$CJ$18)+SUMSQ(Attributs!$CK$2:$CK$18)))*(SQRT(SUMSQ(Attributs!$BD$2:$BD$18)+SUMSQ(Attributs!$BE$2:$BE$18)))),0)</f>
        <v/>
      </c>
      <c r="AD45" s="2">
        <f>IFERROR((SUMPRODUCT(Attributs!$CJ$2:$CJ$18,Attributs!$BF$2:$BF$18)+SUMPRODUCT(Attributs!$CK$2:$CK$18,Attributs!$BG$2:$BG$18))/((SQRT(SUMSQ(Attributs!$CJ$2:$CJ$18)+SUMSQ(Attributs!$CK$2:$CK$18)))*(SQRT(SUMSQ(Attributs!$BF$2:$BF$18)+SUMSQ(Attributs!$BG$2:$BG$18)))),0)</f>
        <v/>
      </c>
      <c r="AE45" s="2">
        <f>IFERROR((SUMPRODUCT(Attributs!$CJ$2:$CJ$18,Attributs!$BH$2:$BH$18)+SUMPRODUCT(Attributs!$CK$2:$CK$18,Attributs!$BI$2:$BI$18))/((SQRT(SUMSQ(Attributs!$CJ$2:$CJ$18)+SUMSQ(Attributs!$CK$2:$CK$18)))*(SQRT(SUMSQ(Attributs!$BH$2:$BH$18)+SUMSQ(Attributs!$BI$2:$BI$18)))),0)</f>
        <v/>
      </c>
      <c r="AF45" s="2">
        <f>IFERROR((SUMPRODUCT(Attributs!$CJ$2:$CJ$18,Attributs!$BJ$2:$BJ$18)+SUMPRODUCT(Attributs!$CK$2:$CK$18,Attributs!$BK$2:$BK$18))/((SQRT(SUMSQ(Attributs!$CJ$2:$CJ$18)+SUMSQ(Attributs!$CK$2:$CK$18)))*(SQRT(SUMSQ(Attributs!$BJ$2:$BJ$18)+SUMSQ(Attributs!$BK$2:$BK$18)))),0)</f>
        <v/>
      </c>
      <c r="AG45" s="2">
        <f>IFERROR((SUMPRODUCT(Attributs!$CJ$2:$CJ$18,Attributs!$BL$2:$BL$18)+SUMPRODUCT(Attributs!$CK$2:$CK$18,Attributs!$BM$2:$BM$18))/((SQRT(SUMSQ(Attributs!$CJ$2:$CJ$18)+SUMSQ(Attributs!$CK$2:$CK$18)))*(SQRT(SUMSQ(Attributs!$BL$2:$BL$18)+SUMSQ(Attributs!$BM$2:$BM$18)))),0)</f>
        <v/>
      </c>
      <c r="AH45" s="2">
        <f>IFERROR((SUMPRODUCT(Attributs!$CJ$2:$CJ$18,Attributs!$BN$2:$BN$18)+SUMPRODUCT(Attributs!$CK$2:$CK$18,Attributs!$BO$2:$BO$18))/((SQRT(SUMSQ(Attributs!$CJ$2:$CJ$18)+SUMSQ(Attributs!$CK$2:$CK$18)))*(SQRT(SUMSQ(Attributs!$BN$2:$BN$18)+SUMSQ(Attributs!$BO$2:$BO$18)))),0)</f>
        <v/>
      </c>
      <c r="AI45" s="2">
        <f>IFERROR((SUMPRODUCT(Attributs!$CJ$2:$CJ$18,Attributs!$BP$2:$BP$18)+SUMPRODUCT(Attributs!$CK$2:$CK$18,Attributs!$BQ$2:$BQ$18))/((SQRT(SUMSQ(Attributs!$CJ$2:$CJ$18)+SUMSQ(Attributs!$CK$2:$CK$18)))*(SQRT(SUMSQ(Attributs!$BP$2:$BP$18)+SUMSQ(Attributs!$BQ$2:$BQ$18)))),0)</f>
        <v/>
      </c>
      <c r="AJ45" s="2">
        <f>IFERROR((SUMPRODUCT(Attributs!$CJ$2:$CJ$18,Attributs!$BR$2:$BR$18)+SUMPRODUCT(Attributs!$CK$2:$CK$18,Attributs!$BS$2:$BS$18))/((SQRT(SUMSQ(Attributs!$CJ$2:$CJ$18)+SUMSQ(Attributs!$CK$2:$CK$18)))*(SQRT(SUMSQ(Attributs!$BR$2:$BR$18)+SUMSQ(Attributs!$BS$2:$BS$18)))),0)</f>
        <v/>
      </c>
      <c r="AK45" s="2">
        <f>IFERROR((SUMPRODUCT(Attributs!$CJ$2:$CJ$18,Attributs!$BT$2:$BT$18)+SUMPRODUCT(Attributs!$CK$2:$CK$18,Attributs!$BU$2:$BU$18))/((SQRT(SUMSQ(Attributs!$CJ$2:$CJ$18)+SUMSQ(Attributs!$CK$2:$CK$18)))*(SQRT(SUMSQ(Attributs!$BT$2:$BT$18)+SUMSQ(Attributs!$BU$2:$BU$18)))),0)</f>
        <v/>
      </c>
      <c r="AL45" s="2">
        <f>IFERROR((SUMPRODUCT(Attributs!$CJ$2:$CJ$18,Attributs!$BV$2:$BV$18)+SUMPRODUCT(Attributs!$CK$2:$CK$18,Attributs!$BW$2:$BW$18))/((SQRT(SUMSQ(Attributs!$CJ$2:$CJ$18)+SUMSQ(Attributs!$CK$2:$CK$18)))*(SQRT(SUMSQ(Attributs!$BV$2:$BV$18)+SUMSQ(Attributs!$BW$2:$BW$18)))),0)</f>
        <v/>
      </c>
      <c r="AM45" s="2">
        <f>IFERROR((SUMPRODUCT(Attributs!$CJ$2:$CJ$18,Attributs!$BX$2:$BX$18)+SUMPRODUCT(Attributs!$CK$2:$CK$18,Attributs!$BY$2:$BY$18))/((SQRT(SUMSQ(Attributs!$CJ$2:$CJ$18)+SUMSQ(Attributs!$CK$2:$CK$18)))*(SQRT(SUMSQ(Attributs!$BX$2:$BX$18)+SUMSQ(Attributs!$BY$2:$BY$18)))),0)</f>
        <v/>
      </c>
      <c r="AN45" s="2">
        <f>IFERROR((SUMPRODUCT(Attributs!$CJ$2:$CJ$18,Attributs!$BZ$2:$BZ$18)+SUMPRODUCT(Attributs!$CK$2:$CK$18,Attributs!$CA$2:$CA$18))/((SQRT(SUMSQ(Attributs!$CJ$2:$CJ$18)+SUMSQ(Attributs!$CK$2:$CK$18)))*(SQRT(SUMSQ(Attributs!$BZ$2:$BZ$18)+SUMSQ(Attributs!$CA$2:$CA$18)))),0)</f>
        <v/>
      </c>
      <c r="AO45" s="2">
        <f>IFERROR((SUMPRODUCT(Attributs!$CJ$2:$CJ$18,Attributs!$CB$2:$CB$18)+SUMPRODUCT(Attributs!$CK$2:$CK$18,Attributs!$CC$2:$CC$18))/((SQRT(SUMSQ(Attributs!$CJ$2:$CJ$18)+SUMSQ(Attributs!$CK$2:$CK$18)))*(SQRT(SUMSQ(Attributs!$CB$2:$CB$18)+SUMSQ(Attributs!$CC$2:$CC$18)))),0)</f>
        <v/>
      </c>
      <c r="AP45" s="2">
        <f>IFERROR((SUMPRODUCT(Attributs!$CJ$2:$CJ$18,Attributs!$CD$2:$CD$18)+SUMPRODUCT(Attributs!$CK$2:$CK$18,Attributs!$CE$2:$CE$18))/((SQRT(SUMSQ(Attributs!$CJ$2:$CJ$18)+SUMSQ(Attributs!$CK$2:$CK$18)))*(SQRT(SUMSQ(Attributs!$CD$2:$CD$18)+SUMSQ(Attributs!$CE$2:$CE$18)))),0)</f>
        <v/>
      </c>
      <c r="AQ45" s="2">
        <f>IFERROR((SUMPRODUCT(Attributs!$CJ$2:$CJ$18,Attributs!$CF$2:$CF$18)+SUMPRODUCT(Attributs!$CK$2:$CK$18,Attributs!$CG$2:$CG$18))/((SQRT(SUMSQ(Attributs!$CJ$2:$CJ$18)+SUMSQ(Attributs!$CK$2:$CK$18)))*(SQRT(SUMSQ(Attributs!$CF$2:$CF$18)+SUMSQ(Attributs!$CG$2:$CG$18)))),0)</f>
        <v/>
      </c>
      <c r="AR45" s="2">
        <f>IFERROR((SUMPRODUCT(Attributs!$CJ$2:$CJ$18,Attributs!$CH$2:$CH$18)+SUMPRODUCT(Attributs!$CK$2:$CK$18,Attributs!$CI$2:$CI$18))/((SQRT(SUMSQ(Attributs!$CJ$2:$CJ$18)+SUMSQ(Attributs!$CK$2:$CK$18)))*(SQRT(SUMSQ(Attributs!$CH$2:$CH$18)+SUMSQ(Attributs!$CI$2:$CI$18)))),0)</f>
        <v/>
      </c>
      <c r="AS45" s="2">
        <f>IFERROR((SUMPRODUCT(Attributs!$CJ$2:$CJ$18,Attributs!$CJ$2:$CJ$18)+SUMPRODUCT(Attributs!$CK$2:$CK$18,Attributs!$CK$2:$CK$18))/((SQRT(SUMSQ(Attributs!$CJ$2:$CJ$18)+SUMSQ(Attributs!$CK$2:$CK$18)))*(SQRT(SUMSQ(Attributs!$CJ$2:$CJ$18)+SUMSQ(Attributs!$CK$2:$CK$18)))),0)</f>
        <v/>
      </c>
      <c r="AT45" s="2">
        <f>IFERROR((SUMPRODUCT(Attributs!$CJ$2:$CJ$18,Attributs!$CL$2:$CL$18)+SUMPRODUCT(Attributs!$CK$2:$CK$18,Attributs!$CM$2:$CM$18))/((SQRT(SUMSQ(Attributs!$CJ$2:$CJ$18)+SUMSQ(Attributs!$CK$2:$CK$18)))*(SQRT(SUMSQ(Attributs!$CL$2:$CL$18)+SUMSQ(Attributs!$CM$2:$CM$18)))),0)</f>
        <v/>
      </c>
      <c r="AU45" s="2">
        <f>IFERROR((SUMPRODUCT(Attributs!$CJ$2:$CJ$18,Attributs!$CN$2:$CN$18)+SUMPRODUCT(Attributs!$CK$2:$CK$18,Attributs!$CO$2:$CO$18))/((SQRT(SUMSQ(Attributs!$CJ$2:$CJ$18)+SUMSQ(Attributs!$CK$2:$CK$18)))*(SQRT(SUMSQ(Attributs!$CN$2:$CN$18)+SUMSQ(Attributs!$CO$2:$CO$18)))),0)</f>
        <v/>
      </c>
      <c r="AV45" s="2">
        <f>IFERROR((SUMPRODUCT(Attributs!$CJ$2:$CJ$18,Attributs!$CP$2:$CP$18)+SUMPRODUCT(Attributs!$CK$2:$CK$18,Attributs!$CQ$2:$CQ$18))/((SQRT(SUMSQ(Attributs!$CJ$2:$CJ$18)+SUMSQ(Attributs!$CK$2:$CK$18)))*(SQRT(SUMSQ(Attributs!$CP$2:$CP$18)+SUMSQ(Attributs!$CQ$2:$CQ$18)))),0)</f>
        <v/>
      </c>
      <c r="AW45" s="2">
        <f>IFERROR((SUMPRODUCT(Attributs!$CJ$2:$CJ$18,Attributs!$CR$2:$CR$18)+SUMPRODUCT(Attributs!$CK$2:$CK$18,Attributs!$CS$2:$CS$18))/((SQRT(SUMSQ(Attributs!$CJ$2:$CJ$18)+SUMSQ(Attributs!$CK$2:$CK$18)))*(SQRT(SUMSQ(Attributs!$CR$2:$CR$18)+SUMSQ(Attributs!$CS$2:$CS$18)))),0)</f>
        <v/>
      </c>
      <c r="AX45" s="2">
        <f>IFERROR((SUMPRODUCT(Attributs!$CJ$2:$CJ$18,Attributs!$CT$2:$CT$18)+SUMPRODUCT(Attributs!$CK$2:$CK$18,Attributs!$CU$2:$CU$18))/((SQRT(SUMSQ(Attributs!$CJ$2:$CJ$18)+SUMSQ(Attributs!$CK$2:$CK$18)))*(SQRT(SUMSQ(Attributs!$CT$2:$CT$18)+SUMSQ(Attributs!$CU$2:$CU$18)))),0)</f>
        <v/>
      </c>
      <c r="AY45" s="2">
        <f>IFERROR((SUMPRODUCT(Attributs!$CJ$2:$CJ$18,Attributs!$CV$2:$CV$18)+SUMPRODUCT(Attributs!$CK$2:$CK$18,Attributs!$CW$2:$CW$18))/((SQRT(SUMSQ(Attributs!$CJ$2:$CJ$18)+SUMSQ(Attributs!$CK$2:$CK$18)))*(SQRT(SUMSQ(Attributs!$CV$2:$CV$18)+SUMSQ(Attributs!$CW$2:$CW$18)))),0)</f>
        <v/>
      </c>
      <c r="AZ45" s="2">
        <f>IFERROR((SUMPRODUCT(Attributs!$CJ$2:$CJ$18,Attributs!$CX$2:$CX$18)+SUMPRODUCT(Attributs!$CK$2:$CK$18,Attributs!$CY$2:$CY$18))/((SQRT(SUMSQ(Attributs!$CJ$2:$CJ$18)+SUMSQ(Attributs!$CK$2:$CK$18)))*(SQRT(SUMSQ(Attributs!$CX$2:$CX$18)+SUMSQ(Attributs!$CY$2:$CY$18)))),0)</f>
        <v/>
      </c>
      <c r="BA45" s="2">
        <f>IFERROR((SUMPRODUCT(Attributs!$CJ$2:$CJ$18,Attributs!$CZ$2:$CZ$18)+SUMPRODUCT(Attributs!$CK$2:$CK$18,Attributs!$DA$2:$DA$18))/((SQRT(SUMSQ(Attributs!$CJ$2:$CJ$18)+SUMSQ(Attributs!$CK$2:$CK$18)))*(SQRT(SUMSQ(Attributs!$CZ$2:$CZ$18)+SUMSQ(Attributs!$DA$2:$DA$18)))),0)</f>
        <v/>
      </c>
      <c r="BB45" s="2">
        <f>IFERROR((SUMPRODUCT(Attributs!$CJ$2:$CJ$18,Attributs!$DB$2:$DB$18)+SUMPRODUCT(Attributs!$CK$2:$CK$18,Attributs!$DC$2:$DC$18))/((SQRT(SUMSQ(Attributs!$CJ$2:$CJ$18)+SUMSQ(Attributs!$CK$2:$CK$18)))*(SQRT(SUMSQ(Attributs!$DB$2:$DB$18)+SUMSQ(Attributs!$DC$2:$DC$18)))),0)</f>
        <v/>
      </c>
      <c r="BC45" s="2">
        <f>IFERROR((SUMPRODUCT(Attributs!$CJ$2:$CJ$18,Attributs!$DD$2:$DD$18)+SUMPRODUCT(Attributs!$CK$2:$CK$18,Attributs!$DE$2:$DE$18))/((SQRT(SUMSQ(Attributs!$CJ$2:$CJ$18)+SUMSQ(Attributs!$CK$2:$CK$18)))*(SQRT(SUMSQ(Attributs!$DD$2:$DD$18)+SUMSQ(Attributs!$DE$2:$DE$18)))),0)</f>
        <v/>
      </c>
      <c r="BD45" s="2">
        <f>IFERROR((SUMPRODUCT(Attributs!$CJ$2:$CJ$18,Attributs!$DF$2:$DF$18)+SUMPRODUCT(Attributs!$CK$2:$CK$18,Attributs!$DG$2:$DG$18))/((SQRT(SUMSQ(Attributs!$CJ$2:$CJ$18)+SUMSQ(Attributs!$CK$2:$CK$18)))*(SQRT(SUMSQ(Attributs!$DF$2:$DF$18)+SUMSQ(Attributs!$DG$2:$DG$18)))),0)</f>
        <v/>
      </c>
      <c r="BE45" s="2">
        <f>IFERROR((SUMPRODUCT(Attributs!$CJ$2:$CJ$18,Attributs!$DH$2:$DH$18)+SUMPRODUCT(Attributs!$CK$2:$CK$18,Attributs!$DI$2:$DI$18))/((SQRT(SUMSQ(Attributs!$CJ$2:$CJ$18)+SUMSQ(Attributs!$CK$2:$CK$18)))*(SQRT(SUMSQ(Attributs!$DH$2:$DH$18)+SUMSQ(Attributs!$DI$2:$DI$18)))),0)</f>
        <v/>
      </c>
      <c r="BF45" s="2">
        <f>IFERROR((SUMPRODUCT(Attributs!$CJ$2:$CJ$18,Attributs!$DJ$2:$DJ$18)+SUMPRODUCT(Attributs!$CK$2:$CK$18,Attributs!$DK$2:$DK$18))/((SQRT(SUMSQ(Attributs!$CJ$2:$CJ$18)+SUMSQ(Attributs!$CK$2:$CK$18)))*(SQRT(SUMSQ(Attributs!$DJ$2:$DJ$18)+SUMSQ(Attributs!$DK$2:$DK$18)))),0)</f>
        <v/>
      </c>
      <c r="BG45" s="2">
        <f>IFERROR((SUMPRODUCT(Attributs!$CJ$2:$CJ$18,Attributs!$DL$2:$DL$18)+SUMPRODUCT(Attributs!$CK$2:$CK$18,Attributs!$DM$2:$DM$18))/((SQRT(SUMSQ(Attributs!$CJ$2:$CJ$18)+SUMSQ(Attributs!$CK$2:$CK$18)))*(SQRT(SUMSQ(Attributs!$DL$2:$DL$18)+SUMSQ(Attributs!$DM$2:$DM$18)))),0)</f>
        <v/>
      </c>
      <c r="BH45" s="2">
        <f>IFERROR((SUMPRODUCT(Attributs!$CJ$2:$CJ$18,Attributs!$DN$2:$DN$18)+SUMPRODUCT(Attributs!$CK$2:$CK$18,Attributs!$DO$2:$DO$18))/((SQRT(SUMSQ(Attributs!$CJ$2:$CJ$18)+SUMSQ(Attributs!$CK$2:$CK$18)))*(SQRT(SUMSQ(Attributs!$DN$2:$DN$18)+SUMSQ(Attributs!$DO$2:$DO$18)))),0)</f>
        <v/>
      </c>
      <c r="BI45" s="2">
        <f>IFERROR((SUMPRODUCT(Attributs!$CJ$2:$CJ$18,Attributs!$DP$2:$DP$18)+SUMPRODUCT(Attributs!$CK$2:$CK$18,Attributs!$DQ$2:$DQ$18))/((SQRT(SUMSQ(Attributs!$CJ$2:$CJ$18)+SUMSQ(Attributs!$CK$2:$CK$18)))*(SQRT(SUMSQ(Attributs!$DP$2:$DP$18)+SUMSQ(Attributs!$DQ$2:$DQ$18)))),0)</f>
        <v/>
      </c>
      <c r="BJ45" s="2">
        <f>IFERROR((SUMPRODUCT(Attributs!$CJ$2:$CJ$18,Attributs!$DR$2:$DR$18)+SUMPRODUCT(Attributs!$CK$2:$CK$18,Attributs!$DS$2:$DS$18))/((SQRT(SUMSQ(Attributs!$CJ$2:$CJ$18)+SUMSQ(Attributs!$CK$2:$CK$18)))*(SQRT(SUMSQ(Attributs!$DR$2:$DR$18)+SUMSQ(Attributs!$DS$2:$DS$18)))),0)</f>
        <v/>
      </c>
      <c r="BK45" s="2">
        <f>IFERROR((SUMPRODUCT(Attributs!$CJ$2:$CJ$18,Attributs!$DT$2:$DT$18)+SUMPRODUCT(Attributs!$CK$2:$CK$18,Attributs!$DU$2:$DU$18))/((SQRT(SUMSQ(Attributs!$CJ$2:$CJ$18)+SUMSQ(Attributs!$CK$2:$CK$18)))*(SQRT(SUMSQ(Attributs!$DT$2:$DT$18)+SUMSQ(Attributs!$DU$2:$DU$18)))),0)</f>
        <v/>
      </c>
      <c r="BL45" s="2">
        <f>IFERROR((SUMPRODUCT(Attributs!$CJ$2:$CJ$18,Attributs!$DV$2:$DV$18)+SUMPRODUCT(Attributs!$CK$2:$CK$18,Attributs!$DW$2:$DW$18))/((SQRT(SUMSQ(Attributs!$CJ$2:$CJ$18)+SUMSQ(Attributs!$CK$2:$CK$18)))*(SQRT(SUMSQ(Attributs!$DV$2:$DV$18)+SUMSQ(Attributs!$DW$2:$DW$18)))),0)</f>
        <v/>
      </c>
    </row>
    <row r="46">
      <c r="A46" s="3" t="inlineStr">
        <is>
          <t>SE_neo4j.postlinks.PostIdd</t>
        </is>
      </c>
      <c r="B46" s="2">
        <f>IFERROR((SUMPRODUCT(Attributs!$CL$2:$CL$18,Attributs!$B$2:$B$18)+SUMPRODUCT(Attributs!$CM$2:$CM$18,Attributs!$C$2:$C$18))/((SQRT(SUMSQ(Attributs!$CL$2:$CL$18)+SUMSQ(Attributs!$CM$2:$CM$18)))*(SQRT(SUMSQ(Attributs!$B$2:$B$18)+SUMSQ(Attributs!$C$2:$C$18)))),0)</f>
        <v/>
      </c>
      <c r="C46" s="2">
        <f>IFERROR((SUMPRODUCT(Attributs!$CL$2:$CL$18,Attributs!$D$2:$D$18)+SUMPRODUCT(Attributs!$CM$2:$CM$18,Attributs!$E$2:$E$18))/((SQRT(SUMSQ(Attributs!$CL$2:$CL$18)+SUMSQ(Attributs!$CM$2:$CM$18)))*(SQRT(SUMSQ(Attributs!$D$2:$D$18)+SUMSQ(Attributs!$E$2:$E$18)))),0)</f>
        <v/>
      </c>
      <c r="D46" s="2">
        <f>IFERROR((SUMPRODUCT(Attributs!$CL$2:$CL$18,Attributs!$F$2:$F$18)+SUMPRODUCT(Attributs!$CM$2:$CM$18,Attributs!$G$2:$G$18))/((SQRT(SUMSQ(Attributs!$CL$2:$CL$18)+SUMSQ(Attributs!$CM$2:$CM$18)))*(SQRT(SUMSQ(Attributs!$F$2:$F$18)+SUMSQ(Attributs!$G$2:$G$18)))),0)</f>
        <v/>
      </c>
      <c r="E46" s="2">
        <f>IFERROR((SUMPRODUCT(Attributs!$CL$2:$CL$18,Attributs!$H$2:$H$18)+SUMPRODUCT(Attributs!$CM$2:$CM$18,Attributs!$I$2:$I$18))/((SQRT(SUMSQ(Attributs!$CL$2:$CL$18)+SUMSQ(Attributs!$CM$2:$CM$18)))*(SQRT(SUMSQ(Attributs!$H$2:$H$18)+SUMSQ(Attributs!$I$2:$I$18)))),0)</f>
        <v/>
      </c>
      <c r="F46" s="2">
        <f>IFERROR((SUMPRODUCT(Attributs!$CL$2:$CL$18,Attributs!$J$2:$J$18)+SUMPRODUCT(Attributs!$CM$2:$CM$18,Attributs!$K$2:$K$18))/((SQRT(SUMSQ(Attributs!$CL$2:$CL$18)+SUMSQ(Attributs!$CM$2:$CM$18)))*(SQRT(SUMSQ(Attributs!$J$2:$J$18)+SUMSQ(Attributs!$K$2:$K$18)))),0)</f>
        <v/>
      </c>
      <c r="G46" s="2">
        <f>IFERROR((SUMPRODUCT(Attributs!$CL$2:$CL$18,Attributs!$L$2:$L$18)+SUMPRODUCT(Attributs!$CM$2:$CM$18,Attributs!$M$2:$M$18))/((SQRT(SUMSQ(Attributs!$CL$2:$CL$18)+SUMSQ(Attributs!$CM$2:$CM$18)))*(SQRT(SUMSQ(Attributs!$L$2:$L$18)+SUMSQ(Attributs!$M$2:$M$18)))),0)</f>
        <v/>
      </c>
      <c r="H46" s="2">
        <f>IFERROR((SUMPRODUCT(Attributs!$CL$2:$CL$18,Attributs!$N$2:$N$18)+SUMPRODUCT(Attributs!$CM$2:$CM$18,Attributs!$O$2:$O$18))/((SQRT(SUMSQ(Attributs!$CL$2:$CL$18)+SUMSQ(Attributs!$CM$2:$CM$18)))*(SQRT(SUMSQ(Attributs!$N$2:$N$18)+SUMSQ(Attributs!$O$2:$O$18)))),0)</f>
        <v/>
      </c>
      <c r="I46" s="2">
        <f>IFERROR((SUMPRODUCT(Attributs!$CL$2:$CL$18,Attributs!$P$2:$P$18)+SUMPRODUCT(Attributs!$CM$2:$CM$18,Attributs!$Q$2:$Q$18))/((SQRT(SUMSQ(Attributs!$CL$2:$CL$18)+SUMSQ(Attributs!$CM$2:$CM$18)))*(SQRT(SUMSQ(Attributs!$P$2:$P$18)+SUMSQ(Attributs!$Q$2:$Q$18)))),0)</f>
        <v/>
      </c>
      <c r="J46" s="2">
        <f>IFERROR((SUMPRODUCT(Attributs!$CL$2:$CL$18,Attributs!$R$2:$R$18)+SUMPRODUCT(Attributs!$CM$2:$CM$18,Attributs!$S$2:$S$18))/((SQRT(SUMSQ(Attributs!$CL$2:$CL$18)+SUMSQ(Attributs!$CM$2:$CM$18)))*(SQRT(SUMSQ(Attributs!$R$2:$R$18)+SUMSQ(Attributs!$S$2:$S$18)))),0)</f>
        <v/>
      </c>
      <c r="K46" s="2">
        <f>IFERROR((SUMPRODUCT(Attributs!$CL$2:$CL$18,Attributs!$T$2:$T$18)+SUMPRODUCT(Attributs!$CM$2:$CM$18,Attributs!$U$2:$U$18))/((SQRT(SUMSQ(Attributs!$CL$2:$CL$18)+SUMSQ(Attributs!$CM$2:$CM$18)))*(SQRT(SUMSQ(Attributs!$T$2:$T$18)+SUMSQ(Attributs!$U$2:$U$18)))),0)</f>
        <v/>
      </c>
      <c r="L46" s="2">
        <f>IFERROR((SUMPRODUCT(Attributs!$CL$2:$CL$18,Attributs!$V$2:$V$18)+SUMPRODUCT(Attributs!$CM$2:$CM$18,Attributs!$W$2:$W$18))/((SQRT(SUMSQ(Attributs!$CL$2:$CL$18)+SUMSQ(Attributs!$CM$2:$CM$18)))*(SQRT(SUMSQ(Attributs!$V$2:$V$18)+SUMSQ(Attributs!$W$2:$W$18)))),0)</f>
        <v/>
      </c>
      <c r="M46" s="2">
        <f>IFERROR((SUMPRODUCT(Attributs!$CL$2:$CL$18,Attributs!$X$2:$X$18)+SUMPRODUCT(Attributs!$CM$2:$CM$18,Attributs!$Y$2:$Y$18))/((SQRT(SUMSQ(Attributs!$CL$2:$CL$18)+SUMSQ(Attributs!$CM$2:$CM$18)))*(SQRT(SUMSQ(Attributs!$X$2:$X$18)+SUMSQ(Attributs!$Y$2:$Y$18)))),0)</f>
        <v/>
      </c>
      <c r="N46" s="2">
        <f>IFERROR((SUMPRODUCT(Attributs!$CL$2:$CL$18,Attributs!$Z$2:$Z$18)+SUMPRODUCT(Attributs!$CM$2:$CM$18,Attributs!$AA$2:$AA$18))/((SQRT(SUMSQ(Attributs!$CL$2:$CL$18)+SUMSQ(Attributs!$CM$2:$CM$18)))*(SQRT(SUMSQ(Attributs!$Z$2:$Z$18)+SUMSQ(Attributs!$AA$2:$AA$18)))),0)</f>
        <v/>
      </c>
      <c r="O46" s="2">
        <f>IFERROR((SUMPRODUCT(Attributs!$CL$2:$CL$18,Attributs!$AB$2:$AB$18)+SUMPRODUCT(Attributs!$CM$2:$CM$18,Attributs!$AC$2:$AC$18))/((SQRT(SUMSQ(Attributs!$CL$2:$CL$18)+SUMSQ(Attributs!$CM$2:$CM$18)))*(SQRT(SUMSQ(Attributs!$AB$2:$AB$18)+SUMSQ(Attributs!$AC$2:$AC$18)))),0)</f>
        <v/>
      </c>
      <c r="P46" s="2">
        <f>IFERROR((SUMPRODUCT(Attributs!$CL$2:$CL$18,Attributs!$AD$2:$AD$18)+SUMPRODUCT(Attributs!$CM$2:$CM$18,Attributs!$AE$2:$AE$18))/((SQRT(SUMSQ(Attributs!$CL$2:$CL$18)+SUMSQ(Attributs!$CM$2:$CM$18)))*(SQRT(SUMSQ(Attributs!$AD$2:$AD$18)+SUMSQ(Attributs!$AE$2:$AE$18)))),0)</f>
        <v/>
      </c>
      <c r="Q46" s="2">
        <f>IFERROR((SUMPRODUCT(Attributs!$CL$2:$CL$18,Attributs!$AF$2:$AF$18)+SUMPRODUCT(Attributs!$CM$2:$CM$18,Attributs!$AG$2:$AG$18))/((SQRT(SUMSQ(Attributs!$CL$2:$CL$18)+SUMSQ(Attributs!$CM$2:$CM$18)))*(SQRT(SUMSQ(Attributs!$AF$2:$AF$18)+SUMSQ(Attributs!$AG$2:$AG$18)))),0)</f>
        <v/>
      </c>
      <c r="R46" s="2">
        <f>IFERROR((SUMPRODUCT(Attributs!$CL$2:$CL$18,Attributs!$AH$2:$AH$18)+SUMPRODUCT(Attributs!$CM$2:$CM$18,Attributs!$AI$2:$AI$18))/((SQRT(SUMSQ(Attributs!$CL$2:$CL$18)+SUMSQ(Attributs!$CM$2:$CM$18)))*(SQRT(SUMSQ(Attributs!$AH$2:$AH$18)+SUMSQ(Attributs!$AI$2:$AI$18)))),0)</f>
        <v/>
      </c>
      <c r="S46" s="2">
        <f>IFERROR((SUMPRODUCT(Attributs!$CL$2:$CL$18,Attributs!$AJ$2:$AJ$18)+SUMPRODUCT(Attributs!$CM$2:$CM$18,Attributs!$AK$2:$AK$18))/((SQRT(SUMSQ(Attributs!$CL$2:$CL$18)+SUMSQ(Attributs!$CM$2:$CM$18)))*(SQRT(SUMSQ(Attributs!$AJ$2:$AJ$18)+SUMSQ(Attributs!$AK$2:$AK$18)))),0)</f>
        <v/>
      </c>
      <c r="T46" s="2">
        <f>IFERROR((SUMPRODUCT(Attributs!$CL$2:$CL$18,Attributs!$AL$2:$AL$18)+SUMPRODUCT(Attributs!$CM$2:$CM$18,Attributs!$AM$2:$AM$18))/((SQRT(SUMSQ(Attributs!$CL$2:$CL$18)+SUMSQ(Attributs!$CM$2:$CM$18)))*(SQRT(SUMSQ(Attributs!$AL$2:$AL$18)+SUMSQ(Attributs!$AM$2:$AM$18)))),0)</f>
        <v/>
      </c>
      <c r="U46" s="2">
        <f>IFERROR((SUMPRODUCT(Attributs!$CL$2:$CL$18,Attributs!$AN$2:$AN$18)+SUMPRODUCT(Attributs!$CM$2:$CM$18,Attributs!$AO$2:$AO$18))/((SQRT(SUMSQ(Attributs!$CL$2:$CL$18)+SUMSQ(Attributs!$CM$2:$CM$18)))*(SQRT(SUMSQ(Attributs!$AN$2:$AN$18)+SUMSQ(Attributs!$AO$2:$AO$18)))),0)</f>
        <v/>
      </c>
      <c r="V46" s="2">
        <f>IFERROR((SUMPRODUCT(Attributs!$CL$2:$CL$18,Attributs!$AP$2:$AP$18)+SUMPRODUCT(Attributs!$CM$2:$CM$18,Attributs!$AQ$2:$AQ$18))/((SQRT(SUMSQ(Attributs!$CL$2:$CL$18)+SUMSQ(Attributs!$CM$2:$CM$18)))*(SQRT(SUMSQ(Attributs!$AP$2:$AP$18)+SUMSQ(Attributs!$AQ$2:$AQ$18)))),0)</f>
        <v/>
      </c>
      <c r="W46" s="2">
        <f>IFERROR((SUMPRODUCT(Attributs!$CL$2:$CL$18,Attributs!$AR$2:$AR$18)+SUMPRODUCT(Attributs!$CM$2:$CM$18,Attributs!$AS$2:$AS$18))/((SQRT(SUMSQ(Attributs!$CL$2:$CL$18)+SUMSQ(Attributs!$CM$2:$CM$18)))*(SQRT(SUMSQ(Attributs!$AR$2:$AR$18)+SUMSQ(Attributs!$AS$2:$AS$18)))),0)</f>
        <v/>
      </c>
      <c r="X46" s="2">
        <f>IFERROR((SUMPRODUCT(Attributs!$CL$2:$CL$18,Attributs!$AT$2:$AT$18)+SUMPRODUCT(Attributs!$CM$2:$CM$18,Attributs!$AU$2:$AU$18))/((SQRT(SUMSQ(Attributs!$CL$2:$CL$18)+SUMSQ(Attributs!$CM$2:$CM$18)))*(SQRT(SUMSQ(Attributs!$AT$2:$AT$18)+SUMSQ(Attributs!$AU$2:$AU$18)))),0)</f>
        <v/>
      </c>
      <c r="Y46" s="2">
        <f>IFERROR((SUMPRODUCT(Attributs!$CL$2:$CL$18,Attributs!$AV$2:$AV$18)+SUMPRODUCT(Attributs!$CM$2:$CM$18,Attributs!$AW$2:$AW$18))/((SQRT(SUMSQ(Attributs!$CL$2:$CL$18)+SUMSQ(Attributs!$CM$2:$CM$18)))*(SQRT(SUMSQ(Attributs!$AV$2:$AV$18)+SUMSQ(Attributs!$AW$2:$AW$18)))),0)</f>
        <v/>
      </c>
      <c r="Z46" s="2">
        <f>IFERROR((SUMPRODUCT(Attributs!$CL$2:$CL$18,Attributs!$AX$2:$AX$18)+SUMPRODUCT(Attributs!$CM$2:$CM$18,Attributs!$AY$2:$AY$18))/((SQRT(SUMSQ(Attributs!$CL$2:$CL$18)+SUMSQ(Attributs!$CM$2:$CM$18)))*(SQRT(SUMSQ(Attributs!$AX$2:$AX$18)+SUMSQ(Attributs!$AY$2:$AY$18)))),0)</f>
        <v/>
      </c>
      <c r="AA46" s="2">
        <f>IFERROR((SUMPRODUCT(Attributs!$CL$2:$CL$18,Attributs!$AZ$2:$AZ$18)+SUMPRODUCT(Attributs!$CM$2:$CM$18,Attributs!$BA$2:$BA$18))/((SQRT(SUMSQ(Attributs!$CL$2:$CL$18)+SUMSQ(Attributs!$CM$2:$CM$18)))*(SQRT(SUMSQ(Attributs!$AZ$2:$AZ$18)+SUMSQ(Attributs!$BA$2:$BA$18)))),0)</f>
        <v/>
      </c>
      <c r="AB46" s="2">
        <f>IFERROR((SUMPRODUCT(Attributs!$CL$2:$CL$18,Attributs!$BB$2:$BB$18)+SUMPRODUCT(Attributs!$CM$2:$CM$18,Attributs!$BC$2:$BC$18))/((SQRT(SUMSQ(Attributs!$CL$2:$CL$18)+SUMSQ(Attributs!$CM$2:$CM$18)))*(SQRT(SUMSQ(Attributs!$BB$2:$BB$18)+SUMSQ(Attributs!$BC$2:$BC$18)))),0)</f>
        <v/>
      </c>
      <c r="AC46" s="2">
        <f>IFERROR((SUMPRODUCT(Attributs!$CL$2:$CL$18,Attributs!$BD$2:$BD$18)+SUMPRODUCT(Attributs!$CM$2:$CM$18,Attributs!$BE$2:$BE$18))/((SQRT(SUMSQ(Attributs!$CL$2:$CL$18)+SUMSQ(Attributs!$CM$2:$CM$18)))*(SQRT(SUMSQ(Attributs!$BD$2:$BD$18)+SUMSQ(Attributs!$BE$2:$BE$18)))),0)</f>
        <v/>
      </c>
      <c r="AD46" s="2">
        <f>IFERROR((SUMPRODUCT(Attributs!$CL$2:$CL$18,Attributs!$BF$2:$BF$18)+SUMPRODUCT(Attributs!$CM$2:$CM$18,Attributs!$BG$2:$BG$18))/((SQRT(SUMSQ(Attributs!$CL$2:$CL$18)+SUMSQ(Attributs!$CM$2:$CM$18)))*(SQRT(SUMSQ(Attributs!$BF$2:$BF$18)+SUMSQ(Attributs!$BG$2:$BG$18)))),0)</f>
        <v/>
      </c>
      <c r="AE46" s="2">
        <f>IFERROR((SUMPRODUCT(Attributs!$CL$2:$CL$18,Attributs!$BH$2:$BH$18)+SUMPRODUCT(Attributs!$CM$2:$CM$18,Attributs!$BI$2:$BI$18))/((SQRT(SUMSQ(Attributs!$CL$2:$CL$18)+SUMSQ(Attributs!$CM$2:$CM$18)))*(SQRT(SUMSQ(Attributs!$BH$2:$BH$18)+SUMSQ(Attributs!$BI$2:$BI$18)))),0)</f>
        <v/>
      </c>
      <c r="AF46" s="2">
        <f>IFERROR((SUMPRODUCT(Attributs!$CL$2:$CL$18,Attributs!$BJ$2:$BJ$18)+SUMPRODUCT(Attributs!$CM$2:$CM$18,Attributs!$BK$2:$BK$18))/((SQRT(SUMSQ(Attributs!$CL$2:$CL$18)+SUMSQ(Attributs!$CM$2:$CM$18)))*(SQRT(SUMSQ(Attributs!$BJ$2:$BJ$18)+SUMSQ(Attributs!$BK$2:$BK$18)))),0)</f>
        <v/>
      </c>
      <c r="AG46" s="2">
        <f>IFERROR((SUMPRODUCT(Attributs!$CL$2:$CL$18,Attributs!$BL$2:$BL$18)+SUMPRODUCT(Attributs!$CM$2:$CM$18,Attributs!$BM$2:$BM$18))/((SQRT(SUMSQ(Attributs!$CL$2:$CL$18)+SUMSQ(Attributs!$CM$2:$CM$18)))*(SQRT(SUMSQ(Attributs!$BL$2:$BL$18)+SUMSQ(Attributs!$BM$2:$BM$18)))),0)</f>
        <v/>
      </c>
      <c r="AH46" s="2">
        <f>IFERROR((SUMPRODUCT(Attributs!$CL$2:$CL$18,Attributs!$BN$2:$BN$18)+SUMPRODUCT(Attributs!$CM$2:$CM$18,Attributs!$BO$2:$BO$18))/((SQRT(SUMSQ(Attributs!$CL$2:$CL$18)+SUMSQ(Attributs!$CM$2:$CM$18)))*(SQRT(SUMSQ(Attributs!$BN$2:$BN$18)+SUMSQ(Attributs!$BO$2:$BO$18)))),0)</f>
        <v/>
      </c>
      <c r="AI46" s="2">
        <f>IFERROR((SUMPRODUCT(Attributs!$CL$2:$CL$18,Attributs!$BP$2:$BP$18)+SUMPRODUCT(Attributs!$CM$2:$CM$18,Attributs!$BQ$2:$BQ$18))/((SQRT(SUMSQ(Attributs!$CL$2:$CL$18)+SUMSQ(Attributs!$CM$2:$CM$18)))*(SQRT(SUMSQ(Attributs!$BP$2:$BP$18)+SUMSQ(Attributs!$BQ$2:$BQ$18)))),0)</f>
        <v/>
      </c>
      <c r="AJ46" s="2">
        <f>IFERROR((SUMPRODUCT(Attributs!$CL$2:$CL$18,Attributs!$BR$2:$BR$18)+SUMPRODUCT(Attributs!$CM$2:$CM$18,Attributs!$BS$2:$BS$18))/((SQRT(SUMSQ(Attributs!$CL$2:$CL$18)+SUMSQ(Attributs!$CM$2:$CM$18)))*(SQRT(SUMSQ(Attributs!$BR$2:$BR$18)+SUMSQ(Attributs!$BS$2:$BS$18)))),0)</f>
        <v/>
      </c>
      <c r="AK46" s="2">
        <f>IFERROR((SUMPRODUCT(Attributs!$CL$2:$CL$18,Attributs!$BT$2:$BT$18)+SUMPRODUCT(Attributs!$CM$2:$CM$18,Attributs!$BU$2:$BU$18))/((SQRT(SUMSQ(Attributs!$CL$2:$CL$18)+SUMSQ(Attributs!$CM$2:$CM$18)))*(SQRT(SUMSQ(Attributs!$BT$2:$BT$18)+SUMSQ(Attributs!$BU$2:$BU$18)))),0)</f>
        <v/>
      </c>
      <c r="AL46" s="2">
        <f>IFERROR((SUMPRODUCT(Attributs!$CL$2:$CL$18,Attributs!$BV$2:$BV$18)+SUMPRODUCT(Attributs!$CM$2:$CM$18,Attributs!$BW$2:$BW$18))/((SQRT(SUMSQ(Attributs!$CL$2:$CL$18)+SUMSQ(Attributs!$CM$2:$CM$18)))*(SQRT(SUMSQ(Attributs!$BV$2:$BV$18)+SUMSQ(Attributs!$BW$2:$BW$18)))),0)</f>
        <v/>
      </c>
      <c r="AM46" s="2">
        <f>IFERROR((SUMPRODUCT(Attributs!$CL$2:$CL$18,Attributs!$BX$2:$BX$18)+SUMPRODUCT(Attributs!$CM$2:$CM$18,Attributs!$BY$2:$BY$18))/((SQRT(SUMSQ(Attributs!$CL$2:$CL$18)+SUMSQ(Attributs!$CM$2:$CM$18)))*(SQRT(SUMSQ(Attributs!$BX$2:$BX$18)+SUMSQ(Attributs!$BY$2:$BY$18)))),0)</f>
        <v/>
      </c>
      <c r="AN46" s="2">
        <f>IFERROR((SUMPRODUCT(Attributs!$CL$2:$CL$18,Attributs!$BZ$2:$BZ$18)+SUMPRODUCT(Attributs!$CM$2:$CM$18,Attributs!$CA$2:$CA$18))/((SQRT(SUMSQ(Attributs!$CL$2:$CL$18)+SUMSQ(Attributs!$CM$2:$CM$18)))*(SQRT(SUMSQ(Attributs!$BZ$2:$BZ$18)+SUMSQ(Attributs!$CA$2:$CA$18)))),0)</f>
        <v/>
      </c>
      <c r="AO46" s="2">
        <f>IFERROR((SUMPRODUCT(Attributs!$CL$2:$CL$18,Attributs!$CB$2:$CB$18)+SUMPRODUCT(Attributs!$CM$2:$CM$18,Attributs!$CC$2:$CC$18))/((SQRT(SUMSQ(Attributs!$CL$2:$CL$18)+SUMSQ(Attributs!$CM$2:$CM$18)))*(SQRT(SUMSQ(Attributs!$CB$2:$CB$18)+SUMSQ(Attributs!$CC$2:$CC$18)))),0)</f>
        <v/>
      </c>
      <c r="AP46" s="2">
        <f>IFERROR((SUMPRODUCT(Attributs!$CL$2:$CL$18,Attributs!$CD$2:$CD$18)+SUMPRODUCT(Attributs!$CM$2:$CM$18,Attributs!$CE$2:$CE$18))/((SQRT(SUMSQ(Attributs!$CL$2:$CL$18)+SUMSQ(Attributs!$CM$2:$CM$18)))*(SQRT(SUMSQ(Attributs!$CD$2:$CD$18)+SUMSQ(Attributs!$CE$2:$CE$18)))),0)</f>
        <v/>
      </c>
      <c r="AQ46" s="2">
        <f>IFERROR((SUMPRODUCT(Attributs!$CL$2:$CL$18,Attributs!$CF$2:$CF$18)+SUMPRODUCT(Attributs!$CM$2:$CM$18,Attributs!$CG$2:$CG$18))/((SQRT(SUMSQ(Attributs!$CL$2:$CL$18)+SUMSQ(Attributs!$CM$2:$CM$18)))*(SQRT(SUMSQ(Attributs!$CF$2:$CF$18)+SUMSQ(Attributs!$CG$2:$CG$18)))),0)</f>
        <v/>
      </c>
      <c r="AR46" s="2">
        <f>IFERROR((SUMPRODUCT(Attributs!$CL$2:$CL$18,Attributs!$CH$2:$CH$18)+SUMPRODUCT(Attributs!$CM$2:$CM$18,Attributs!$CI$2:$CI$18))/((SQRT(SUMSQ(Attributs!$CL$2:$CL$18)+SUMSQ(Attributs!$CM$2:$CM$18)))*(SQRT(SUMSQ(Attributs!$CH$2:$CH$18)+SUMSQ(Attributs!$CI$2:$CI$18)))),0)</f>
        <v/>
      </c>
      <c r="AS46" s="2">
        <f>IFERROR((SUMPRODUCT(Attributs!$CL$2:$CL$18,Attributs!$CJ$2:$CJ$18)+SUMPRODUCT(Attributs!$CM$2:$CM$18,Attributs!$CK$2:$CK$18))/((SQRT(SUMSQ(Attributs!$CL$2:$CL$18)+SUMSQ(Attributs!$CM$2:$CM$18)))*(SQRT(SUMSQ(Attributs!$CJ$2:$CJ$18)+SUMSQ(Attributs!$CK$2:$CK$18)))),0)</f>
        <v/>
      </c>
      <c r="AT46" s="2">
        <f>IFERROR((SUMPRODUCT(Attributs!$CL$2:$CL$18,Attributs!$CL$2:$CL$18)+SUMPRODUCT(Attributs!$CM$2:$CM$18,Attributs!$CM$2:$CM$18))/((SQRT(SUMSQ(Attributs!$CL$2:$CL$18)+SUMSQ(Attributs!$CM$2:$CM$18)))*(SQRT(SUMSQ(Attributs!$CL$2:$CL$18)+SUMSQ(Attributs!$CM$2:$CM$18)))),0)</f>
        <v/>
      </c>
      <c r="AU46" s="2">
        <f>IFERROR((SUMPRODUCT(Attributs!$CL$2:$CL$18,Attributs!$CN$2:$CN$18)+SUMPRODUCT(Attributs!$CM$2:$CM$18,Attributs!$CO$2:$CO$18))/((SQRT(SUMSQ(Attributs!$CL$2:$CL$18)+SUMSQ(Attributs!$CM$2:$CM$18)))*(SQRT(SUMSQ(Attributs!$CN$2:$CN$18)+SUMSQ(Attributs!$CO$2:$CO$18)))),0)</f>
        <v/>
      </c>
      <c r="AV46" s="2">
        <f>IFERROR((SUMPRODUCT(Attributs!$CL$2:$CL$18,Attributs!$CP$2:$CP$18)+SUMPRODUCT(Attributs!$CM$2:$CM$18,Attributs!$CQ$2:$CQ$18))/((SQRT(SUMSQ(Attributs!$CL$2:$CL$18)+SUMSQ(Attributs!$CM$2:$CM$18)))*(SQRT(SUMSQ(Attributs!$CP$2:$CP$18)+SUMSQ(Attributs!$CQ$2:$CQ$18)))),0)</f>
        <v/>
      </c>
      <c r="AW46" s="2">
        <f>IFERROR((SUMPRODUCT(Attributs!$CL$2:$CL$18,Attributs!$CR$2:$CR$18)+SUMPRODUCT(Attributs!$CM$2:$CM$18,Attributs!$CS$2:$CS$18))/((SQRT(SUMSQ(Attributs!$CL$2:$CL$18)+SUMSQ(Attributs!$CM$2:$CM$18)))*(SQRT(SUMSQ(Attributs!$CR$2:$CR$18)+SUMSQ(Attributs!$CS$2:$CS$18)))),0)</f>
        <v/>
      </c>
      <c r="AX46" s="2">
        <f>IFERROR((SUMPRODUCT(Attributs!$CL$2:$CL$18,Attributs!$CT$2:$CT$18)+SUMPRODUCT(Attributs!$CM$2:$CM$18,Attributs!$CU$2:$CU$18))/((SQRT(SUMSQ(Attributs!$CL$2:$CL$18)+SUMSQ(Attributs!$CM$2:$CM$18)))*(SQRT(SUMSQ(Attributs!$CT$2:$CT$18)+SUMSQ(Attributs!$CU$2:$CU$18)))),0)</f>
        <v/>
      </c>
      <c r="AY46" s="2">
        <f>IFERROR((SUMPRODUCT(Attributs!$CL$2:$CL$18,Attributs!$CV$2:$CV$18)+SUMPRODUCT(Attributs!$CM$2:$CM$18,Attributs!$CW$2:$CW$18))/((SQRT(SUMSQ(Attributs!$CL$2:$CL$18)+SUMSQ(Attributs!$CM$2:$CM$18)))*(SQRT(SUMSQ(Attributs!$CV$2:$CV$18)+SUMSQ(Attributs!$CW$2:$CW$18)))),0)</f>
        <v/>
      </c>
      <c r="AZ46" s="2">
        <f>IFERROR((SUMPRODUCT(Attributs!$CL$2:$CL$18,Attributs!$CX$2:$CX$18)+SUMPRODUCT(Attributs!$CM$2:$CM$18,Attributs!$CY$2:$CY$18))/((SQRT(SUMSQ(Attributs!$CL$2:$CL$18)+SUMSQ(Attributs!$CM$2:$CM$18)))*(SQRT(SUMSQ(Attributs!$CX$2:$CX$18)+SUMSQ(Attributs!$CY$2:$CY$18)))),0)</f>
        <v/>
      </c>
      <c r="BA46" s="2">
        <f>IFERROR((SUMPRODUCT(Attributs!$CL$2:$CL$18,Attributs!$CZ$2:$CZ$18)+SUMPRODUCT(Attributs!$CM$2:$CM$18,Attributs!$DA$2:$DA$18))/((SQRT(SUMSQ(Attributs!$CL$2:$CL$18)+SUMSQ(Attributs!$CM$2:$CM$18)))*(SQRT(SUMSQ(Attributs!$CZ$2:$CZ$18)+SUMSQ(Attributs!$DA$2:$DA$18)))),0)</f>
        <v/>
      </c>
      <c r="BB46" s="2">
        <f>IFERROR((SUMPRODUCT(Attributs!$CL$2:$CL$18,Attributs!$DB$2:$DB$18)+SUMPRODUCT(Attributs!$CM$2:$CM$18,Attributs!$DC$2:$DC$18))/((SQRT(SUMSQ(Attributs!$CL$2:$CL$18)+SUMSQ(Attributs!$CM$2:$CM$18)))*(SQRT(SUMSQ(Attributs!$DB$2:$DB$18)+SUMSQ(Attributs!$DC$2:$DC$18)))),0)</f>
        <v/>
      </c>
      <c r="BC46" s="2">
        <f>IFERROR((SUMPRODUCT(Attributs!$CL$2:$CL$18,Attributs!$DD$2:$DD$18)+SUMPRODUCT(Attributs!$CM$2:$CM$18,Attributs!$DE$2:$DE$18))/((SQRT(SUMSQ(Attributs!$CL$2:$CL$18)+SUMSQ(Attributs!$CM$2:$CM$18)))*(SQRT(SUMSQ(Attributs!$DD$2:$DD$18)+SUMSQ(Attributs!$DE$2:$DE$18)))),0)</f>
        <v/>
      </c>
      <c r="BD46" s="2">
        <f>IFERROR((SUMPRODUCT(Attributs!$CL$2:$CL$18,Attributs!$DF$2:$DF$18)+SUMPRODUCT(Attributs!$CM$2:$CM$18,Attributs!$DG$2:$DG$18))/((SQRT(SUMSQ(Attributs!$CL$2:$CL$18)+SUMSQ(Attributs!$CM$2:$CM$18)))*(SQRT(SUMSQ(Attributs!$DF$2:$DF$18)+SUMSQ(Attributs!$DG$2:$DG$18)))),0)</f>
        <v/>
      </c>
      <c r="BE46" s="2">
        <f>IFERROR((SUMPRODUCT(Attributs!$CL$2:$CL$18,Attributs!$DH$2:$DH$18)+SUMPRODUCT(Attributs!$CM$2:$CM$18,Attributs!$DI$2:$DI$18))/((SQRT(SUMSQ(Attributs!$CL$2:$CL$18)+SUMSQ(Attributs!$CM$2:$CM$18)))*(SQRT(SUMSQ(Attributs!$DH$2:$DH$18)+SUMSQ(Attributs!$DI$2:$DI$18)))),0)</f>
        <v/>
      </c>
      <c r="BF46" s="2">
        <f>IFERROR((SUMPRODUCT(Attributs!$CL$2:$CL$18,Attributs!$DJ$2:$DJ$18)+SUMPRODUCT(Attributs!$CM$2:$CM$18,Attributs!$DK$2:$DK$18))/((SQRT(SUMSQ(Attributs!$CL$2:$CL$18)+SUMSQ(Attributs!$CM$2:$CM$18)))*(SQRT(SUMSQ(Attributs!$DJ$2:$DJ$18)+SUMSQ(Attributs!$DK$2:$DK$18)))),0)</f>
        <v/>
      </c>
      <c r="BG46" s="2">
        <f>IFERROR((SUMPRODUCT(Attributs!$CL$2:$CL$18,Attributs!$DL$2:$DL$18)+SUMPRODUCT(Attributs!$CM$2:$CM$18,Attributs!$DM$2:$DM$18))/((SQRT(SUMSQ(Attributs!$CL$2:$CL$18)+SUMSQ(Attributs!$CM$2:$CM$18)))*(SQRT(SUMSQ(Attributs!$DL$2:$DL$18)+SUMSQ(Attributs!$DM$2:$DM$18)))),0)</f>
        <v/>
      </c>
      <c r="BH46" s="2">
        <f>IFERROR((SUMPRODUCT(Attributs!$CL$2:$CL$18,Attributs!$DN$2:$DN$18)+SUMPRODUCT(Attributs!$CM$2:$CM$18,Attributs!$DO$2:$DO$18))/((SQRT(SUMSQ(Attributs!$CL$2:$CL$18)+SUMSQ(Attributs!$CM$2:$CM$18)))*(SQRT(SUMSQ(Attributs!$DN$2:$DN$18)+SUMSQ(Attributs!$DO$2:$DO$18)))),0)</f>
        <v/>
      </c>
      <c r="BI46" s="2">
        <f>IFERROR((SUMPRODUCT(Attributs!$CL$2:$CL$18,Attributs!$DP$2:$DP$18)+SUMPRODUCT(Attributs!$CM$2:$CM$18,Attributs!$DQ$2:$DQ$18))/((SQRT(SUMSQ(Attributs!$CL$2:$CL$18)+SUMSQ(Attributs!$CM$2:$CM$18)))*(SQRT(SUMSQ(Attributs!$DP$2:$DP$18)+SUMSQ(Attributs!$DQ$2:$DQ$18)))),0)</f>
        <v/>
      </c>
      <c r="BJ46" s="2">
        <f>IFERROR((SUMPRODUCT(Attributs!$CL$2:$CL$18,Attributs!$DR$2:$DR$18)+SUMPRODUCT(Attributs!$CM$2:$CM$18,Attributs!$DS$2:$DS$18))/((SQRT(SUMSQ(Attributs!$CL$2:$CL$18)+SUMSQ(Attributs!$CM$2:$CM$18)))*(SQRT(SUMSQ(Attributs!$DR$2:$DR$18)+SUMSQ(Attributs!$DS$2:$DS$18)))),0)</f>
        <v/>
      </c>
      <c r="BK46" s="2">
        <f>IFERROR((SUMPRODUCT(Attributs!$CL$2:$CL$18,Attributs!$DT$2:$DT$18)+SUMPRODUCT(Attributs!$CM$2:$CM$18,Attributs!$DU$2:$DU$18))/((SQRT(SUMSQ(Attributs!$CL$2:$CL$18)+SUMSQ(Attributs!$CM$2:$CM$18)))*(SQRT(SUMSQ(Attributs!$DT$2:$DT$18)+SUMSQ(Attributs!$DU$2:$DU$18)))),0)</f>
        <v/>
      </c>
      <c r="BL46" s="2">
        <f>IFERROR((SUMPRODUCT(Attributs!$CL$2:$CL$18,Attributs!$DV$2:$DV$18)+SUMPRODUCT(Attributs!$CM$2:$CM$18,Attributs!$DW$2:$DW$18))/((SQRT(SUMSQ(Attributs!$CL$2:$CL$18)+SUMSQ(Attributs!$CM$2:$CM$18)))*(SQRT(SUMSQ(Attributs!$DV$2:$DV$18)+SUMSQ(Attributs!$DW$2:$DW$18)))),0)</f>
        <v/>
      </c>
    </row>
    <row r="47">
      <c r="A47" s="3" t="inlineStr">
        <is>
          <t>SE_neo4j.postlinks.CreationDate</t>
        </is>
      </c>
      <c r="B47" s="2">
        <f>IFERROR((SUMPRODUCT(Attributs!$CN$2:$CN$18,Attributs!$B$2:$B$18)+SUMPRODUCT(Attributs!$CO$2:$CO$18,Attributs!$C$2:$C$18))/((SQRT(SUMSQ(Attributs!$CN$2:$CN$18)+SUMSQ(Attributs!$CO$2:$CO$18)))*(SQRT(SUMSQ(Attributs!$B$2:$B$18)+SUMSQ(Attributs!$C$2:$C$18)))),0)</f>
        <v/>
      </c>
      <c r="C47" s="2">
        <f>IFERROR((SUMPRODUCT(Attributs!$CN$2:$CN$18,Attributs!$D$2:$D$18)+SUMPRODUCT(Attributs!$CO$2:$CO$18,Attributs!$E$2:$E$18))/((SQRT(SUMSQ(Attributs!$CN$2:$CN$18)+SUMSQ(Attributs!$CO$2:$CO$18)))*(SQRT(SUMSQ(Attributs!$D$2:$D$18)+SUMSQ(Attributs!$E$2:$E$18)))),0)</f>
        <v/>
      </c>
      <c r="D47" s="2">
        <f>IFERROR((SUMPRODUCT(Attributs!$CN$2:$CN$18,Attributs!$F$2:$F$18)+SUMPRODUCT(Attributs!$CO$2:$CO$18,Attributs!$G$2:$G$18))/((SQRT(SUMSQ(Attributs!$CN$2:$CN$18)+SUMSQ(Attributs!$CO$2:$CO$18)))*(SQRT(SUMSQ(Attributs!$F$2:$F$18)+SUMSQ(Attributs!$G$2:$G$18)))),0)</f>
        <v/>
      </c>
      <c r="E47" s="2">
        <f>IFERROR((SUMPRODUCT(Attributs!$CN$2:$CN$18,Attributs!$H$2:$H$18)+SUMPRODUCT(Attributs!$CO$2:$CO$18,Attributs!$I$2:$I$18))/((SQRT(SUMSQ(Attributs!$CN$2:$CN$18)+SUMSQ(Attributs!$CO$2:$CO$18)))*(SQRT(SUMSQ(Attributs!$H$2:$H$18)+SUMSQ(Attributs!$I$2:$I$18)))),0)</f>
        <v/>
      </c>
      <c r="F47" s="2">
        <f>IFERROR((SUMPRODUCT(Attributs!$CN$2:$CN$18,Attributs!$J$2:$J$18)+SUMPRODUCT(Attributs!$CO$2:$CO$18,Attributs!$K$2:$K$18))/((SQRT(SUMSQ(Attributs!$CN$2:$CN$18)+SUMSQ(Attributs!$CO$2:$CO$18)))*(SQRT(SUMSQ(Attributs!$J$2:$J$18)+SUMSQ(Attributs!$K$2:$K$18)))),0)</f>
        <v/>
      </c>
      <c r="G47" s="2">
        <f>IFERROR((SUMPRODUCT(Attributs!$CN$2:$CN$18,Attributs!$L$2:$L$18)+SUMPRODUCT(Attributs!$CO$2:$CO$18,Attributs!$M$2:$M$18))/((SQRT(SUMSQ(Attributs!$CN$2:$CN$18)+SUMSQ(Attributs!$CO$2:$CO$18)))*(SQRT(SUMSQ(Attributs!$L$2:$L$18)+SUMSQ(Attributs!$M$2:$M$18)))),0)</f>
        <v/>
      </c>
      <c r="H47" s="2">
        <f>IFERROR((SUMPRODUCT(Attributs!$CN$2:$CN$18,Attributs!$N$2:$N$18)+SUMPRODUCT(Attributs!$CO$2:$CO$18,Attributs!$O$2:$O$18))/((SQRT(SUMSQ(Attributs!$CN$2:$CN$18)+SUMSQ(Attributs!$CO$2:$CO$18)))*(SQRT(SUMSQ(Attributs!$N$2:$N$18)+SUMSQ(Attributs!$O$2:$O$18)))),0)</f>
        <v/>
      </c>
      <c r="I47" s="2">
        <f>IFERROR((SUMPRODUCT(Attributs!$CN$2:$CN$18,Attributs!$P$2:$P$18)+SUMPRODUCT(Attributs!$CO$2:$CO$18,Attributs!$Q$2:$Q$18))/((SQRT(SUMSQ(Attributs!$CN$2:$CN$18)+SUMSQ(Attributs!$CO$2:$CO$18)))*(SQRT(SUMSQ(Attributs!$P$2:$P$18)+SUMSQ(Attributs!$Q$2:$Q$18)))),0)</f>
        <v/>
      </c>
      <c r="J47" s="2">
        <f>IFERROR((SUMPRODUCT(Attributs!$CN$2:$CN$18,Attributs!$R$2:$R$18)+SUMPRODUCT(Attributs!$CO$2:$CO$18,Attributs!$S$2:$S$18))/((SQRT(SUMSQ(Attributs!$CN$2:$CN$18)+SUMSQ(Attributs!$CO$2:$CO$18)))*(SQRT(SUMSQ(Attributs!$R$2:$R$18)+SUMSQ(Attributs!$S$2:$S$18)))),0)</f>
        <v/>
      </c>
      <c r="K47" s="2">
        <f>IFERROR((SUMPRODUCT(Attributs!$CN$2:$CN$18,Attributs!$T$2:$T$18)+SUMPRODUCT(Attributs!$CO$2:$CO$18,Attributs!$U$2:$U$18))/((SQRT(SUMSQ(Attributs!$CN$2:$CN$18)+SUMSQ(Attributs!$CO$2:$CO$18)))*(SQRT(SUMSQ(Attributs!$T$2:$T$18)+SUMSQ(Attributs!$U$2:$U$18)))),0)</f>
        <v/>
      </c>
      <c r="L47" s="2">
        <f>IFERROR((SUMPRODUCT(Attributs!$CN$2:$CN$18,Attributs!$V$2:$V$18)+SUMPRODUCT(Attributs!$CO$2:$CO$18,Attributs!$W$2:$W$18))/((SQRT(SUMSQ(Attributs!$CN$2:$CN$18)+SUMSQ(Attributs!$CO$2:$CO$18)))*(SQRT(SUMSQ(Attributs!$V$2:$V$18)+SUMSQ(Attributs!$W$2:$W$18)))),0)</f>
        <v/>
      </c>
      <c r="M47" s="2">
        <f>IFERROR((SUMPRODUCT(Attributs!$CN$2:$CN$18,Attributs!$X$2:$X$18)+SUMPRODUCT(Attributs!$CO$2:$CO$18,Attributs!$Y$2:$Y$18))/((SQRT(SUMSQ(Attributs!$CN$2:$CN$18)+SUMSQ(Attributs!$CO$2:$CO$18)))*(SQRT(SUMSQ(Attributs!$X$2:$X$18)+SUMSQ(Attributs!$Y$2:$Y$18)))),0)</f>
        <v/>
      </c>
      <c r="N47" s="2">
        <f>IFERROR((SUMPRODUCT(Attributs!$CN$2:$CN$18,Attributs!$Z$2:$Z$18)+SUMPRODUCT(Attributs!$CO$2:$CO$18,Attributs!$AA$2:$AA$18))/((SQRT(SUMSQ(Attributs!$CN$2:$CN$18)+SUMSQ(Attributs!$CO$2:$CO$18)))*(SQRT(SUMSQ(Attributs!$Z$2:$Z$18)+SUMSQ(Attributs!$AA$2:$AA$18)))),0)</f>
        <v/>
      </c>
      <c r="O47" s="2">
        <f>IFERROR((SUMPRODUCT(Attributs!$CN$2:$CN$18,Attributs!$AB$2:$AB$18)+SUMPRODUCT(Attributs!$CO$2:$CO$18,Attributs!$AC$2:$AC$18))/((SQRT(SUMSQ(Attributs!$CN$2:$CN$18)+SUMSQ(Attributs!$CO$2:$CO$18)))*(SQRT(SUMSQ(Attributs!$AB$2:$AB$18)+SUMSQ(Attributs!$AC$2:$AC$18)))),0)</f>
        <v/>
      </c>
      <c r="P47" s="2">
        <f>IFERROR((SUMPRODUCT(Attributs!$CN$2:$CN$18,Attributs!$AD$2:$AD$18)+SUMPRODUCT(Attributs!$CO$2:$CO$18,Attributs!$AE$2:$AE$18))/((SQRT(SUMSQ(Attributs!$CN$2:$CN$18)+SUMSQ(Attributs!$CO$2:$CO$18)))*(SQRT(SUMSQ(Attributs!$AD$2:$AD$18)+SUMSQ(Attributs!$AE$2:$AE$18)))),0)</f>
        <v/>
      </c>
      <c r="Q47" s="2">
        <f>IFERROR((SUMPRODUCT(Attributs!$CN$2:$CN$18,Attributs!$AF$2:$AF$18)+SUMPRODUCT(Attributs!$CO$2:$CO$18,Attributs!$AG$2:$AG$18))/((SQRT(SUMSQ(Attributs!$CN$2:$CN$18)+SUMSQ(Attributs!$CO$2:$CO$18)))*(SQRT(SUMSQ(Attributs!$AF$2:$AF$18)+SUMSQ(Attributs!$AG$2:$AG$18)))),0)</f>
        <v/>
      </c>
      <c r="R47" s="2">
        <f>IFERROR((SUMPRODUCT(Attributs!$CN$2:$CN$18,Attributs!$AH$2:$AH$18)+SUMPRODUCT(Attributs!$CO$2:$CO$18,Attributs!$AI$2:$AI$18))/((SQRT(SUMSQ(Attributs!$CN$2:$CN$18)+SUMSQ(Attributs!$CO$2:$CO$18)))*(SQRT(SUMSQ(Attributs!$AH$2:$AH$18)+SUMSQ(Attributs!$AI$2:$AI$18)))),0)</f>
        <v/>
      </c>
      <c r="S47" s="2">
        <f>IFERROR((SUMPRODUCT(Attributs!$CN$2:$CN$18,Attributs!$AJ$2:$AJ$18)+SUMPRODUCT(Attributs!$CO$2:$CO$18,Attributs!$AK$2:$AK$18))/((SQRT(SUMSQ(Attributs!$CN$2:$CN$18)+SUMSQ(Attributs!$CO$2:$CO$18)))*(SQRT(SUMSQ(Attributs!$AJ$2:$AJ$18)+SUMSQ(Attributs!$AK$2:$AK$18)))),0)</f>
        <v/>
      </c>
      <c r="T47" s="2">
        <f>IFERROR((SUMPRODUCT(Attributs!$CN$2:$CN$18,Attributs!$AL$2:$AL$18)+SUMPRODUCT(Attributs!$CO$2:$CO$18,Attributs!$AM$2:$AM$18))/((SQRT(SUMSQ(Attributs!$CN$2:$CN$18)+SUMSQ(Attributs!$CO$2:$CO$18)))*(SQRT(SUMSQ(Attributs!$AL$2:$AL$18)+SUMSQ(Attributs!$AM$2:$AM$18)))),0)</f>
        <v/>
      </c>
      <c r="U47" s="2">
        <f>IFERROR((SUMPRODUCT(Attributs!$CN$2:$CN$18,Attributs!$AN$2:$AN$18)+SUMPRODUCT(Attributs!$CO$2:$CO$18,Attributs!$AO$2:$AO$18))/((SQRT(SUMSQ(Attributs!$CN$2:$CN$18)+SUMSQ(Attributs!$CO$2:$CO$18)))*(SQRT(SUMSQ(Attributs!$AN$2:$AN$18)+SUMSQ(Attributs!$AO$2:$AO$18)))),0)</f>
        <v/>
      </c>
      <c r="V47" s="2">
        <f>IFERROR((SUMPRODUCT(Attributs!$CN$2:$CN$18,Attributs!$AP$2:$AP$18)+SUMPRODUCT(Attributs!$CO$2:$CO$18,Attributs!$AQ$2:$AQ$18))/((SQRT(SUMSQ(Attributs!$CN$2:$CN$18)+SUMSQ(Attributs!$CO$2:$CO$18)))*(SQRT(SUMSQ(Attributs!$AP$2:$AP$18)+SUMSQ(Attributs!$AQ$2:$AQ$18)))),0)</f>
        <v/>
      </c>
      <c r="W47" s="2">
        <f>IFERROR((SUMPRODUCT(Attributs!$CN$2:$CN$18,Attributs!$AR$2:$AR$18)+SUMPRODUCT(Attributs!$CO$2:$CO$18,Attributs!$AS$2:$AS$18))/((SQRT(SUMSQ(Attributs!$CN$2:$CN$18)+SUMSQ(Attributs!$CO$2:$CO$18)))*(SQRT(SUMSQ(Attributs!$AR$2:$AR$18)+SUMSQ(Attributs!$AS$2:$AS$18)))),0)</f>
        <v/>
      </c>
      <c r="X47" s="2">
        <f>IFERROR((SUMPRODUCT(Attributs!$CN$2:$CN$18,Attributs!$AT$2:$AT$18)+SUMPRODUCT(Attributs!$CO$2:$CO$18,Attributs!$AU$2:$AU$18))/((SQRT(SUMSQ(Attributs!$CN$2:$CN$18)+SUMSQ(Attributs!$CO$2:$CO$18)))*(SQRT(SUMSQ(Attributs!$AT$2:$AT$18)+SUMSQ(Attributs!$AU$2:$AU$18)))),0)</f>
        <v/>
      </c>
      <c r="Y47" s="2">
        <f>IFERROR((SUMPRODUCT(Attributs!$CN$2:$CN$18,Attributs!$AV$2:$AV$18)+SUMPRODUCT(Attributs!$CO$2:$CO$18,Attributs!$AW$2:$AW$18))/((SQRT(SUMSQ(Attributs!$CN$2:$CN$18)+SUMSQ(Attributs!$CO$2:$CO$18)))*(SQRT(SUMSQ(Attributs!$AV$2:$AV$18)+SUMSQ(Attributs!$AW$2:$AW$18)))),0)</f>
        <v/>
      </c>
      <c r="Z47" s="2">
        <f>IFERROR((SUMPRODUCT(Attributs!$CN$2:$CN$18,Attributs!$AX$2:$AX$18)+SUMPRODUCT(Attributs!$CO$2:$CO$18,Attributs!$AY$2:$AY$18))/((SQRT(SUMSQ(Attributs!$CN$2:$CN$18)+SUMSQ(Attributs!$CO$2:$CO$18)))*(SQRT(SUMSQ(Attributs!$AX$2:$AX$18)+SUMSQ(Attributs!$AY$2:$AY$18)))),0)</f>
        <v/>
      </c>
      <c r="AA47" s="2">
        <f>IFERROR((SUMPRODUCT(Attributs!$CN$2:$CN$18,Attributs!$AZ$2:$AZ$18)+SUMPRODUCT(Attributs!$CO$2:$CO$18,Attributs!$BA$2:$BA$18))/((SQRT(SUMSQ(Attributs!$CN$2:$CN$18)+SUMSQ(Attributs!$CO$2:$CO$18)))*(SQRT(SUMSQ(Attributs!$AZ$2:$AZ$18)+SUMSQ(Attributs!$BA$2:$BA$18)))),0)</f>
        <v/>
      </c>
      <c r="AB47" s="2">
        <f>IFERROR((SUMPRODUCT(Attributs!$CN$2:$CN$18,Attributs!$BB$2:$BB$18)+SUMPRODUCT(Attributs!$CO$2:$CO$18,Attributs!$BC$2:$BC$18))/((SQRT(SUMSQ(Attributs!$CN$2:$CN$18)+SUMSQ(Attributs!$CO$2:$CO$18)))*(SQRT(SUMSQ(Attributs!$BB$2:$BB$18)+SUMSQ(Attributs!$BC$2:$BC$18)))),0)</f>
        <v/>
      </c>
      <c r="AC47" s="2">
        <f>IFERROR((SUMPRODUCT(Attributs!$CN$2:$CN$18,Attributs!$BD$2:$BD$18)+SUMPRODUCT(Attributs!$CO$2:$CO$18,Attributs!$BE$2:$BE$18))/((SQRT(SUMSQ(Attributs!$CN$2:$CN$18)+SUMSQ(Attributs!$CO$2:$CO$18)))*(SQRT(SUMSQ(Attributs!$BD$2:$BD$18)+SUMSQ(Attributs!$BE$2:$BE$18)))),0)</f>
        <v/>
      </c>
      <c r="AD47" s="2">
        <f>IFERROR((SUMPRODUCT(Attributs!$CN$2:$CN$18,Attributs!$BF$2:$BF$18)+SUMPRODUCT(Attributs!$CO$2:$CO$18,Attributs!$BG$2:$BG$18))/((SQRT(SUMSQ(Attributs!$CN$2:$CN$18)+SUMSQ(Attributs!$CO$2:$CO$18)))*(SQRT(SUMSQ(Attributs!$BF$2:$BF$18)+SUMSQ(Attributs!$BG$2:$BG$18)))),0)</f>
        <v/>
      </c>
      <c r="AE47" s="2">
        <f>IFERROR((SUMPRODUCT(Attributs!$CN$2:$CN$18,Attributs!$BH$2:$BH$18)+SUMPRODUCT(Attributs!$CO$2:$CO$18,Attributs!$BI$2:$BI$18))/((SQRT(SUMSQ(Attributs!$CN$2:$CN$18)+SUMSQ(Attributs!$CO$2:$CO$18)))*(SQRT(SUMSQ(Attributs!$BH$2:$BH$18)+SUMSQ(Attributs!$BI$2:$BI$18)))),0)</f>
        <v/>
      </c>
      <c r="AF47" s="2">
        <f>IFERROR((SUMPRODUCT(Attributs!$CN$2:$CN$18,Attributs!$BJ$2:$BJ$18)+SUMPRODUCT(Attributs!$CO$2:$CO$18,Attributs!$BK$2:$BK$18))/((SQRT(SUMSQ(Attributs!$CN$2:$CN$18)+SUMSQ(Attributs!$CO$2:$CO$18)))*(SQRT(SUMSQ(Attributs!$BJ$2:$BJ$18)+SUMSQ(Attributs!$BK$2:$BK$18)))),0)</f>
        <v/>
      </c>
      <c r="AG47" s="2">
        <f>IFERROR((SUMPRODUCT(Attributs!$CN$2:$CN$18,Attributs!$BL$2:$BL$18)+SUMPRODUCT(Attributs!$CO$2:$CO$18,Attributs!$BM$2:$BM$18))/((SQRT(SUMSQ(Attributs!$CN$2:$CN$18)+SUMSQ(Attributs!$CO$2:$CO$18)))*(SQRT(SUMSQ(Attributs!$BL$2:$BL$18)+SUMSQ(Attributs!$BM$2:$BM$18)))),0)</f>
        <v/>
      </c>
      <c r="AH47" s="2">
        <f>IFERROR((SUMPRODUCT(Attributs!$CN$2:$CN$18,Attributs!$BN$2:$BN$18)+SUMPRODUCT(Attributs!$CO$2:$CO$18,Attributs!$BO$2:$BO$18))/((SQRT(SUMSQ(Attributs!$CN$2:$CN$18)+SUMSQ(Attributs!$CO$2:$CO$18)))*(SQRT(SUMSQ(Attributs!$BN$2:$BN$18)+SUMSQ(Attributs!$BO$2:$BO$18)))),0)</f>
        <v/>
      </c>
      <c r="AI47" s="2">
        <f>IFERROR((SUMPRODUCT(Attributs!$CN$2:$CN$18,Attributs!$BP$2:$BP$18)+SUMPRODUCT(Attributs!$CO$2:$CO$18,Attributs!$BQ$2:$BQ$18))/((SQRT(SUMSQ(Attributs!$CN$2:$CN$18)+SUMSQ(Attributs!$CO$2:$CO$18)))*(SQRT(SUMSQ(Attributs!$BP$2:$BP$18)+SUMSQ(Attributs!$BQ$2:$BQ$18)))),0)</f>
        <v/>
      </c>
      <c r="AJ47" s="2">
        <f>IFERROR((SUMPRODUCT(Attributs!$CN$2:$CN$18,Attributs!$BR$2:$BR$18)+SUMPRODUCT(Attributs!$CO$2:$CO$18,Attributs!$BS$2:$BS$18))/((SQRT(SUMSQ(Attributs!$CN$2:$CN$18)+SUMSQ(Attributs!$CO$2:$CO$18)))*(SQRT(SUMSQ(Attributs!$BR$2:$BR$18)+SUMSQ(Attributs!$BS$2:$BS$18)))),0)</f>
        <v/>
      </c>
      <c r="AK47" s="2">
        <f>IFERROR((SUMPRODUCT(Attributs!$CN$2:$CN$18,Attributs!$BT$2:$BT$18)+SUMPRODUCT(Attributs!$CO$2:$CO$18,Attributs!$BU$2:$BU$18))/((SQRT(SUMSQ(Attributs!$CN$2:$CN$18)+SUMSQ(Attributs!$CO$2:$CO$18)))*(SQRT(SUMSQ(Attributs!$BT$2:$BT$18)+SUMSQ(Attributs!$BU$2:$BU$18)))),0)</f>
        <v/>
      </c>
      <c r="AL47" s="2">
        <f>IFERROR((SUMPRODUCT(Attributs!$CN$2:$CN$18,Attributs!$BV$2:$BV$18)+SUMPRODUCT(Attributs!$CO$2:$CO$18,Attributs!$BW$2:$BW$18))/((SQRT(SUMSQ(Attributs!$CN$2:$CN$18)+SUMSQ(Attributs!$CO$2:$CO$18)))*(SQRT(SUMSQ(Attributs!$BV$2:$BV$18)+SUMSQ(Attributs!$BW$2:$BW$18)))),0)</f>
        <v/>
      </c>
      <c r="AM47" s="2">
        <f>IFERROR((SUMPRODUCT(Attributs!$CN$2:$CN$18,Attributs!$BX$2:$BX$18)+SUMPRODUCT(Attributs!$CO$2:$CO$18,Attributs!$BY$2:$BY$18))/((SQRT(SUMSQ(Attributs!$CN$2:$CN$18)+SUMSQ(Attributs!$CO$2:$CO$18)))*(SQRT(SUMSQ(Attributs!$BX$2:$BX$18)+SUMSQ(Attributs!$BY$2:$BY$18)))),0)</f>
        <v/>
      </c>
      <c r="AN47" s="2">
        <f>IFERROR((SUMPRODUCT(Attributs!$CN$2:$CN$18,Attributs!$BZ$2:$BZ$18)+SUMPRODUCT(Attributs!$CO$2:$CO$18,Attributs!$CA$2:$CA$18))/((SQRT(SUMSQ(Attributs!$CN$2:$CN$18)+SUMSQ(Attributs!$CO$2:$CO$18)))*(SQRT(SUMSQ(Attributs!$BZ$2:$BZ$18)+SUMSQ(Attributs!$CA$2:$CA$18)))),0)</f>
        <v/>
      </c>
      <c r="AO47" s="2">
        <f>IFERROR((SUMPRODUCT(Attributs!$CN$2:$CN$18,Attributs!$CB$2:$CB$18)+SUMPRODUCT(Attributs!$CO$2:$CO$18,Attributs!$CC$2:$CC$18))/((SQRT(SUMSQ(Attributs!$CN$2:$CN$18)+SUMSQ(Attributs!$CO$2:$CO$18)))*(SQRT(SUMSQ(Attributs!$CB$2:$CB$18)+SUMSQ(Attributs!$CC$2:$CC$18)))),0)</f>
        <v/>
      </c>
      <c r="AP47" s="2">
        <f>IFERROR((SUMPRODUCT(Attributs!$CN$2:$CN$18,Attributs!$CD$2:$CD$18)+SUMPRODUCT(Attributs!$CO$2:$CO$18,Attributs!$CE$2:$CE$18))/((SQRT(SUMSQ(Attributs!$CN$2:$CN$18)+SUMSQ(Attributs!$CO$2:$CO$18)))*(SQRT(SUMSQ(Attributs!$CD$2:$CD$18)+SUMSQ(Attributs!$CE$2:$CE$18)))),0)</f>
        <v/>
      </c>
      <c r="AQ47" s="2">
        <f>IFERROR((SUMPRODUCT(Attributs!$CN$2:$CN$18,Attributs!$CF$2:$CF$18)+SUMPRODUCT(Attributs!$CO$2:$CO$18,Attributs!$CG$2:$CG$18))/((SQRT(SUMSQ(Attributs!$CN$2:$CN$18)+SUMSQ(Attributs!$CO$2:$CO$18)))*(SQRT(SUMSQ(Attributs!$CF$2:$CF$18)+SUMSQ(Attributs!$CG$2:$CG$18)))),0)</f>
        <v/>
      </c>
      <c r="AR47" s="2">
        <f>IFERROR((SUMPRODUCT(Attributs!$CN$2:$CN$18,Attributs!$CH$2:$CH$18)+SUMPRODUCT(Attributs!$CO$2:$CO$18,Attributs!$CI$2:$CI$18))/((SQRT(SUMSQ(Attributs!$CN$2:$CN$18)+SUMSQ(Attributs!$CO$2:$CO$18)))*(SQRT(SUMSQ(Attributs!$CH$2:$CH$18)+SUMSQ(Attributs!$CI$2:$CI$18)))),0)</f>
        <v/>
      </c>
      <c r="AS47" s="2">
        <f>IFERROR((SUMPRODUCT(Attributs!$CN$2:$CN$18,Attributs!$CJ$2:$CJ$18)+SUMPRODUCT(Attributs!$CO$2:$CO$18,Attributs!$CK$2:$CK$18))/((SQRT(SUMSQ(Attributs!$CN$2:$CN$18)+SUMSQ(Attributs!$CO$2:$CO$18)))*(SQRT(SUMSQ(Attributs!$CJ$2:$CJ$18)+SUMSQ(Attributs!$CK$2:$CK$18)))),0)</f>
        <v/>
      </c>
      <c r="AT47" s="2">
        <f>IFERROR((SUMPRODUCT(Attributs!$CN$2:$CN$18,Attributs!$CL$2:$CL$18)+SUMPRODUCT(Attributs!$CO$2:$CO$18,Attributs!$CM$2:$CM$18))/((SQRT(SUMSQ(Attributs!$CN$2:$CN$18)+SUMSQ(Attributs!$CO$2:$CO$18)))*(SQRT(SUMSQ(Attributs!$CL$2:$CL$18)+SUMSQ(Attributs!$CM$2:$CM$18)))),0)</f>
        <v/>
      </c>
      <c r="AU47" s="2">
        <f>IFERROR((SUMPRODUCT(Attributs!$CN$2:$CN$18,Attributs!$CN$2:$CN$18)+SUMPRODUCT(Attributs!$CO$2:$CO$18,Attributs!$CO$2:$CO$18))/((SQRT(SUMSQ(Attributs!$CN$2:$CN$18)+SUMSQ(Attributs!$CO$2:$CO$18)))*(SQRT(SUMSQ(Attributs!$CN$2:$CN$18)+SUMSQ(Attributs!$CO$2:$CO$18)))),0)</f>
        <v/>
      </c>
      <c r="AV47" s="2">
        <f>IFERROR((SUMPRODUCT(Attributs!$CN$2:$CN$18,Attributs!$CP$2:$CP$18)+SUMPRODUCT(Attributs!$CO$2:$CO$18,Attributs!$CQ$2:$CQ$18))/((SQRT(SUMSQ(Attributs!$CN$2:$CN$18)+SUMSQ(Attributs!$CO$2:$CO$18)))*(SQRT(SUMSQ(Attributs!$CP$2:$CP$18)+SUMSQ(Attributs!$CQ$2:$CQ$18)))),0)</f>
        <v/>
      </c>
      <c r="AW47" s="2">
        <f>IFERROR((SUMPRODUCT(Attributs!$CN$2:$CN$18,Attributs!$CR$2:$CR$18)+SUMPRODUCT(Attributs!$CO$2:$CO$18,Attributs!$CS$2:$CS$18))/((SQRT(SUMSQ(Attributs!$CN$2:$CN$18)+SUMSQ(Attributs!$CO$2:$CO$18)))*(SQRT(SUMSQ(Attributs!$CR$2:$CR$18)+SUMSQ(Attributs!$CS$2:$CS$18)))),0)</f>
        <v/>
      </c>
      <c r="AX47" s="2">
        <f>IFERROR((SUMPRODUCT(Attributs!$CN$2:$CN$18,Attributs!$CT$2:$CT$18)+SUMPRODUCT(Attributs!$CO$2:$CO$18,Attributs!$CU$2:$CU$18))/((SQRT(SUMSQ(Attributs!$CN$2:$CN$18)+SUMSQ(Attributs!$CO$2:$CO$18)))*(SQRT(SUMSQ(Attributs!$CT$2:$CT$18)+SUMSQ(Attributs!$CU$2:$CU$18)))),0)</f>
        <v/>
      </c>
      <c r="AY47" s="2">
        <f>IFERROR((SUMPRODUCT(Attributs!$CN$2:$CN$18,Attributs!$CV$2:$CV$18)+SUMPRODUCT(Attributs!$CO$2:$CO$18,Attributs!$CW$2:$CW$18))/((SQRT(SUMSQ(Attributs!$CN$2:$CN$18)+SUMSQ(Attributs!$CO$2:$CO$18)))*(SQRT(SUMSQ(Attributs!$CV$2:$CV$18)+SUMSQ(Attributs!$CW$2:$CW$18)))),0)</f>
        <v/>
      </c>
      <c r="AZ47" s="2">
        <f>IFERROR((SUMPRODUCT(Attributs!$CN$2:$CN$18,Attributs!$CX$2:$CX$18)+SUMPRODUCT(Attributs!$CO$2:$CO$18,Attributs!$CY$2:$CY$18))/((SQRT(SUMSQ(Attributs!$CN$2:$CN$18)+SUMSQ(Attributs!$CO$2:$CO$18)))*(SQRT(SUMSQ(Attributs!$CX$2:$CX$18)+SUMSQ(Attributs!$CY$2:$CY$18)))),0)</f>
        <v/>
      </c>
      <c r="BA47" s="2">
        <f>IFERROR((SUMPRODUCT(Attributs!$CN$2:$CN$18,Attributs!$CZ$2:$CZ$18)+SUMPRODUCT(Attributs!$CO$2:$CO$18,Attributs!$DA$2:$DA$18))/((SQRT(SUMSQ(Attributs!$CN$2:$CN$18)+SUMSQ(Attributs!$CO$2:$CO$18)))*(SQRT(SUMSQ(Attributs!$CZ$2:$CZ$18)+SUMSQ(Attributs!$DA$2:$DA$18)))),0)</f>
        <v/>
      </c>
      <c r="BB47" s="2">
        <f>IFERROR((SUMPRODUCT(Attributs!$CN$2:$CN$18,Attributs!$DB$2:$DB$18)+SUMPRODUCT(Attributs!$CO$2:$CO$18,Attributs!$DC$2:$DC$18))/((SQRT(SUMSQ(Attributs!$CN$2:$CN$18)+SUMSQ(Attributs!$CO$2:$CO$18)))*(SQRT(SUMSQ(Attributs!$DB$2:$DB$18)+SUMSQ(Attributs!$DC$2:$DC$18)))),0)</f>
        <v/>
      </c>
      <c r="BC47" s="2">
        <f>IFERROR((SUMPRODUCT(Attributs!$CN$2:$CN$18,Attributs!$DD$2:$DD$18)+SUMPRODUCT(Attributs!$CO$2:$CO$18,Attributs!$DE$2:$DE$18))/((SQRT(SUMSQ(Attributs!$CN$2:$CN$18)+SUMSQ(Attributs!$CO$2:$CO$18)))*(SQRT(SUMSQ(Attributs!$DD$2:$DD$18)+SUMSQ(Attributs!$DE$2:$DE$18)))),0)</f>
        <v/>
      </c>
      <c r="BD47" s="2">
        <f>IFERROR((SUMPRODUCT(Attributs!$CN$2:$CN$18,Attributs!$DF$2:$DF$18)+SUMPRODUCT(Attributs!$CO$2:$CO$18,Attributs!$DG$2:$DG$18))/((SQRT(SUMSQ(Attributs!$CN$2:$CN$18)+SUMSQ(Attributs!$CO$2:$CO$18)))*(SQRT(SUMSQ(Attributs!$DF$2:$DF$18)+SUMSQ(Attributs!$DG$2:$DG$18)))),0)</f>
        <v/>
      </c>
      <c r="BE47" s="2">
        <f>IFERROR((SUMPRODUCT(Attributs!$CN$2:$CN$18,Attributs!$DH$2:$DH$18)+SUMPRODUCT(Attributs!$CO$2:$CO$18,Attributs!$DI$2:$DI$18))/((SQRT(SUMSQ(Attributs!$CN$2:$CN$18)+SUMSQ(Attributs!$CO$2:$CO$18)))*(SQRT(SUMSQ(Attributs!$DH$2:$DH$18)+SUMSQ(Attributs!$DI$2:$DI$18)))),0)</f>
        <v/>
      </c>
      <c r="BF47" s="2">
        <f>IFERROR((SUMPRODUCT(Attributs!$CN$2:$CN$18,Attributs!$DJ$2:$DJ$18)+SUMPRODUCT(Attributs!$CO$2:$CO$18,Attributs!$DK$2:$DK$18))/((SQRT(SUMSQ(Attributs!$CN$2:$CN$18)+SUMSQ(Attributs!$CO$2:$CO$18)))*(SQRT(SUMSQ(Attributs!$DJ$2:$DJ$18)+SUMSQ(Attributs!$DK$2:$DK$18)))),0)</f>
        <v/>
      </c>
      <c r="BG47" s="2">
        <f>IFERROR((SUMPRODUCT(Attributs!$CN$2:$CN$18,Attributs!$DL$2:$DL$18)+SUMPRODUCT(Attributs!$CO$2:$CO$18,Attributs!$DM$2:$DM$18))/((SQRT(SUMSQ(Attributs!$CN$2:$CN$18)+SUMSQ(Attributs!$CO$2:$CO$18)))*(SQRT(SUMSQ(Attributs!$DL$2:$DL$18)+SUMSQ(Attributs!$DM$2:$DM$18)))),0)</f>
        <v/>
      </c>
      <c r="BH47" s="2">
        <f>IFERROR((SUMPRODUCT(Attributs!$CN$2:$CN$18,Attributs!$DN$2:$DN$18)+SUMPRODUCT(Attributs!$CO$2:$CO$18,Attributs!$DO$2:$DO$18))/((SQRT(SUMSQ(Attributs!$CN$2:$CN$18)+SUMSQ(Attributs!$CO$2:$CO$18)))*(SQRT(SUMSQ(Attributs!$DN$2:$DN$18)+SUMSQ(Attributs!$DO$2:$DO$18)))),0)</f>
        <v/>
      </c>
      <c r="BI47" s="2">
        <f>IFERROR((SUMPRODUCT(Attributs!$CN$2:$CN$18,Attributs!$DP$2:$DP$18)+SUMPRODUCT(Attributs!$CO$2:$CO$18,Attributs!$DQ$2:$DQ$18))/((SQRT(SUMSQ(Attributs!$CN$2:$CN$18)+SUMSQ(Attributs!$CO$2:$CO$18)))*(SQRT(SUMSQ(Attributs!$DP$2:$DP$18)+SUMSQ(Attributs!$DQ$2:$DQ$18)))),0)</f>
        <v/>
      </c>
      <c r="BJ47" s="2">
        <f>IFERROR((SUMPRODUCT(Attributs!$CN$2:$CN$18,Attributs!$DR$2:$DR$18)+SUMPRODUCT(Attributs!$CO$2:$CO$18,Attributs!$DS$2:$DS$18))/((SQRT(SUMSQ(Attributs!$CN$2:$CN$18)+SUMSQ(Attributs!$CO$2:$CO$18)))*(SQRT(SUMSQ(Attributs!$DR$2:$DR$18)+SUMSQ(Attributs!$DS$2:$DS$18)))),0)</f>
        <v/>
      </c>
      <c r="BK47" s="2">
        <f>IFERROR((SUMPRODUCT(Attributs!$CN$2:$CN$18,Attributs!$DT$2:$DT$18)+SUMPRODUCT(Attributs!$CO$2:$CO$18,Attributs!$DU$2:$DU$18))/((SQRT(SUMSQ(Attributs!$CN$2:$CN$18)+SUMSQ(Attributs!$CO$2:$CO$18)))*(SQRT(SUMSQ(Attributs!$DT$2:$DT$18)+SUMSQ(Attributs!$DU$2:$DU$18)))),0)</f>
        <v/>
      </c>
      <c r="BL47" s="2">
        <f>IFERROR((SUMPRODUCT(Attributs!$CN$2:$CN$18,Attributs!$DV$2:$DV$18)+SUMPRODUCT(Attributs!$CO$2:$CO$18,Attributs!$DW$2:$DW$18))/((SQRT(SUMSQ(Attributs!$CN$2:$CN$18)+SUMSQ(Attributs!$CO$2:$CO$18)))*(SQRT(SUMSQ(Attributs!$DV$2:$DV$18)+SUMSQ(Attributs!$DW$2:$DW$18)))),0)</f>
        <v/>
      </c>
    </row>
    <row r="48">
      <c r="A48" s="3" t="inlineStr">
        <is>
          <t>SE_neo4j.Posts.id</t>
        </is>
      </c>
      <c r="B48" s="2">
        <f>IFERROR((SUMPRODUCT(Attributs!$CP$2:$CP$18,Attributs!$B$2:$B$18)+SUMPRODUCT(Attributs!$CQ$2:$CQ$18,Attributs!$C$2:$C$18))/((SQRT(SUMSQ(Attributs!$CP$2:$CP$18)+SUMSQ(Attributs!$CQ$2:$CQ$18)))*(SQRT(SUMSQ(Attributs!$B$2:$B$18)+SUMSQ(Attributs!$C$2:$C$18)))),0)</f>
        <v/>
      </c>
      <c r="C48" s="2">
        <f>IFERROR((SUMPRODUCT(Attributs!$CP$2:$CP$18,Attributs!$D$2:$D$18)+SUMPRODUCT(Attributs!$CQ$2:$CQ$18,Attributs!$E$2:$E$18))/((SQRT(SUMSQ(Attributs!$CP$2:$CP$18)+SUMSQ(Attributs!$CQ$2:$CQ$18)))*(SQRT(SUMSQ(Attributs!$D$2:$D$18)+SUMSQ(Attributs!$E$2:$E$18)))),0)</f>
        <v/>
      </c>
      <c r="D48" s="2">
        <f>IFERROR((SUMPRODUCT(Attributs!$CP$2:$CP$18,Attributs!$F$2:$F$18)+SUMPRODUCT(Attributs!$CQ$2:$CQ$18,Attributs!$G$2:$G$18))/((SQRT(SUMSQ(Attributs!$CP$2:$CP$18)+SUMSQ(Attributs!$CQ$2:$CQ$18)))*(SQRT(SUMSQ(Attributs!$F$2:$F$18)+SUMSQ(Attributs!$G$2:$G$18)))),0)</f>
        <v/>
      </c>
      <c r="E48" s="2">
        <f>IFERROR((SUMPRODUCT(Attributs!$CP$2:$CP$18,Attributs!$H$2:$H$18)+SUMPRODUCT(Attributs!$CQ$2:$CQ$18,Attributs!$I$2:$I$18))/((SQRT(SUMSQ(Attributs!$CP$2:$CP$18)+SUMSQ(Attributs!$CQ$2:$CQ$18)))*(SQRT(SUMSQ(Attributs!$H$2:$H$18)+SUMSQ(Attributs!$I$2:$I$18)))),0)</f>
        <v/>
      </c>
      <c r="F48" s="2">
        <f>IFERROR((SUMPRODUCT(Attributs!$CP$2:$CP$18,Attributs!$J$2:$J$18)+SUMPRODUCT(Attributs!$CQ$2:$CQ$18,Attributs!$K$2:$K$18))/((SQRT(SUMSQ(Attributs!$CP$2:$CP$18)+SUMSQ(Attributs!$CQ$2:$CQ$18)))*(SQRT(SUMSQ(Attributs!$J$2:$J$18)+SUMSQ(Attributs!$K$2:$K$18)))),0)</f>
        <v/>
      </c>
      <c r="G48" s="2">
        <f>IFERROR((SUMPRODUCT(Attributs!$CP$2:$CP$18,Attributs!$L$2:$L$18)+SUMPRODUCT(Attributs!$CQ$2:$CQ$18,Attributs!$M$2:$M$18))/((SQRT(SUMSQ(Attributs!$CP$2:$CP$18)+SUMSQ(Attributs!$CQ$2:$CQ$18)))*(SQRT(SUMSQ(Attributs!$L$2:$L$18)+SUMSQ(Attributs!$M$2:$M$18)))),0)</f>
        <v/>
      </c>
      <c r="H48" s="2">
        <f>IFERROR((SUMPRODUCT(Attributs!$CP$2:$CP$18,Attributs!$N$2:$N$18)+SUMPRODUCT(Attributs!$CQ$2:$CQ$18,Attributs!$O$2:$O$18))/((SQRT(SUMSQ(Attributs!$CP$2:$CP$18)+SUMSQ(Attributs!$CQ$2:$CQ$18)))*(SQRT(SUMSQ(Attributs!$N$2:$N$18)+SUMSQ(Attributs!$O$2:$O$18)))),0)</f>
        <v/>
      </c>
      <c r="I48" s="2">
        <f>IFERROR((SUMPRODUCT(Attributs!$CP$2:$CP$18,Attributs!$P$2:$P$18)+SUMPRODUCT(Attributs!$CQ$2:$CQ$18,Attributs!$Q$2:$Q$18))/((SQRT(SUMSQ(Attributs!$CP$2:$CP$18)+SUMSQ(Attributs!$CQ$2:$CQ$18)))*(SQRT(SUMSQ(Attributs!$P$2:$P$18)+SUMSQ(Attributs!$Q$2:$Q$18)))),0)</f>
        <v/>
      </c>
      <c r="J48" s="2">
        <f>IFERROR((SUMPRODUCT(Attributs!$CP$2:$CP$18,Attributs!$R$2:$R$18)+SUMPRODUCT(Attributs!$CQ$2:$CQ$18,Attributs!$S$2:$S$18))/((SQRT(SUMSQ(Attributs!$CP$2:$CP$18)+SUMSQ(Attributs!$CQ$2:$CQ$18)))*(SQRT(SUMSQ(Attributs!$R$2:$R$18)+SUMSQ(Attributs!$S$2:$S$18)))),0)</f>
        <v/>
      </c>
      <c r="K48" s="2">
        <f>IFERROR((SUMPRODUCT(Attributs!$CP$2:$CP$18,Attributs!$T$2:$T$18)+SUMPRODUCT(Attributs!$CQ$2:$CQ$18,Attributs!$U$2:$U$18))/((SQRT(SUMSQ(Attributs!$CP$2:$CP$18)+SUMSQ(Attributs!$CQ$2:$CQ$18)))*(SQRT(SUMSQ(Attributs!$T$2:$T$18)+SUMSQ(Attributs!$U$2:$U$18)))),0)</f>
        <v/>
      </c>
      <c r="L48" s="2">
        <f>IFERROR((SUMPRODUCT(Attributs!$CP$2:$CP$18,Attributs!$V$2:$V$18)+SUMPRODUCT(Attributs!$CQ$2:$CQ$18,Attributs!$W$2:$W$18))/((SQRT(SUMSQ(Attributs!$CP$2:$CP$18)+SUMSQ(Attributs!$CQ$2:$CQ$18)))*(SQRT(SUMSQ(Attributs!$V$2:$V$18)+SUMSQ(Attributs!$W$2:$W$18)))),0)</f>
        <v/>
      </c>
      <c r="M48" s="2">
        <f>IFERROR((SUMPRODUCT(Attributs!$CP$2:$CP$18,Attributs!$X$2:$X$18)+SUMPRODUCT(Attributs!$CQ$2:$CQ$18,Attributs!$Y$2:$Y$18))/((SQRT(SUMSQ(Attributs!$CP$2:$CP$18)+SUMSQ(Attributs!$CQ$2:$CQ$18)))*(SQRT(SUMSQ(Attributs!$X$2:$X$18)+SUMSQ(Attributs!$Y$2:$Y$18)))),0)</f>
        <v/>
      </c>
      <c r="N48" s="2">
        <f>IFERROR((SUMPRODUCT(Attributs!$CP$2:$CP$18,Attributs!$Z$2:$Z$18)+SUMPRODUCT(Attributs!$CQ$2:$CQ$18,Attributs!$AA$2:$AA$18))/((SQRT(SUMSQ(Attributs!$CP$2:$CP$18)+SUMSQ(Attributs!$CQ$2:$CQ$18)))*(SQRT(SUMSQ(Attributs!$Z$2:$Z$18)+SUMSQ(Attributs!$AA$2:$AA$18)))),0)</f>
        <v/>
      </c>
      <c r="O48" s="2">
        <f>IFERROR((SUMPRODUCT(Attributs!$CP$2:$CP$18,Attributs!$AB$2:$AB$18)+SUMPRODUCT(Attributs!$CQ$2:$CQ$18,Attributs!$AC$2:$AC$18))/((SQRT(SUMSQ(Attributs!$CP$2:$CP$18)+SUMSQ(Attributs!$CQ$2:$CQ$18)))*(SQRT(SUMSQ(Attributs!$AB$2:$AB$18)+SUMSQ(Attributs!$AC$2:$AC$18)))),0)</f>
        <v/>
      </c>
      <c r="P48" s="2">
        <f>IFERROR((SUMPRODUCT(Attributs!$CP$2:$CP$18,Attributs!$AD$2:$AD$18)+SUMPRODUCT(Attributs!$CQ$2:$CQ$18,Attributs!$AE$2:$AE$18))/((SQRT(SUMSQ(Attributs!$CP$2:$CP$18)+SUMSQ(Attributs!$CQ$2:$CQ$18)))*(SQRT(SUMSQ(Attributs!$AD$2:$AD$18)+SUMSQ(Attributs!$AE$2:$AE$18)))),0)</f>
        <v/>
      </c>
      <c r="Q48" s="2">
        <f>IFERROR((SUMPRODUCT(Attributs!$CP$2:$CP$18,Attributs!$AF$2:$AF$18)+SUMPRODUCT(Attributs!$CQ$2:$CQ$18,Attributs!$AG$2:$AG$18))/((SQRT(SUMSQ(Attributs!$CP$2:$CP$18)+SUMSQ(Attributs!$CQ$2:$CQ$18)))*(SQRT(SUMSQ(Attributs!$AF$2:$AF$18)+SUMSQ(Attributs!$AG$2:$AG$18)))),0)</f>
        <v/>
      </c>
      <c r="R48" s="2">
        <f>IFERROR((SUMPRODUCT(Attributs!$CP$2:$CP$18,Attributs!$AH$2:$AH$18)+SUMPRODUCT(Attributs!$CQ$2:$CQ$18,Attributs!$AI$2:$AI$18))/((SQRT(SUMSQ(Attributs!$CP$2:$CP$18)+SUMSQ(Attributs!$CQ$2:$CQ$18)))*(SQRT(SUMSQ(Attributs!$AH$2:$AH$18)+SUMSQ(Attributs!$AI$2:$AI$18)))),0)</f>
        <v/>
      </c>
      <c r="S48" s="2">
        <f>IFERROR((SUMPRODUCT(Attributs!$CP$2:$CP$18,Attributs!$AJ$2:$AJ$18)+SUMPRODUCT(Attributs!$CQ$2:$CQ$18,Attributs!$AK$2:$AK$18))/((SQRT(SUMSQ(Attributs!$CP$2:$CP$18)+SUMSQ(Attributs!$CQ$2:$CQ$18)))*(SQRT(SUMSQ(Attributs!$AJ$2:$AJ$18)+SUMSQ(Attributs!$AK$2:$AK$18)))),0)</f>
        <v/>
      </c>
      <c r="T48" s="2">
        <f>IFERROR((SUMPRODUCT(Attributs!$CP$2:$CP$18,Attributs!$AL$2:$AL$18)+SUMPRODUCT(Attributs!$CQ$2:$CQ$18,Attributs!$AM$2:$AM$18))/((SQRT(SUMSQ(Attributs!$CP$2:$CP$18)+SUMSQ(Attributs!$CQ$2:$CQ$18)))*(SQRT(SUMSQ(Attributs!$AL$2:$AL$18)+SUMSQ(Attributs!$AM$2:$AM$18)))),0)</f>
        <v/>
      </c>
      <c r="U48" s="2">
        <f>IFERROR((SUMPRODUCT(Attributs!$CP$2:$CP$18,Attributs!$AN$2:$AN$18)+SUMPRODUCT(Attributs!$CQ$2:$CQ$18,Attributs!$AO$2:$AO$18))/((SQRT(SUMSQ(Attributs!$CP$2:$CP$18)+SUMSQ(Attributs!$CQ$2:$CQ$18)))*(SQRT(SUMSQ(Attributs!$AN$2:$AN$18)+SUMSQ(Attributs!$AO$2:$AO$18)))),0)</f>
        <v/>
      </c>
      <c r="V48" s="2">
        <f>IFERROR((SUMPRODUCT(Attributs!$CP$2:$CP$18,Attributs!$AP$2:$AP$18)+SUMPRODUCT(Attributs!$CQ$2:$CQ$18,Attributs!$AQ$2:$AQ$18))/((SQRT(SUMSQ(Attributs!$CP$2:$CP$18)+SUMSQ(Attributs!$CQ$2:$CQ$18)))*(SQRT(SUMSQ(Attributs!$AP$2:$AP$18)+SUMSQ(Attributs!$AQ$2:$AQ$18)))),0)</f>
        <v/>
      </c>
      <c r="W48" s="2">
        <f>IFERROR((SUMPRODUCT(Attributs!$CP$2:$CP$18,Attributs!$AR$2:$AR$18)+SUMPRODUCT(Attributs!$CQ$2:$CQ$18,Attributs!$AS$2:$AS$18))/((SQRT(SUMSQ(Attributs!$CP$2:$CP$18)+SUMSQ(Attributs!$CQ$2:$CQ$18)))*(SQRT(SUMSQ(Attributs!$AR$2:$AR$18)+SUMSQ(Attributs!$AS$2:$AS$18)))),0)</f>
        <v/>
      </c>
      <c r="X48" s="2">
        <f>IFERROR((SUMPRODUCT(Attributs!$CP$2:$CP$18,Attributs!$AT$2:$AT$18)+SUMPRODUCT(Attributs!$CQ$2:$CQ$18,Attributs!$AU$2:$AU$18))/((SQRT(SUMSQ(Attributs!$CP$2:$CP$18)+SUMSQ(Attributs!$CQ$2:$CQ$18)))*(SQRT(SUMSQ(Attributs!$AT$2:$AT$18)+SUMSQ(Attributs!$AU$2:$AU$18)))),0)</f>
        <v/>
      </c>
      <c r="Y48" s="2">
        <f>IFERROR((SUMPRODUCT(Attributs!$CP$2:$CP$18,Attributs!$AV$2:$AV$18)+SUMPRODUCT(Attributs!$CQ$2:$CQ$18,Attributs!$AW$2:$AW$18))/((SQRT(SUMSQ(Attributs!$CP$2:$CP$18)+SUMSQ(Attributs!$CQ$2:$CQ$18)))*(SQRT(SUMSQ(Attributs!$AV$2:$AV$18)+SUMSQ(Attributs!$AW$2:$AW$18)))),0)</f>
        <v/>
      </c>
      <c r="Z48" s="2">
        <f>IFERROR((SUMPRODUCT(Attributs!$CP$2:$CP$18,Attributs!$AX$2:$AX$18)+SUMPRODUCT(Attributs!$CQ$2:$CQ$18,Attributs!$AY$2:$AY$18))/((SQRT(SUMSQ(Attributs!$CP$2:$CP$18)+SUMSQ(Attributs!$CQ$2:$CQ$18)))*(SQRT(SUMSQ(Attributs!$AX$2:$AX$18)+SUMSQ(Attributs!$AY$2:$AY$18)))),0)</f>
        <v/>
      </c>
      <c r="AA48" s="2">
        <f>IFERROR((SUMPRODUCT(Attributs!$CP$2:$CP$18,Attributs!$AZ$2:$AZ$18)+SUMPRODUCT(Attributs!$CQ$2:$CQ$18,Attributs!$BA$2:$BA$18))/((SQRT(SUMSQ(Attributs!$CP$2:$CP$18)+SUMSQ(Attributs!$CQ$2:$CQ$18)))*(SQRT(SUMSQ(Attributs!$AZ$2:$AZ$18)+SUMSQ(Attributs!$BA$2:$BA$18)))),0)</f>
        <v/>
      </c>
      <c r="AB48" s="2">
        <f>IFERROR((SUMPRODUCT(Attributs!$CP$2:$CP$18,Attributs!$BB$2:$BB$18)+SUMPRODUCT(Attributs!$CQ$2:$CQ$18,Attributs!$BC$2:$BC$18))/((SQRT(SUMSQ(Attributs!$CP$2:$CP$18)+SUMSQ(Attributs!$CQ$2:$CQ$18)))*(SQRT(SUMSQ(Attributs!$BB$2:$BB$18)+SUMSQ(Attributs!$BC$2:$BC$18)))),0)</f>
        <v/>
      </c>
      <c r="AC48" s="2">
        <f>IFERROR((SUMPRODUCT(Attributs!$CP$2:$CP$18,Attributs!$BD$2:$BD$18)+SUMPRODUCT(Attributs!$CQ$2:$CQ$18,Attributs!$BE$2:$BE$18))/((SQRT(SUMSQ(Attributs!$CP$2:$CP$18)+SUMSQ(Attributs!$CQ$2:$CQ$18)))*(SQRT(SUMSQ(Attributs!$BD$2:$BD$18)+SUMSQ(Attributs!$BE$2:$BE$18)))),0)</f>
        <v/>
      </c>
      <c r="AD48" s="2">
        <f>IFERROR((SUMPRODUCT(Attributs!$CP$2:$CP$18,Attributs!$BF$2:$BF$18)+SUMPRODUCT(Attributs!$CQ$2:$CQ$18,Attributs!$BG$2:$BG$18))/((SQRT(SUMSQ(Attributs!$CP$2:$CP$18)+SUMSQ(Attributs!$CQ$2:$CQ$18)))*(SQRT(SUMSQ(Attributs!$BF$2:$BF$18)+SUMSQ(Attributs!$BG$2:$BG$18)))),0)</f>
        <v/>
      </c>
      <c r="AE48" s="2">
        <f>IFERROR((SUMPRODUCT(Attributs!$CP$2:$CP$18,Attributs!$BH$2:$BH$18)+SUMPRODUCT(Attributs!$CQ$2:$CQ$18,Attributs!$BI$2:$BI$18))/((SQRT(SUMSQ(Attributs!$CP$2:$CP$18)+SUMSQ(Attributs!$CQ$2:$CQ$18)))*(SQRT(SUMSQ(Attributs!$BH$2:$BH$18)+SUMSQ(Attributs!$BI$2:$BI$18)))),0)</f>
        <v/>
      </c>
      <c r="AF48" s="2">
        <f>IFERROR((SUMPRODUCT(Attributs!$CP$2:$CP$18,Attributs!$BJ$2:$BJ$18)+SUMPRODUCT(Attributs!$CQ$2:$CQ$18,Attributs!$BK$2:$BK$18))/((SQRT(SUMSQ(Attributs!$CP$2:$CP$18)+SUMSQ(Attributs!$CQ$2:$CQ$18)))*(SQRT(SUMSQ(Attributs!$BJ$2:$BJ$18)+SUMSQ(Attributs!$BK$2:$BK$18)))),0)</f>
        <v/>
      </c>
      <c r="AG48" s="2">
        <f>IFERROR((SUMPRODUCT(Attributs!$CP$2:$CP$18,Attributs!$BL$2:$BL$18)+SUMPRODUCT(Attributs!$CQ$2:$CQ$18,Attributs!$BM$2:$BM$18))/((SQRT(SUMSQ(Attributs!$CP$2:$CP$18)+SUMSQ(Attributs!$CQ$2:$CQ$18)))*(SQRT(SUMSQ(Attributs!$BL$2:$BL$18)+SUMSQ(Attributs!$BM$2:$BM$18)))),0)</f>
        <v/>
      </c>
      <c r="AH48" s="2">
        <f>IFERROR((SUMPRODUCT(Attributs!$CP$2:$CP$18,Attributs!$BN$2:$BN$18)+SUMPRODUCT(Attributs!$CQ$2:$CQ$18,Attributs!$BO$2:$BO$18))/((SQRT(SUMSQ(Attributs!$CP$2:$CP$18)+SUMSQ(Attributs!$CQ$2:$CQ$18)))*(SQRT(SUMSQ(Attributs!$BN$2:$BN$18)+SUMSQ(Attributs!$BO$2:$BO$18)))),0)</f>
        <v/>
      </c>
      <c r="AI48" s="2">
        <f>IFERROR((SUMPRODUCT(Attributs!$CP$2:$CP$18,Attributs!$BP$2:$BP$18)+SUMPRODUCT(Attributs!$CQ$2:$CQ$18,Attributs!$BQ$2:$BQ$18))/((SQRT(SUMSQ(Attributs!$CP$2:$CP$18)+SUMSQ(Attributs!$CQ$2:$CQ$18)))*(SQRT(SUMSQ(Attributs!$BP$2:$BP$18)+SUMSQ(Attributs!$BQ$2:$BQ$18)))),0)</f>
        <v/>
      </c>
      <c r="AJ48" s="2">
        <f>IFERROR((SUMPRODUCT(Attributs!$CP$2:$CP$18,Attributs!$BR$2:$BR$18)+SUMPRODUCT(Attributs!$CQ$2:$CQ$18,Attributs!$BS$2:$BS$18))/((SQRT(SUMSQ(Attributs!$CP$2:$CP$18)+SUMSQ(Attributs!$CQ$2:$CQ$18)))*(SQRT(SUMSQ(Attributs!$BR$2:$BR$18)+SUMSQ(Attributs!$BS$2:$BS$18)))),0)</f>
        <v/>
      </c>
      <c r="AK48" s="2">
        <f>IFERROR((SUMPRODUCT(Attributs!$CP$2:$CP$18,Attributs!$BT$2:$BT$18)+SUMPRODUCT(Attributs!$CQ$2:$CQ$18,Attributs!$BU$2:$BU$18))/((SQRT(SUMSQ(Attributs!$CP$2:$CP$18)+SUMSQ(Attributs!$CQ$2:$CQ$18)))*(SQRT(SUMSQ(Attributs!$BT$2:$BT$18)+SUMSQ(Attributs!$BU$2:$BU$18)))),0)</f>
        <v/>
      </c>
      <c r="AL48" s="2">
        <f>IFERROR((SUMPRODUCT(Attributs!$CP$2:$CP$18,Attributs!$BV$2:$BV$18)+SUMPRODUCT(Attributs!$CQ$2:$CQ$18,Attributs!$BW$2:$BW$18))/((SQRT(SUMSQ(Attributs!$CP$2:$CP$18)+SUMSQ(Attributs!$CQ$2:$CQ$18)))*(SQRT(SUMSQ(Attributs!$BV$2:$BV$18)+SUMSQ(Attributs!$BW$2:$BW$18)))),0)</f>
        <v/>
      </c>
      <c r="AM48" s="2">
        <f>IFERROR((SUMPRODUCT(Attributs!$CP$2:$CP$18,Attributs!$BX$2:$BX$18)+SUMPRODUCT(Attributs!$CQ$2:$CQ$18,Attributs!$BY$2:$BY$18))/((SQRT(SUMSQ(Attributs!$CP$2:$CP$18)+SUMSQ(Attributs!$CQ$2:$CQ$18)))*(SQRT(SUMSQ(Attributs!$BX$2:$BX$18)+SUMSQ(Attributs!$BY$2:$BY$18)))),0)</f>
        <v/>
      </c>
      <c r="AN48" s="2">
        <f>IFERROR((SUMPRODUCT(Attributs!$CP$2:$CP$18,Attributs!$BZ$2:$BZ$18)+SUMPRODUCT(Attributs!$CQ$2:$CQ$18,Attributs!$CA$2:$CA$18))/((SQRT(SUMSQ(Attributs!$CP$2:$CP$18)+SUMSQ(Attributs!$CQ$2:$CQ$18)))*(SQRT(SUMSQ(Attributs!$BZ$2:$BZ$18)+SUMSQ(Attributs!$CA$2:$CA$18)))),0)</f>
        <v/>
      </c>
      <c r="AO48" s="2">
        <f>IFERROR((SUMPRODUCT(Attributs!$CP$2:$CP$18,Attributs!$CB$2:$CB$18)+SUMPRODUCT(Attributs!$CQ$2:$CQ$18,Attributs!$CC$2:$CC$18))/((SQRT(SUMSQ(Attributs!$CP$2:$CP$18)+SUMSQ(Attributs!$CQ$2:$CQ$18)))*(SQRT(SUMSQ(Attributs!$CB$2:$CB$18)+SUMSQ(Attributs!$CC$2:$CC$18)))),0)</f>
        <v/>
      </c>
      <c r="AP48" s="2">
        <f>IFERROR((SUMPRODUCT(Attributs!$CP$2:$CP$18,Attributs!$CD$2:$CD$18)+SUMPRODUCT(Attributs!$CQ$2:$CQ$18,Attributs!$CE$2:$CE$18))/((SQRT(SUMSQ(Attributs!$CP$2:$CP$18)+SUMSQ(Attributs!$CQ$2:$CQ$18)))*(SQRT(SUMSQ(Attributs!$CD$2:$CD$18)+SUMSQ(Attributs!$CE$2:$CE$18)))),0)</f>
        <v/>
      </c>
      <c r="AQ48" s="2">
        <f>IFERROR((SUMPRODUCT(Attributs!$CP$2:$CP$18,Attributs!$CF$2:$CF$18)+SUMPRODUCT(Attributs!$CQ$2:$CQ$18,Attributs!$CG$2:$CG$18))/((SQRT(SUMSQ(Attributs!$CP$2:$CP$18)+SUMSQ(Attributs!$CQ$2:$CQ$18)))*(SQRT(SUMSQ(Attributs!$CF$2:$CF$18)+SUMSQ(Attributs!$CG$2:$CG$18)))),0)</f>
        <v/>
      </c>
      <c r="AR48" s="2">
        <f>IFERROR((SUMPRODUCT(Attributs!$CP$2:$CP$18,Attributs!$CH$2:$CH$18)+SUMPRODUCT(Attributs!$CQ$2:$CQ$18,Attributs!$CI$2:$CI$18))/((SQRT(SUMSQ(Attributs!$CP$2:$CP$18)+SUMSQ(Attributs!$CQ$2:$CQ$18)))*(SQRT(SUMSQ(Attributs!$CH$2:$CH$18)+SUMSQ(Attributs!$CI$2:$CI$18)))),0)</f>
        <v/>
      </c>
      <c r="AS48" s="2">
        <f>IFERROR((SUMPRODUCT(Attributs!$CP$2:$CP$18,Attributs!$CJ$2:$CJ$18)+SUMPRODUCT(Attributs!$CQ$2:$CQ$18,Attributs!$CK$2:$CK$18))/((SQRT(SUMSQ(Attributs!$CP$2:$CP$18)+SUMSQ(Attributs!$CQ$2:$CQ$18)))*(SQRT(SUMSQ(Attributs!$CJ$2:$CJ$18)+SUMSQ(Attributs!$CK$2:$CK$18)))),0)</f>
        <v/>
      </c>
      <c r="AT48" s="2">
        <f>IFERROR((SUMPRODUCT(Attributs!$CP$2:$CP$18,Attributs!$CL$2:$CL$18)+SUMPRODUCT(Attributs!$CQ$2:$CQ$18,Attributs!$CM$2:$CM$18))/((SQRT(SUMSQ(Attributs!$CP$2:$CP$18)+SUMSQ(Attributs!$CQ$2:$CQ$18)))*(SQRT(SUMSQ(Attributs!$CL$2:$CL$18)+SUMSQ(Attributs!$CM$2:$CM$18)))),0)</f>
        <v/>
      </c>
      <c r="AU48" s="2">
        <f>IFERROR((SUMPRODUCT(Attributs!$CP$2:$CP$18,Attributs!$CN$2:$CN$18)+SUMPRODUCT(Attributs!$CQ$2:$CQ$18,Attributs!$CO$2:$CO$18))/((SQRT(SUMSQ(Attributs!$CP$2:$CP$18)+SUMSQ(Attributs!$CQ$2:$CQ$18)))*(SQRT(SUMSQ(Attributs!$CN$2:$CN$18)+SUMSQ(Attributs!$CO$2:$CO$18)))),0)</f>
        <v/>
      </c>
      <c r="AV48" s="2">
        <f>IFERROR((SUMPRODUCT(Attributs!$CP$2:$CP$18,Attributs!$CP$2:$CP$18)+SUMPRODUCT(Attributs!$CQ$2:$CQ$18,Attributs!$CQ$2:$CQ$18))/((SQRT(SUMSQ(Attributs!$CP$2:$CP$18)+SUMSQ(Attributs!$CQ$2:$CQ$18)))*(SQRT(SUMSQ(Attributs!$CP$2:$CP$18)+SUMSQ(Attributs!$CQ$2:$CQ$18)))),0)</f>
        <v/>
      </c>
      <c r="AW48" s="2">
        <f>IFERROR((SUMPRODUCT(Attributs!$CP$2:$CP$18,Attributs!$CR$2:$CR$18)+SUMPRODUCT(Attributs!$CQ$2:$CQ$18,Attributs!$CS$2:$CS$18))/((SQRT(SUMSQ(Attributs!$CP$2:$CP$18)+SUMSQ(Attributs!$CQ$2:$CQ$18)))*(SQRT(SUMSQ(Attributs!$CR$2:$CR$18)+SUMSQ(Attributs!$CS$2:$CS$18)))),0)</f>
        <v/>
      </c>
      <c r="AX48" s="2">
        <f>IFERROR((SUMPRODUCT(Attributs!$CP$2:$CP$18,Attributs!$CT$2:$CT$18)+SUMPRODUCT(Attributs!$CQ$2:$CQ$18,Attributs!$CU$2:$CU$18))/((SQRT(SUMSQ(Attributs!$CP$2:$CP$18)+SUMSQ(Attributs!$CQ$2:$CQ$18)))*(SQRT(SUMSQ(Attributs!$CT$2:$CT$18)+SUMSQ(Attributs!$CU$2:$CU$18)))),0)</f>
        <v/>
      </c>
      <c r="AY48" s="2">
        <f>IFERROR((SUMPRODUCT(Attributs!$CP$2:$CP$18,Attributs!$CV$2:$CV$18)+SUMPRODUCT(Attributs!$CQ$2:$CQ$18,Attributs!$CW$2:$CW$18))/((SQRT(SUMSQ(Attributs!$CP$2:$CP$18)+SUMSQ(Attributs!$CQ$2:$CQ$18)))*(SQRT(SUMSQ(Attributs!$CV$2:$CV$18)+SUMSQ(Attributs!$CW$2:$CW$18)))),0)</f>
        <v/>
      </c>
      <c r="AZ48" s="2">
        <f>IFERROR((SUMPRODUCT(Attributs!$CP$2:$CP$18,Attributs!$CX$2:$CX$18)+SUMPRODUCT(Attributs!$CQ$2:$CQ$18,Attributs!$CY$2:$CY$18))/((SQRT(SUMSQ(Attributs!$CP$2:$CP$18)+SUMSQ(Attributs!$CQ$2:$CQ$18)))*(SQRT(SUMSQ(Attributs!$CX$2:$CX$18)+SUMSQ(Attributs!$CY$2:$CY$18)))),0)</f>
        <v/>
      </c>
      <c r="BA48" s="2">
        <f>IFERROR((SUMPRODUCT(Attributs!$CP$2:$CP$18,Attributs!$CZ$2:$CZ$18)+SUMPRODUCT(Attributs!$CQ$2:$CQ$18,Attributs!$DA$2:$DA$18))/((SQRT(SUMSQ(Attributs!$CP$2:$CP$18)+SUMSQ(Attributs!$CQ$2:$CQ$18)))*(SQRT(SUMSQ(Attributs!$CZ$2:$CZ$18)+SUMSQ(Attributs!$DA$2:$DA$18)))),0)</f>
        <v/>
      </c>
      <c r="BB48" s="2">
        <f>IFERROR((SUMPRODUCT(Attributs!$CP$2:$CP$18,Attributs!$DB$2:$DB$18)+SUMPRODUCT(Attributs!$CQ$2:$CQ$18,Attributs!$DC$2:$DC$18))/((SQRT(SUMSQ(Attributs!$CP$2:$CP$18)+SUMSQ(Attributs!$CQ$2:$CQ$18)))*(SQRT(SUMSQ(Attributs!$DB$2:$DB$18)+SUMSQ(Attributs!$DC$2:$DC$18)))),0)</f>
        <v/>
      </c>
      <c r="BC48" s="2">
        <f>IFERROR((SUMPRODUCT(Attributs!$CP$2:$CP$18,Attributs!$DD$2:$DD$18)+SUMPRODUCT(Attributs!$CQ$2:$CQ$18,Attributs!$DE$2:$DE$18))/((SQRT(SUMSQ(Attributs!$CP$2:$CP$18)+SUMSQ(Attributs!$CQ$2:$CQ$18)))*(SQRT(SUMSQ(Attributs!$DD$2:$DD$18)+SUMSQ(Attributs!$DE$2:$DE$18)))),0)</f>
        <v/>
      </c>
      <c r="BD48" s="2">
        <f>IFERROR((SUMPRODUCT(Attributs!$CP$2:$CP$18,Attributs!$DF$2:$DF$18)+SUMPRODUCT(Attributs!$CQ$2:$CQ$18,Attributs!$DG$2:$DG$18))/((SQRT(SUMSQ(Attributs!$CP$2:$CP$18)+SUMSQ(Attributs!$CQ$2:$CQ$18)))*(SQRT(SUMSQ(Attributs!$DF$2:$DF$18)+SUMSQ(Attributs!$DG$2:$DG$18)))),0)</f>
        <v/>
      </c>
      <c r="BE48" s="2">
        <f>IFERROR((SUMPRODUCT(Attributs!$CP$2:$CP$18,Attributs!$DH$2:$DH$18)+SUMPRODUCT(Attributs!$CQ$2:$CQ$18,Attributs!$DI$2:$DI$18))/((SQRT(SUMSQ(Attributs!$CP$2:$CP$18)+SUMSQ(Attributs!$CQ$2:$CQ$18)))*(SQRT(SUMSQ(Attributs!$DH$2:$DH$18)+SUMSQ(Attributs!$DI$2:$DI$18)))),0)</f>
        <v/>
      </c>
      <c r="BF48" s="2">
        <f>IFERROR((SUMPRODUCT(Attributs!$CP$2:$CP$18,Attributs!$DJ$2:$DJ$18)+SUMPRODUCT(Attributs!$CQ$2:$CQ$18,Attributs!$DK$2:$DK$18))/((SQRT(SUMSQ(Attributs!$CP$2:$CP$18)+SUMSQ(Attributs!$CQ$2:$CQ$18)))*(SQRT(SUMSQ(Attributs!$DJ$2:$DJ$18)+SUMSQ(Attributs!$DK$2:$DK$18)))),0)</f>
        <v/>
      </c>
      <c r="BG48" s="2">
        <f>IFERROR((SUMPRODUCT(Attributs!$CP$2:$CP$18,Attributs!$DL$2:$DL$18)+SUMPRODUCT(Attributs!$CQ$2:$CQ$18,Attributs!$DM$2:$DM$18))/((SQRT(SUMSQ(Attributs!$CP$2:$CP$18)+SUMSQ(Attributs!$CQ$2:$CQ$18)))*(SQRT(SUMSQ(Attributs!$DL$2:$DL$18)+SUMSQ(Attributs!$DM$2:$DM$18)))),0)</f>
        <v/>
      </c>
      <c r="BH48" s="2">
        <f>IFERROR((SUMPRODUCT(Attributs!$CP$2:$CP$18,Attributs!$DN$2:$DN$18)+SUMPRODUCT(Attributs!$CQ$2:$CQ$18,Attributs!$DO$2:$DO$18))/((SQRT(SUMSQ(Attributs!$CP$2:$CP$18)+SUMSQ(Attributs!$CQ$2:$CQ$18)))*(SQRT(SUMSQ(Attributs!$DN$2:$DN$18)+SUMSQ(Attributs!$DO$2:$DO$18)))),0)</f>
        <v/>
      </c>
      <c r="BI48" s="2">
        <f>IFERROR((SUMPRODUCT(Attributs!$CP$2:$CP$18,Attributs!$DP$2:$DP$18)+SUMPRODUCT(Attributs!$CQ$2:$CQ$18,Attributs!$DQ$2:$DQ$18))/((SQRT(SUMSQ(Attributs!$CP$2:$CP$18)+SUMSQ(Attributs!$CQ$2:$CQ$18)))*(SQRT(SUMSQ(Attributs!$DP$2:$DP$18)+SUMSQ(Attributs!$DQ$2:$DQ$18)))),0)</f>
        <v/>
      </c>
      <c r="BJ48" s="2">
        <f>IFERROR((SUMPRODUCT(Attributs!$CP$2:$CP$18,Attributs!$DR$2:$DR$18)+SUMPRODUCT(Attributs!$CQ$2:$CQ$18,Attributs!$DS$2:$DS$18))/((SQRT(SUMSQ(Attributs!$CP$2:$CP$18)+SUMSQ(Attributs!$CQ$2:$CQ$18)))*(SQRT(SUMSQ(Attributs!$DR$2:$DR$18)+SUMSQ(Attributs!$DS$2:$DS$18)))),0)</f>
        <v/>
      </c>
      <c r="BK48" s="2">
        <f>IFERROR((SUMPRODUCT(Attributs!$CP$2:$CP$18,Attributs!$DT$2:$DT$18)+SUMPRODUCT(Attributs!$CQ$2:$CQ$18,Attributs!$DU$2:$DU$18))/((SQRT(SUMSQ(Attributs!$CP$2:$CP$18)+SUMSQ(Attributs!$CQ$2:$CQ$18)))*(SQRT(SUMSQ(Attributs!$DT$2:$DT$18)+SUMSQ(Attributs!$DU$2:$DU$18)))),0)</f>
        <v/>
      </c>
      <c r="BL48" s="2">
        <f>IFERROR((SUMPRODUCT(Attributs!$CP$2:$CP$18,Attributs!$DV$2:$DV$18)+SUMPRODUCT(Attributs!$CQ$2:$CQ$18,Attributs!$DW$2:$DW$18))/((SQRT(SUMSQ(Attributs!$CP$2:$CP$18)+SUMSQ(Attributs!$CQ$2:$CQ$18)))*(SQRT(SUMSQ(Attributs!$DV$2:$DV$18)+SUMSQ(Attributs!$DW$2:$DW$18)))),0)</f>
        <v/>
      </c>
    </row>
    <row r="49">
      <c r="A49" s="3" t="inlineStr">
        <is>
          <t>SE_neo4j.Posts.posttypeid</t>
        </is>
      </c>
      <c r="B49" s="2">
        <f>IFERROR((SUMPRODUCT(Attributs!$CR$2:$CR$18,Attributs!$B$2:$B$18)+SUMPRODUCT(Attributs!$CS$2:$CS$18,Attributs!$C$2:$C$18))/((SQRT(SUMSQ(Attributs!$CR$2:$CR$18)+SUMSQ(Attributs!$CS$2:$CS$18)))*(SQRT(SUMSQ(Attributs!$B$2:$B$18)+SUMSQ(Attributs!$C$2:$C$18)))),0)</f>
        <v/>
      </c>
      <c r="C49" s="2">
        <f>IFERROR((SUMPRODUCT(Attributs!$CR$2:$CR$18,Attributs!$D$2:$D$18)+SUMPRODUCT(Attributs!$CS$2:$CS$18,Attributs!$E$2:$E$18))/((SQRT(SUMSQ(Attributs!$CR$2:$CR$18)+SUMSQ(Attributs!$CS$2:$CS$18)))*(SQRT(SUMSQ(Attributs!$D$2:$D$18)+SUMSQ(Attributs!$E$2:$E$18)))),0)</f>
        <v/>
      </c>
      <c r="D49" s="2">
        <f>IFERROR((SUMPRODUCT(Attributs!$CR$2:$CR$18,Attributs!$F$2:$F$18)+SUMPRODUCT(Attributs!$CS$2:$CS$18,Attributs!$G$2:$G$18))/((SQRT(SUMSQ(Attributs!$CR$2:$CR$18)+SUMSQ(Attributs!$CS$2:$CS$18)))*(SQRT(SUMSQ(Attributs!$F$2:$F$18)+SUMSQ(Attributs!$G$2:$G$18)))),0)</f>
        <v/>
      </c>
      <c r="E49" s="2">
        <f>IFERROR((SUMPRODUCT(Attributs!$CR$2:$CR$18,Attributs!$H$2:$H$18)+SUMPRODUCT(Attributs!$CS$2:$CS$18,Attributs!$I$2:$I$18))/((SQRT(SUMSQ(Attributs!$CR$2:$CR$18)+SUMSQ(Attributs!$CS$2:$CS$18)))*(SQRT(SUMSQ(Attributs!$H$2:$H$18)+SUMSQ(Attributs!$I$2:$I$18)))),0)</f>
        <v/>
      </c>
      <c r="F49" s="2">
        <f>IFERROR((SUMPRODUCT(Attributs!$CR$2:$CR$18,Attributs!$J$2:$J$18)+SUMPRODUCT(Attributs!$CS$2:$CS$18,Attributs!$K$2:$K$18))/((SQRT(SUMSQ(Attributs!$CR$2:$CR$18)+SUMSQ(Attributs!$CS$2:$CS$18)))*(SQRT(SUMSQ(Attributs!$J$2:$J$18)+SUMSQ(Attributs!$K$2:$K$18)))),0)</f>
        <v/>
      </c>
      <c r="G49" s="2">
        <f>IFERROR((SUMPRODUCT(Attributs!$CR$2:$CR$18,Attributs!$L$2:$L$18)+SUMPRODUCT(Attributs!$CS$2:$CS$18,Attributs!$M$2:$M$18))/((SQRT(SUMSQ(Attributs!$CR$2:$CR$18)+SUMSQ(Attributs!$CS$2:$CS$18)))*(SQRT(SUMSQ(Attributs!$L$2:$L$18)+SUMSQ(Attributs!$M$2:$M$18)))),0)</f>
        <v/>
      </c>
      <c r="H49" s="2">
        <f>IFERROR((SUMPRODUCT(Attributs!$CR$2:$CR$18,Attributs!$N$2:$N$18)+SUMPRODUCT(Attributs!$CS$2:$CS$18,Attributs!$O$2:$O$18))/((SQRT(SUMSQ(Attributs!$CR$2:$CR$18)+SUMSQ(Attributs!$CS$2:$CS$18)))*(SQRT(SUMSQ(Attributs!$N$2:$N$18)+SUMSQ(Attributs!$O$2:$O$18)))),0)</f>
        <v/>
      </c>
      <c r="I49" s="2">
        <f>IFERROR((SUMPRODUCT(Attributs!$CR$2:$CR$18,Attributs!$P$2:$P$18)+SUMPRODUCT(Attributs!$CS$2:$CS$18,Attributs!$Q$2:$Q$18))/((SQRT(SUMSQ(Attributs!$CR$2:$CR$18)+SUMSQ(Attributs!$CS$2:$CS$18)))*(SQRT(SUMSQ(Attributs!$P$2:$P$18)+SUMSQ(Attributs!$Q$2:$Q$18)))),0)</f>
        <v/>
      </c>
      <c r="J49" s="2">
        <f>IFERROR((SUMPRODUCT(Attributs!$CR$2:$CR$18,Attributs!$R$2:$R$18)+SUMPRODUCT(Attributs!$CS$2:$CS$18,Attributs!$S$2:$S$18))/((SQRT(SUMSQ(Attributs!$CR$2:$CR$18)+SUMSQ(Attributs!$CS$2:$CS$18)))*(SQRT(SUMSQ(Attributs!$R$2:$R$18)+SUMSQ(Attributs!$S$2:$S$18)))),0)</f>
        <v/>
      </c>
      <c r="K49" s="2">
        <f>IFERROR((SUMPRODUCT(Attributs!$CR$2:$CR$18,Attributs!$T$2:$T$18)+SUMPRODUCT(Attributs!$CS$2:$CS$18,Attributs!$U$2:$U$18))/((SQRT(SUMSQ(Attributs!$CR$2:$CR$18)+SUMSQ(Attributs!$CS$2:$CS$18)))*(SQRT(SUMSQ(Attributs!$T$2:$T$18)+SUMSQ(Attributs!$U$2:$U$18)))),0)</f>
        <v/>
      </c>
      <c r="L49" s="2">
        <f>IFERROR((SUMPRODUCT(Attributs!$CR$2:$CR$18,Attributs!$V$2:$V$18)+SUMPRODUCT(Attributs!$CS$2:$CS$18,Attributs!$W$2:$W$18))/((SQRT(SUMSQ(Attributs!$CR$2:$CR$18)+SUMSQ(Attributs!$CS$2:$CS$18)))*(SQRT(SUMSQ(Attributs!$V$2:$V$18)+SUMSQ(Attributs!$W$2:$W$18)))),0)</f>
        <v/>
      </c>
      <c r="M49" s="2">
        <f>IFERROR((SUMPRODUCT(Attributs!$CR$2:$CR$18,Attributs!$X$2:$X$18)+SUMPRODUCT(Attributs!$CS$2:$CS$18,Attributs!$Y$2:$Y$18))/((SQRT(SUMSQ(Attributs!$CR$2:$CR$18)+SUMSQ(Attributs!$CS$2:$CS$18)))*(SQRT(SUMSQ(Attributs!$X$2:$X$18)+SUMSQ(Attributs!$Y$2:$Y$18)))),0)</f>
        <v/>
      </c>
      <c r="N49" s="2">
        <f>IFERROR((SUMPRODUCT(Attributs!$CR$2:$CR$18,Attributs!$Z$2:$Z$18)+SUMPRODUCT(Attributs!$CS$2:$CS$18,Attributs!$AA$2:$AA$18))/((SQRT(SUMSQ(Attributs!$CR$2:$CR$18)+SUMSQ(Attributs!$CS$2:$CS$18)))*(SQRT(SUMSQ(Attributs!$Z$2:$Z$18)+SUMSQ(Attributs!$AA$2:$AA$18)))),0)</f>
        <v/>
      </c>
      <c r="O49" s="2">
        <f>IFERROR((SUMPRODUCT(Attributs!$CR$2:$CR$18,Attributs!$AB$2:$AB$18)+SUMPRODUCT(Attributs!$CS$2:$CS$18,Attributs!$AC$2:$AC$18))/((SQRT(SUMSQ(Attributs!$CR$2:$CR$18)+SUMSQ(Attributs!$CS$2:$CS$18)))*(SQRT(SUMSQ(Attributs!$AB$2:$AB$18)+SUMSQ(Attributs!$AC$2:$AC$18)))),0)</f>
        <v/>
      </c>
      <c r="P49" s="2">
        <f>IFERROR((SUMPRODUCT(Attributs!$CR$2:$CR$18,Attributs!$AD$2:$AD$18)+SUMPRODUCT(Attributs!$CS$2:$CS$18,Attributs!$AE$2:$AE$18))/((SQRT(SUMSQ(Attributs!$CR$2:$CR$18)+SUMSQ(Attributs!$CS$2:$CS$18)))*(SQRT(SUMSQ(Attributs!$AD$2:$AD$18)+SUMSQ(Attributs!$AE$2:$AE$18)))),0)</f>
        <v/>
      </c>
      <c r="Q49" s="2">
        <f>IFERROR((SUMPRODUCT(Attributs!$CR$2:$CR$18,Attributs!$AF$2:$AF$18)+SUMPRODUCT(Attributs!$CS$2:$CS$18,Attributs!$AG$2:$AG$18))/((SQRT(SUMSQ(Attributs!$CR$2:$CR$18)+SUMSQ(Attributs!$CS$2:$CS$18)))*(SQRT(SUMSQ(Attributs!$AF$2:$AF$18)+SUMSQ(Attributs!$AG$2:$AG$18)))),0)</f>
        <v/>
      </c>
      <c r="R49" s="2">
        <f>IFERROR((SUMPRODUCT(Attributs!$CR$2:$CR$18,Attributs!$AH$2:$AH$18)+SUMPRODUCT(Attributs!$CS$2:$CS$18,Attributs!$AI$2:$AI$18))/((SQRT(SUMSQ(Attributs!$CR$2:$CR$18)+SUMSQ(Attributs!$CS$2:$CS$18)))*(SQRT(SUMSQ(Attributs!$AH$2:$AH$18)+SUMSQ(Attributs!$AI$2:$AI$18)))),0)</f>
        <v/>
      </c>
      <c r="S49" s="2">
        <f>IFERROR((SUMPRODUCT(Attributs!$CR$2:$CR$18,Attributs!$AJ$2:$AJ$18)+SUMPRODUCT(Attributs!$CS$2:$CS$18,Attributs!$AK$2:$AK$18))/((SQRT(SUMSQ(Attributs!$CR$2:$CR$18)+SUMSQ(Attributs!$CS$2:$CS$18)))*(SQRT(SUMSQ(Attributs!$AJ$2:$AJ$18)+SUMSQ(Attributs!$AK$2:$AK$18)))),0)</f>
        <v/>
      </c>
      <c r="T49" s="2">
        <f>IFERROR((SUMPRODUCT(Attributs!$CR$2:$CR$18,Attributs!$AL$2:$AL$18)+SUMPRODUCT(Attributs!$CS$2:$CS$18,Attributs!$AM$2:$AM$18))/((SQRT(SUMSQ(Attributs!$CR$2:$CR$18)+SUMSQ(Attributs!$CS$2:$CS$18)))*(SQRT(SUMSQ(Attributs!$AL$2:$AL$18)+SUMSQ(Attributs!$AM$2:$AM$18)))),0)</f>
        <v/>
      </c>
      <c r="U49" s="2">
        <f>IFERROR((SUMPRODUCT(Attributs!$CR$2:$CR$18,Attributs!$AN$2:$AN$18)+SUMPRODUCT(Attributs!$CS$2:$CS$18,Attributs!$AO$2:$AO$18))/((SQRT(SUMSQ(Attributs!$CR$2:$CR$18)+SUMSQ(Attributs!$CS$2:$CS$18)))*(SQRT(SUMSQ(Attributs!$AN$2:$AN$18)+SUMSQ(Attributs!$AO$2:$AO$18)))),0)</f>
        <v/>
      </c>
      <c r="V49" s="2">
        <f>IFERROR((SUMPRODUCT(Attributs!$CR$2:$CR$18,Attributs!$AP$2:$AP$18)+SUMPRODUCT(Attributs!$CS$2:$CS$18,Attributs!$AQ$2:$AQ$18))/((SQRT(SUMSQ(Attributs!$CR$2:$CR$18)+SUMSQ(Attributs!$CS$2:$CS$18)))*(SQRT(SUMSQ(Attributs!$AP$2:$AP$18)+SUMSQ(Attributs!$AQ$2:$AQ$18)))),0)</f>
        <v/>
      </c>
      <c r="W49" s="2">
        <f>IFERROR((SUMPRODUCT(Attributs!$CR$2:$CR$18,Attributs!$AR$2:$AR$18)+SUMPRODUCT(Attributs!$CS$2:$CS$18,Attributs!$AS$2:$AS$18))/((SQRT(SUMSQ(Attributs!$CR$2:$CR$18)+SUMSQ(Attributs!$CS$2:$CS$18)))*(SQRT(SUMSQ(Attributs!$AR$2:$AR$18)+SUMSQ(Attributs!$AS$2:$AS$18)))),0)</f>
        <v/>
      </c>
      <c r="X49" s="2">
        <f>IFERROR((SUMPRODUCT(Attributs!$CR$2:$CR$18,Attributs!$AT$2:$AT$18)+SUMPRODUCT(Attributs!$CS$2:$CS$18,Attributs!$AU$2:$AU$18))/((SQRT(SUMSQ(Attributs!$CR$2:$CR$18)+SUMSQ(Attributs!$CS$2:$CS$18)))*(SQRT(SUMSQ(Attributs!$AT$2:$AT$18)+SUMSQ(Attributs!$AU$2:$AU$18)))),0)</f>
        <v/>
      </c>
      <c r="Y49" s="2">
        <f>IFERROR((SUMPRODUCT(Attributs!$CR$2:$CR$18,Attributs!$AV$2:$AV$18)+SUMPRODUCT(Attributs!$CS$2:$CS$18,Attributs!$AW$2:$AW$18))/((SQRT(SUMSQ(Attributs!$CR$2:$CR$18)+SUMSQ(Attributs!$CS$2:$CS$18)))*(SQRT(SUMSQ(Attributs!$AV$2:$AV$18)+SUMSQ(Attributs!$AW$2:$AW$18)))),0)</f>
        <v/>
      </c>
      <c r="Z49" s="2">
        <f>IFERROR((SUMPRODUCT(Attributs!$CR$2:$CR$18,Attributs!$AX$2:$AX$18)+SUMPRODUCT(Attributs!$CS$2:$CS$18,Attributs!$AY$2:$AY$18))/((SQRT(SUMSQ(Attributs!$CR$2:$CR$18)+SUMSQ(Attributs!$CS$2:$CS$18)))*(SQRT(SUMSQ(Attributs!$AX$2:$AX$18)+SUMSQ(Attributs!$AY$2:$AY$18)))),0)</f>
        <v/>
      </c>
      <c r="AA49" s="2">
        <f>IFERROR((SUMPRODUCT(Attributs!$CR$2:$CR$18,Attributs!$AZ$2:$AZ$18)+SUMPRODUCT(Attributs!$CS$2:$CS$18,Attributs!$BA$2:$BA$18))/((SQRT(SUMSQ(Attributs!$CR$2:$CR$18)+SUMSQ(Attributs!$CS$2:$CS$18)))*(SQRT(SUMSQ(Attributs!$AZ$2:$AZ$18)+SUMSQ(Attributs!$BA$2:$BA$18)))),0)</f>
        <v/>
      </c>
      <c r="AB49" s="2">
        <f>IFERROR((SUMPRODUCT(Attributs!$CR$2:$CR$18,Attributs!$BB$2:$BB$18)+SUMPRODUCT(Attributs!$CS$2:$CS$18,Attributs!$BC$2:$BC$18))/((SQRT(SUMSQ(Attributs!$CR$2:$CR$18)+SUMSQ(Attributs!$CS$2:$CS$18)))*(SQRT(SUMSQ(Attributs!$BB$2:$BB$18)+SUMSQ(Attributs!$BC$2:$BC$18)))),0)</f>
        <v/>
      </c>
      <c r="AC49" s="2">
        <f>IFERROR((SUMPRODUCT(Attributs!$CR$2:$CR$18,Attributs!$BD$2:$BD$18)+SUMPRODUCT(Attributs!$CS$2:$CS$18,Attributs!$BE$2:$BE$18))/((SQRT(SUMSQ(Attributs!$CR$2:$CR$18)+SUMSQ(Attributs!$CS$2:$CS$18)))*(SQRT(SUMSQ(Attributs!$BD$2:$BD$18)+SUMSQ(Attributs!$BE$2:$BE$18)))),0)</f>
        <v/>
      </c>
      <c r="AD49" s="2">
        <f>IFERROR((SUMPRODUCT(Attributs!$CR$2:$CR$18,Attributs!$BF$2:$BF$18)+SUMPRODUCT(Attributs!$CS$2:$CS$18,Attributs!$BG$2:$BG$18))/((SQRT(SUMSQ(Attributs!$CR$2:$CR$18)+SUMSQ(Attributs!$CS$2:$CS$18)))*(SQRT(SUMSQ(Attributs!$BF$2:$BF$18)+SUMSQ(Attributs!$BG$2:$BG$18)))),0)</f>
        <v/>
      </c>
      <c r="AE49" s="2">
        <f>IFERROR((SUMPRODUCT(Attributs!$CR$2:$CR$18,Attributs!$BH$2:$BH$18)+SUMPRODUCT(Attributs!$CS$2:$CS$18,Attributs!$BI$2:$BI$18))/((SQRT(SUMSQ(Attributs!$CR$2:$CR$18)+SUMSQ(Attributs!$CS$2:$CS$18)))*(SQRT(SUMSQ(Attributs!$BH$2:$BH$18)+SUMSQ(Attributs!$BI$2:$BI$18)))),0)</f>
        <v/>
      </c>
      <c r="AF49" s="2">
        <f>IFERROR((SUMPRODUCT(Attributs!$CR$2:$CR$18,Attributs!$BJ$2:$BJ$18)+SUMPRODUCT(Attributs!$CS$2:$CS$18,Attributs!$BK$2:$BK$18))/((SQRT(SUMSQ(Attributs!$CR$2:$CR$18)+SUMSQ(Attributs!$CS$2:$CS$18)))*(SQRT(SUMSQ(Attributs!$BJ$2:$BJ$18)+SUMSQ(Attributs!$BK$2:$BK$18)))),0)</f>
        <v/>
      </c>
      <c r="AG49" s="2">
        <f>IFERROR((SUMPRODUCT(Attributs!$CR$2:$CR$18,Attributs!$BL$2:$BL$18)+SUMPRODUCT(Attributs!$CS$2:$CS$18,Attributs!$BM$2:$BM$18))/((SQRT(SUMSQ(Attributs!$CR$2:$CR$18)+SUMSQ(Attributs!$CS$2:$CS$18)))*(SQRT(SUMSQ(Attributs!$BL$2:$BL$18)+SUMSQ(Attributs!$BM$2:$BM$18)))),0)</f>
        <v/>
      </c>
      <c r="AH49" s="2">
        <f>IFERROR((SUMPRODUCT(Attributs!$CR$2:$CR$18,Attributs!$BN$2:$BN$18)+SUMPRODUCT(Attributs!$CS$2:$CS$18,Attributs!$BO$2:$BO$18))/((SQRT(SUMSQ(Attributs!$CR$2:$CR$18)+SUMSQ(Attributs!$CS$2:$CS$18)))*(SQRT(SUMSQ(Attributs!$BN$2:$BN$18)+SUMSQ(Attributs!$BO$2:$BO$18)))),0)</f>
        <v/>
      </c>
      <c r="AI49" s="2">
        <f>IFERROR((SUMPRODUCT(Attributs!$CR$2:$CR$18,Attributs!$BP$2:$BP$18)+SUMPRODUCT(Attributs!$CS$2:$CS$18,Attributs!$BQ$2:$BQ$18))/((SQRT(SUMSQ(Attributs!$CR$2:$CR$18)+SUMSQ(Attributs!$CS$2:$CS$18)))*(SQRT(SUMSQ(Attributs!$BP$2:$BP$18)+SUMSQ(Attributs!$BQ$2:$BQ$18)))),0)</f>
        <v/>
      </c>
      <c r="AJ49" s="2">
        <f>IFERROR((SUMPRODUCT(Attributs!$CR$2:$CR$18,Attributs!$BR$2:$BR$18)+SUMPRODUCT(Attributs!$CS$2:$CS$18,Attributs!$BS$2:$BS$18))/((SQRT(SUMSQ(Attributs!$CR$2:$CR$18)+SUMSQ(Attributs!$CS$2:$CS$18)))*(SQRT(SUMSQ(Attributs!$BR$2:$BR$18)+SUMSQ(Attributs!$BS$2:$BS$18)))),0)</f>
        <v/>
      </c>
      <c r="AK49" s="2">
        <f>IFERROR((SUMPRODUCT(Attributs!$CR$2:$CR$18,Attributs!$BT$2:$BT$18)+SUMPRODUCT(Attributs!$CS$2:$CS$18,Attributs!$BU$2:$BU$18))/((SQRT(SUMSQ(Attributs!$CR$2:$CR$18)+SUMSQ(Attributs!$CS$2:$CS$18)))*(SQRT(SUMSQ(Attributs!$BT$2:$BT$18)+SUMSQ(Attributs!$BU$2:$BU$18)))),0)</f>
        <v/>
      </c>
      <c r="AL49" s="2">
        <f>IFERROR((SUMPRODUCT(Attributs!$CR$2:$CR$18,Attributs!$BV$2:$BV$18)+SUMPRODUCT(Attributs!$CS$2:$CS$18,Attributs!$BW$2:$BW$18))/((SQRT(SUMSQ(Attributs!$CR$2:$CR$18)+SUMSQ(Attributs!$CS$2:$CS$18)))*(SQRT(SUMSQ(Attributs!$BV$2:$BV$18)+SUMSQ(Attributs!$BW$2:$BW$18)))),0)</f>
        <v/>
      </c>
      <c r="AM49" s="2">
        <f>IFERROR((SUMPRODUCT(Attributs!$CR$2:$CR$18,Attributs!$BX$2:$BX$18)+SUMPRODUCT(Attributs!$CS$2:$CS$18,Attributs!$BY$2:$BY$18))/((SQRT(SUMSQ(Attributs!$CR$2:$CR$18)+SUMSQ(Attributs!$CS$2:$CS$18)))*(SQRT(SUMSQ(Attributs!$BX$2:$BX$18)+SUMSQ(Attributs!$BY$2:$BY$18)))),0)</f>
        <v/>
      </c>
      <c r="AN49" s="2">
        <f>IFERROR((SUMPRODUCT(Attributs!$CR$2:$CR$18,Attributs!$BZ$2:$BZ$18)+SUMPRODUCT(Attributs!$CS$2:$CS$18,Attributs!$CA$2:$CA$18))/((SQRT(SUMSQ(Attributs!$CR$2:$CR$18)+SUMSQ(Attributs!$CS$2:$CS$18)))*(SQRT(SUMSQ(Attributs!$BZ$2:$BZ$18)+SUMSQ(Attributs!$CA$2:$CA$18)))),0)</f>
        <v/>
      </c>
      <c r="AO49" s="2">
        <f>IFERROR((SUMPRODUCT(Attributs!$CR$2:$CR$18,Attributs!$CB$2:$CB$18)+SUMPRODUCT(Attributs!$CS$2:$CS$18,Attributs!$CC$2:$CC$18))/((SQRT(SUMSQ(Attributs!$CR$2:$CR$18)+SUMSQ(Attributs!$CS$2:$CS$18)))*(SQRT(SUMSQ(Attributs!$CB$2:$CB$18)+SUMSQ(Attributs!$CC$2:$CC$18)))),0)</f>
        <v/>
      </c>
      <c r="AP49" s="2">
        <f>IFERROR((SUMPRODUCT(Attributs!$CR$2:$CR$18,Attributs!$CD$2:$CD$18)+SUMPRODUCT(Attributs!$CS$2:$CS$18,Attributs!$CE$2:$CE$18))/((SQRT(SUMSQ(Attributs!$CR$2:$CR$18)+SUMSQ(Attributs!$CS$2:$CS$18)))*(SQRT(SUMSQ(Attributs!$CD$2:$CD$18)+SUMSQ(Attributs!$CE$2:$CE$18)))),0)</f>
        <v/>
      </c>
      <c r="AQ49" s="2">
        <f>IFERROR((SUMPRODUCT(Attributs!$CR$2:$CR$18,Attributs!$CF$2:$CF$18)+SUMPRODUCT(Attributs!$CS$2:$CS$18,Attributs!$CG$2:$CG$18))/((SQRT(SUMSQ(Attributs!$CR$2:$CR$18)+SUMSQ(Attributs!$CS$2:$CS$18)))*(SQRT(SUMSQ(Attributs!$CF$2:$CF$18)+SUMSQ(Attributs!$CG$2:$CG$18)))),0)</f>
        <v/>
      </c>
      <c r="AR49" s="2">
        <f>IFERROR((SUMPRODUCT(Attributs!$CR$2:$CR$18,Attributs!$CH$2:$CH$18)+SUMPRODUCT(Attributs!$CS$2:$CS$18,Attributs!$CI$2:$CI$18))/((SQRT(SUMSQ(Attributs!$CR$2:$CR$18)+SUMSQ(Attributs!$CS$2:$CS$18)))*(SQRT(SUMSQ(Attributs!$CH$2:$CH$18)+SUMSQ(Attributs!$CI$2:$CI$18)))),0)</f>
        <v/>
      </c>
      <c r="AS49" s="2">
        <f>IFERROR((SUMPRODUCT(Attributs!$CR$2:$CR$18,Attributs!$CJ$2:$CJ$18)+SUMPRODUCT(Attributs!$CS$2:$CS$18,Attributs!$CK$2:$CK$18))/((SQRT(SUMSQ(Attributs!$CR$2:$CR$18)+SUMSQ(Attributs!$CS$2:$CS$18)))*(SQRT(SUMSQ(Attributs!$CJ$2:$CJ$18)+SUMSQ(Attributs!$CK$2:$CK$18)))),0)</f>
        <v/>
      </c>
      <c r="AT49" s="2">
        <f>IFERROR((SUMPRODUCT(Attributs!$CR$2:$CR$18,Attributs!$CL$2:$CL$18)+SUMPRODUCT(Attributs!$CS$2:$CS$18,Attributs!$CM$2:$CM$18))/((SQRT(SUMSQ(Attributs!$CR$2:$CR$18)+SUMSQ(Attributs!$CS$2:$CS$18)))*(SQRT(SUMSQ(Attributs!$CL$2:$CL$18)+SUMSQ(Attributs!$CM$2:$CM$18)))),0)</f>
        <v/>
      </c>
      <c r="AU49" s="2">
        <f>IFERROR((SUMPRODUCT(Attributs!$CR$2:$CR$18,Attributs!$CN$2:$CN$18)+SUMPRODUCT(Attributs!$CS$2:$CS$18,Attributs!$CO$2:$CO$18))/((SQRT(SUMSQ(Attributs!$CR$2:$CR$18)+SUMSQ(Attributs!$CS$2:$CS$18)))*(SQRT(SUMSQ(Attributs!$CN$2:$CN$18)+SUMSQ(Attributs!$CO$2:$CO$18)))),0)</f>
        <v/>
      </c>
      <c r="AV49" s="2">
        <f>IFERROR((SUMPRODUCT(Attributs!$CR$2:$CR$18,Attributs!$CP$2:$CP$18)+SUMPRODUCT(Attributs!$CS$2:$CS$18,Attributs!$CQ$2:$CQ$18))/((SQRT(SUMSQ(Attributs!$CR$2:$CR$18)+SUMSQ(Attributs!$CS$2:$CS$18)))*(SQRT(SUMSQ(Attributs!$CP$2:$CP$18)+SUMSQ(Attributs!$CQ$2:$CQ$18)))),0)</f>
        <v/>
      </c>
      <c r="AW49" s="2">
        <f>IFERROR((SUMPRODUCT(Attributs!$CR$2:$CR$18,Attributs!$CR$2:$CR$18)+SUMPRODUCT(Attributs!$CS$2:$CS$18,Attributs!$CS$2:$CS$18))/((SQRT(SUMSQ(Attributs!$CR$2:$CR$18)+SUMSQ(Attributs!$CS$2:$CS$18)))*(SQRT(SUMSQ(Attributs!$CR$2:$CR$18)+SUMSQ(Attributs!$CS$2:$CS$18)))),0)</f>
        <v/>
      </c>
      <c r="AX49" s="2">
        <f>IFERROR((SUMPRODUCT(Attributs!$CR$2:$CR$18,Attributs!$CT$2:$CT$18)+SUMPRODUCT(Attributs!$CS$2:$CS$18,Attributs!$CU$2:$CU$18))/((SQRT(SUMSQ(Attributs!$CR$2:$CR$18)+SUMSQ(Attributs!$CS$2:$CS$18)))*(SQRT(SUMSQ(Attributs!$CT$2:$CT$18)+SUMSQ(Attributs!$CU$2:$CU$18)))),0)</f>
        <v/>
      </c>
      <c r="AY49" s="2">
        <f>IFERROR((SUMPRODUCT(Attributs!$CR$2:$CR$18,Attributs!$CV$2:$CV$18)+SUMPRODUCT(Attributs!$CS$2:$CS$18,Attributs!$CW$2:$CW$18))/((SQRT(SUMSQ(Attributs!$CR$2:$CR$18)+SUMSQ(Attributs!$CS$2:$CS$18)))*(SQRT(SUMSQ(Attributs!$CV$2:$CV$18)+SUMSQ(Attributs!$CW$2:$CW$18)))),0)</f>
        <v/>
      </c>
      <c r="AZ49" s="2">
        <f>IFERROR((SUMPRODUCT(Attributs!$CR$2:$CR$18,Attributs!$CX$2:$CX$18)+SUMPRODUCT(Attributs!$CS$2:$CS$18,Attributs!$CY$2:$CY$18))/((SQRT(SUMSQ(Attributs!$CR$2:$CR$18)+SUMSQ(Attributs!$CS$2:$CS$18)))*(SQRT(SUMSQ(Attributs!$CX$2:$CX$18)+SUMSQ(Attributs!$CY$2:$CY$18)))),0)</f>
        <v/>
      </c>
      <c r="BA49" s="2">
        <f>IFERROR((SUMPRODUCT(Attributs!$CR$2:$CR$18,Attributs!$CZ$2:$CZ$18)+SUMPRODUCT(Attributs!$CS$2:$CS$18,Attributs!$DA$2:$DA$18))/((SQRT(SUMSQ(Attributs!$CR$2:$CR$18)+SUMSQ(Attributs!$CS$2:$CS$18)))*(SQRT(SUMSQ(Attributs!$CZ$2:$CZ$18)+SUMSQ(Attributs!$DA$2:$DA$18)))),0)</f>
        <v/>
      </c>
      <c r="BB49" s="2">
        <f>IFERROR((SUMPRODUCT(Attributs!$CR$2:$CR$18,Attributs!$DB$2:$DB$18)+SUMPRODUCT(Attributs!$CS$2:$CS$18,Attributs!$DC$2:$DC$18))/((SQRT(SUMSQ(Attributs!$CR$2:$CR$18)+SUMSQ(Attributs!$CS$2:$CS$18)))*(SQRT(SUMSQ(Attributs!$DB$2:$DB$18)+SUMSQ(Attributs!$DC$2:$DC$18)))),0)</f>
        <v/>
      </c>
      <c r="BC49" s="2">
        <f>IFERROR((SUMPRODUCT(Attributs!$CR$2:$CR$18,Attributs!$DD$2:$DD$18)+SUMPRODUCT(Attributs!$CS$2:$CS$18,Attributs!$DE$2:$DE$18))/((SQRT(SUMSQ(Attributs!$CR$2:$CR$18)+SUMSQ(Attributs!$CS$2:$CS$18)))*(SQRT(SUMSQ(Attributs!$DD$2:$DD$18)+SUMSQ(Attributs!$DE$2:$DE$18)))),0)</f>
        <v/>
      </c>
      <c r="BD49" s="2">
        <f>IFERROR((SUMPRODUCT(Attributs!$CR$2:$CR$18,Attributs!$DF$2:$DF$18)+SUMPRODUCT(Attributs!$CS$2:$CS$18,Attributs!$DG$2:$DG$18))/((SQRT(SUMSQ(Attributs!$CR$2:$CR$18)+SUMSQ(Attributs!$CS$2:$CS$18)))*(SQRT(SUMSQ(Attributs!$DF$2:$DF$18)+SUMSQ(Attributs!$DG$2:$DG$18)))),0)</f>
        <v/>
      </c>
      <c r="BE49" s="2">
        <f>IFERROR((SUMPRODUCT(Attributs!$CR$2:$CR$18,Attributs!$DH$2:$DH$18)+SUMPRODUCT(Attributs!$CS$2:$CS$18,Attributs!$DI$2:$DI$18))/((SQRT(SUMSQ(Attributs!$CR$2:$CR$18)+SUMSQ(Attributs!$CS$2:$CS$18)))*(SQRT(SUMSQ(Attributs!$DH$2:$DH$18)+SUMSQ(Attributs!$DI$2:$DI$18)))),0)</f>
        <v/>
      </c>
      <c r="BF49" s="2">
        <f>IFERROR((SUMPRODUCT(Attributs!$CR$2:$CR$18,Attributs!$DJ$2:$DJ$18)+SUMPRODUCT(Attributs!$CS$2:$CS$18,Attributs!$DK$2:$DK$18))/((SQRT(SUMSQ(Attributs!$CR$2:$CR$18)+SUMSQ(Attributs!$CS$2:$CS$18)))*(SQRT(SUMSQ(Attributs!$DJ$2:$DJ$18)+SUMSQ(Attributs!$DK$2:$DK$18)))),0)</f>
        <v/>
      </c>
      <c r="BG49" s="2">
        <f>IFERROR((SUMPRODUCT(Attributs!$CR$2:$CR$18,Attributs!$DL$2:$DL$18)+SUMPRODUCT(Attributs!$CS$2:$CS$18,Attributs!$DM$2:$DM$18))/((SQRT(SUMSQ(Attributs!$CR$2:$CR$18)+SUMSQ(Attributs!$CS$2:$CS$18)))*(SQRT(SUMSQ(Attributs!$DL$2:$DL$18)+SUMSQ(Attributs!$DM$2:$DM$18)))),0)</f>
        <v/>
      </c>
      <c r="BH49" s="2">
        <f>IFERROR((SUMPRODUCT(Attributs!$CR$2:$CR$18,Attributs!$DN$2:$DN$18)+SUMPRODUCT(Attributs!$CS$2:$CS$18,Attributs!$DO$2:$DO$18))/((SQRT(SUMSQ(Attributs!$CR$2:$CR$18)+SUMSQ(Attributs!$CS$2:$CS$18)))*(SQRT(SUMSQ(Attributs!$DN$2:$DN$18)+SUMSQ(Attributs!$DO$2:$DO$18)))),0)</f>
        <v/>
      </c>
      <c r="BI49" s="2">
        <f>IFERROR((SUMPRODUCT(Attributs!$CR$2:$CR$18,Attributs!$DP$2:$DP$18)+SUMPRODUCT(Attributs!$CS$2:$CS$18,Attributs!$DQ$2:$DQ$18))/((SQRT(SUMSQ(Attributs!$CR$2:$CR$18)+SUMSQ(Attributs!$CS$2:$CS$18)))*(SQRT(SUMSQ(Attributs!$DP$2:$DP$18)+SUMSQ(Attributs!$DQ$2:$DQ$18)))),0)</f>
        <v/>
      </c>
      <c r="BJ49" s="2">
        <f>IFERROR((SUMPRODUCT(Attributs!$CR$2:$CR$18,Attributs!$DR$2:$DR$18)+SUMPRODUCT(Attributs!$CS$2:$CS$18,Attributs!$DS$2:$DS$18))/((SQRT(SUMSQ(Attributs!$CR$2:$CR$18)+SUMSQ(Attributs!$CS$2:$CS$18)))*(SQRT(SUMSQ(Attributs!$DR$2:$DR$18)+SUMSQ(Attributs!$DS$2:$DS$18)))),0)</f>
        <v/>
      </c>
      <c r="BK49" s="2">
        <f>IFERROR((SUMPRODUCT(Attributs!$CR$2:$CR$18,Attributs!$DT$2:$DT$18)+SUMPRODUCT(Attributs!$CS$2:$CS$18,Attributs!$DU$2:$DU$18))/((SQRT(SUMSQ(Attributs!$CR$2:$CR$18)+SUMSQ(Attributs!$CS$2:$CS$18)))*(SQRT(SUMSQ(Attributs!$DT$2:$DT$18)+SUMSQ(Attributs!$DU$2:$DU$18)))),0)</f>
        <v/>
      </c>
      <c r="BL49" s="2">
        <f>IFERROR((SUMPRODUCT(Attributs!$CR$2:$CR$18,Attributs!$DV$2:$DV$18)+SUMPRODUCT(Attributs!$CS$2:$CS$18,Attributs!$DW$2:$DW$18))/((SQRT(SUMSQ(Attributs!$CR$2:$CR$18)+SUMSQ(Attributs!$CS$2:$CS$18)))*(SQRT(SUMSQ(Attributs!$DV$2:$DV$18)+SUMSQ(Attributs!$DW$2:$DW$18)))),0)</f>
        <v/>
      </c>
    </row>
    <row r="50">
      <c r="A50" s="3" t="inlineStr">
        <is>
          <t>SE_neo4j.Posts.parentid</t>
        </is>
      </c>
      <c r="B50" s="2">
        <f>IFERROR((SUMPRODUCT(Attributs!$CT$2:$CT$18,Attributs!$B$2:$B$18)+SUMPRODUCT(Attributs!$CU$2:$CU$18,Attributs!$C$2:$C$18))/((SQRT(SUMSQ(Attributs!$CT$2:$CT$18)+SUMSQ(Attributs!$CU$2:$CU$18)))*(SQRT(SUMSQ(Attributs!$B$2:$B$18)+SUMSQ(Attributs!$C$2:$C$18)))),0)</f>
        <v/>
      </c>
      <c r="C50" s="2">
        <f>IFERROR((SUMPRODUCT(Attributs!$CT$2:$CT$18,Attributs!$D$2:$D$18)+SUMPRODUCT(Attributs!$CU$2:$CU$18,Attributs!$E$2:$E$18))/((SQRT(SUMSQ(Attributs!$CT$2:$CT$18)+SUMSQ(Attributs!$CU$2:$CU$18)))*(SQRT(SUMSQ(Attributs!$D$2:$D$18)+SUMSQ(Attributs!$E$2:$E$18)))),0)</f>
        <v/>
      </c>
      <c r="D50" s="2">
        <f>IFERROR((SUMPRODUCT(Attributs!$CT$2:$CT$18,Attributs!$F$2:$F$18)+SUMPRODUCT(Attributs!$CU$2:$CU$18,Attributs!$G$2:$G$18))/((SQRT(SUMSQ(Attributs!$CT$2:$CT$18)+SUMSQ(Attributs!$CU$2:$CU$18)))*(SQRT(SUMSQ(Attributs!$F$2:$F$18)+SUMSQ(Attributs!$G$2:$G$18)))),0)</f>
        <v/>
      </c>
      <c r="E50" s="2">
        <f>IFERROR((SUMPRODUCT(Attributs!$CT$2:$CT$18,Attributs!$H$2:$H$18)+SUMPRODUCT(Attributs!$CU$2:$CU$18,Attributs!$I$2:$I$18))/((SQRT(SUMSQ(Attributs!$CT$2:$CT$18)+SUMSQ(Attributs!$CU$2:$CU$18)))*(SQRT(SUMSQ(Attributs!$H$2:$H$18)+SUMSQ(Attributs!$I$2:$I$18)))),0)</f>
        <v/>
      </c>
      <c r="F50" s="2">
        <f>IFERROR((SUMPRODUCT(Attributs!$CT$2:$CT$18,Attributs!$J$2:$J$18)+SUMPRODUCT(Attributs!$CU$2:$CU$18,Attributs!$K$2:$K$18))/((SQRT(SUMSQ(Attributs!$CT$2:$CT$18)+SUMSQ(Attributs!$CU$2:$CU$18)))*(SQRT(SUMSQ(Attributs!$J$2:$J$18)+SUMSQ(Attributs!$K$2:$K$18)))),0)</f>
        <v/>
      </c>
      <c r="G50" s="2">
        <f>IFERROR((SUMPRODUCT(Attributs!$CT$2:$CT$18,Attributs!$L$2:$L$18)+SUMPRODUCT(Attributs!$CU$2:$CU$18,Attributs!$M$2:$M$18))/((SQRT(SUMSQ(Attributs!$CT$2:$CT$18)+SUMSQ(Attributs!$CU$2:$CU$18)))*(SQRT(SUMSQ(Attributs!$L$2:$L$18)+SUMSQ(Attributs!$M$2:$M$18)))),0)</f>
        <v/>
      </c>
      <c r="H50" s="2">
        <f>IFERROR((SUMPRODUCT(Attributs!$CT$2:$CT$18,Attributs!$N$2:$N$18)+SUMPRODUCT(Attributs!$CU$2:$CU$18,Attributs!$O$2:$O$18))/((SQRT(SUMSQ(Attributs!$CT$2:$CT$18)+SUMSQ(Attributs!$CU$2:$CU$18)))*(SQRT(SUMSQ(Attributs!$N$2:$N$18)+SUMSQ(Attributs!$O$2:$O$18)))),0)</f>
        <v/>
      </c>
      <c r="I50" s="2">
        <f>IFERROR((SUMPRODUCT(Attributs!$CT$2:$CT$18,Attributs!$P$2:$P$18)+SUMPRODUCT(Attributs!$CU$2:$CU$18,Attributs!$Q$2:$Q$18))/((SQRT(SUMSQ(Attributs!$CT$2:$CT$18)+SUMSQ(Attributs!$CU$2:$CU$18)))*(SQRT(SUMSQ(Attributs!$P$2:$P$18)+SUMSQ(Attributs!$Q$2:$Q$18)))),0)</f>
        <v/>
      </c>
      <c r="J50" s="2">
        <f>IFERROR((SUMPRODUCT(Attributs!$CT$2:$CT$18,Attributs!$R$2:$R$18)+SUMPRODUCT(Attributs!$CU$2:$CU$18,Attributs!$S$2:$S$18))/((SQRT(SUMSQ(Attributs!$CT$2:$CT$18)+SUMSQ(Attributs!$CU$2:$CU$18)))*(SQRT(SUMSQ(Attributs!$R$2:$R$18)+SUMSQ(Attributs!$S$2:$S$18)))),0)</f>
        <v/>
      </c>
      <c r="K50" s="2">
        <f>IFERROR((SUMPRODUCT(Attributs!$CT$2:$CT$18,Attributs!$T$2:$T$18)+SUMPRODUCT(Attributs!$CU$2:$CU$18,Attributs!$U$2:$U$18))/((SQRT(SUMSQ(Attributs!$CT$2:$CT$18)+SUMSQ(Attributs!$CU$2:$CU$18)))*(SQRT(SUMSQ(Attributs!$T$2:$T$18)+SUMSQ(Attributs!$U$2:$U$18)))),0)</f>
        <v/>
      </c>
      <c r="L50" s="2">
        <f>IFERROR((SUMPRODUCT(Attributs!$CT$2:$CT$18,Attributs!$V$2:$V$18)+SUMPRODUCT(Attributs!$CU$2:$CU$18,Attributs!$W$2:$W$18))/((SQRT(SUMSQ(Attributs!$CT$2:$CT$18)+SUMSQ(Attributs!$CU$2:$CU$18)))*(SQRT(SUMSQ(Attributs!$V$2:$V$18)+SUMSQ(Attributs!$W$2:$W$18)))),0)</f>
        <v/>
      </c>
      <c r="M50" s="2">
        <f>IFERROR((SUMPRODUCT(Attributs!$CT$2:$CT$18,Attributs!$X$2:$X$18)+SUMPRODUCT(Attributs!$CU$2:$CU$18,Attributs!$Y$2:$Y$18))/((SQRT(SUMSQ(Attributs!$CT$2:$CT$18)+SUMSQ(Attributs!$CU$2:$CU$18)))*(SQRT(SUMSQ(Attributs!$X$2:$X$18)+SUMSQ(Attributs!$Y$2:$Y$18)))),0)</f>
        <v/>
      </c>
      <c r="N50" s="2">
        <f>IFERROR((SUMPRODUCT(Attributs!$CT$2:$CT$18,Attributs!$Z$2:$Z$18)+SUMPRODUCT(Attributs!$CU$2:$CU$18,Attributs!$AA$2:$AA$18))/((SQRT(SUMSQ(Attributs!$CT$2:$CT$18)+SUMSQ(Attributs!$CU$2:$CU$18)))*(SQRT(SUMSQ(Attributs!$Z$2:$Z$18)+SUMSQ(Attributs!$AA$2:$AA$18)))),0)</f>
        <v/>
      </c>
      <c r="O50" s="2">
        <f>IFERROR((SUMPRODUCT(Attributs!$CT$2:$CT$18,Attributs!$AB$2:$AB$18)+SUMPRODUCT(Attributs!$CU$2:$CU$18,Attributs!$AC$2:$AC$18))/((SQRT(SUMSQ(Attributs!$CT$2:$CT$18)+SUMSQ(Attributs!$CU$2:$CU$18)))*(SQRT(SUMSQ(Attributs!$AB$2:$AB$18)+SUMSQ(Attributs!$AC$2:$AC$18)))),0)</f>
        <v/>
      </c>
      <c r="P50" s="2">
        <f>IFERROR((SUMPRODUCT(Attributs!$CT$2:$CT$18,Attributs!$AD$2:$AD$18)+SUMPRODUCT(Attributs!$CU$2:$CU$18,Attributs!$AE$2:$AE$18))/((SQRT(SUMSQ(Attributs!$CT$2:$CT$18)+SUMSQ(Attributs!$CU$2:$CU$18)))*(SQRT(SUMSQ(Attributs!$AD$2:$AD$18)+SUMSQ(Attributs!$AE$2:$AE$18)))),0)</f>
        <v/>
      </c>
      <c r="Q50" s="2">
        <f>IFERROR((SUMPRODUCT(Attributs!$CT$2:$CT$18,Attributs!$AF$2:$AF$18)+SUMPRODUCT(Attributs!$CU$2:$CU$18,Attributs!$AG$2:$AG$18))/((SQRT(SUMSQ(Attributs!$CT$2:$CT$18)+SUMSQ(Attributs!$CU$2:$CU$18)))*(SQRT(SUMSQ(Attributs!$AF$2:$AF$18)+SUMSQ(Attributs!$AG$2:$AG$18)))),0)</f>
        <v/>
      </c>
      <c r="R50" s="2">
        <f>IFERROR((SUMPRODUCT(Attributs!$CT$2:$CT$18,Attributs!$AH$2:$AH$18)+SUMPRODUCT(Attributs!$CU$2:$CU$18,Attributs!$AI$2:$AI$18))/((SQRT(SUMSQ(Attributs!$CT$2:$CT$18)+SUMSQ(Attributs!$CU$2:$CU$18)))*(SQRT(SUMSQ(Attributs!$AH$2:$AH$18)+SUMSQ(Attributs!$AI$2:$AI$18)))),0)</f>
        <v/>
      </c>
      <c r="S50" s="2">
        <f>IFERROR((SUMPRODUCT(Attributs!$CT$2:$CT$18,Attributs!$AJ$2:$AJ$18)+SUMPRODUCT(Attributs!$CU$2:$CU$18,Attributs!$AK$2:$AK$18))/((SQRT(SUMSQ(Attributs!$CT$2:$CT$18)+SUMSQ(Attributs!$CU$2:$CU$18)))*(SQRT(SUMSQ(Attributs!$AJ$2:$AJ$18)+SUMSQ(Attributs!$AK$2:$AK$18)))),0)</f>
        <v/>
      </c>
      <c r="T50" s="2">
        <f>IFERROR((SUMPRODUCT(Attributs!$CT$2:$CT$18,Attributs!$AL$2:$AL$18)+SUMPRODUCT(Attributs!$CU$2:$CU$18,Attributs!$AM$2:$AM$18))/((SQRT(SUMSQ(Attributs!$CT$2:$CT$18)+SUMSQ(Attributs!$CU$2:$CU$18)))*(SQRT(SUMSQ(Attributs!$AL$2:$AL$18)+SUMSQ(Attributs!$AM$2:$AM$18)))),0)</f>
        <v/>
      </c>
      <c r="U50" s="2">
        <f>IFERROR((SUMPRODUCT(Attributs!$CT$2:$CT$18,Attributs!$AN$2:$AN$18)+SUMPRODUCT(Attributs!$CU$2:$CU$18,Attributs!$AO$2:$AO$18))/((SQRT(SUMSQ(Attributs!$CT$2:$CT$18)+SUMSQ(Attributs!$CU$2:$CU$18)))*(SQRT(SUMSQ(Attributs!$AN$2:$AN$18)+SUMSQ(Attributs!$AO$2:$AO$18)))),0)</f>
        <v/>
      </c>
      <c r="V50" s="2">
        <f>IFERROR((SUMPRODUCT(Attributs!$CT$2:$CT$18,Attributs!$AP$2:$AP$18)+SUMPRODUCT(Attributs!$CU$2:$CU$18,Attributs!$AQ$2:$AQ$18))/((SQRT(SUMSQ(Attributs!$CT$2:$CT$18)+SUMSQ(Attributs!$CU$2:$CU$18)))*(SQRT(SUMSQ(Attributs!$AP$2:$AP$18)+SUMSQ(Attributs!$AQ$2:$AQ$18)))),0)</f>
        <v/>
      </c>
      <c r="W50" s="2">
        <f>IFERROR((SUMPRODUCT(Attributs!$CT$2:$CT$18,Attributs!$AR$2:$AR$18)+SUMPRODUCT(Attributs!$CU$2:$CU$18,Attributs!$AS$2:$AS$18))/((SQRT(SUMSQ(Attributs!$CT$2:$CT$18)+SUMSQ(Attributs!$CU$2:$CU$18)))*(SQRT(SUMSQ(Attributs!$AR$2:$AR$18)+SUMSQ(Attributs!$AS$2:$AS$18)))),0)</f>
        <v/>
      </c>
      <c r="X50" s="2">
        <f>IFERROR((SUMPRODUCT(Attributs!$CT$2:$CT$18,Attributs!$AT$2:$AT$18)+SUMPRODUCT(Attributs!$CU$2:$CU$18,Attributs!$AU$2:$AU$18))/((SQRT(SUMSQ(Attributs!$CT$2:$CT$18)+SUMSQ(Attributs!$CU$2:$CU$18)))*(SQRT(SUMSQ(Attributs!$AT$2:$AT$18)+SUMSQ(Attributs!$AU$2:$AU$18)))),0)</f>
        <v/>
      </c>
      <c r="Y50" s="2">
        <f>IFERROR((SUMPRODUCT(Attributs!$CT$2:$CT$18,Attributs!$AV$2:$AV$18)+SUMPRODUCT(Attributs!$CU$2:$CU$18,Attributs!$AW$2:$AW$18))/((SQRT(SUMSQ(Attributs!$CT$2:$CT$18)+SUMSQ(Attributs!$CU$2:$CU$18)))*(SQRT(SUMSQ(Attributs!$AV$2:$AV$18)+SUMSQ(Attributs!$AW$2:$AW$18)))),0)</f>
        <v/>
      </c>
      <c r="Z50" s="2">
        <f>IFERROR((SUMPRODUCT(Attributs!$CT$2:$CT$18,Attributs!$AX$2:$AX$18)+SUMPRODUCT(Attributs!$CU$2:$CU$18,Attributs!$AY$2:$AY$18))/((SQRT(SUMSQ(Attributs!$CT$2:$CT$18)+SUMSQ(Attributs!$CU$2:$CU$18)))*(SQRT(SUMSQ(Attributs!$AX$2:$AX$18)+SUMSQ(Attributs!$AY$2:$AY$18)))),0)</f>
        <v/>
      </c>
      <c r="AA50" s="2">
        <f>IFERROR((SUMPRODUCT(Attributs!$CT$2:$CT$18,Attributs!$AZ$2:$AZ$18)+SUMPRODUCT(Attributs!$CU$2:$CU$18,Attributs!$BA$2:$BA$18))/((SQRT(SUMSQ(Attributs!$CT$2:$CT$18)+SUMSQ(Attributs!$CU$2:$CU$18)))*(SQRT(SUMSQ(Attributs!$AZ$2:$AZ$18)+SUMSQ(Attributs!$BA$2:$BA$18)))),0)</f>
        <v/>
      </c>
      <c r="AB50" s="2">
        <f>IFERROR((SUMPRODUCT(Attributs!$CT$2:$CT$18,Attributs!$BB$2:$BB$18)+SUMPRODUCT(Attributs!$CU$2:$CU$18,Attributs!$BC$2:$BC$18))/((SQRT(SUMSQ(Attributs!$CT$2:$CT$18)+SUMSQ(Attributs!$CU$2:$CU$18)))*(SQRT(SUMSQ(Attributs!$BB$2:$BB$18)+SUMSQ(Attributs!$BC$2:$BC$18)))),0)</f>
        <v/>
      </c>
      <c r="AC50" s="2">
        <f>IFERROR((SUMPRODUCT(Attributs!$CT$2:$CT$18,Attributs!$BD$2:$BD$18)+SUMPRODUCT(Attributs!$CU$2:$CU$18,Attributs!$BE$2:$BE$18))/((SQRT(SUMSQ(Attributs!$CT$2:$CT$18)+SUMSQ(Attributs!$CU$2:$CU$18)))*(SQRT(SUMSQ(Attributs!$BD$2:$BD$18)+SUMSQ(Attributs!$BE$2:$BE$18)))),0)</f>
        <v/>
      </c>
      <c r="AD50" s="2">
        <f>IFERROR((SUMPRODUCT(Attributs!$CT$2:$CT$18,Attributs!$BF$2:$BF$18)+SUMPRODUCT(Attributs!$CU$2:$CU$18,Attributs!$BG$2:$BG$18))/((SQRT(SUMSQ(Attributs!$CT$2:$CT$18)+SUMSQ(Attributs!$CU$2:$CU$18)))*(SQRT(SUMSQ(Attributs!$BF$2:$BF$18)+SUMSQ(Attributs!$BG$2:$BG$18)))),0)</f>
        <v/>
      </c>
      <c r="AE50" s="2">
        <f>IFERROR((SUMPRODUCT(Attributs!$CT$2:$CT$18,Attributs!$BH$2:$BH$18)+SUMPRODUCT(Attributs!$CU$2:$CU$18,Attributs!$BI$2:$BI$18))/((SQRT(SUMSQ(Attributs!$CT$2:$CT$18)+SUMSQ(Attributs!$CU$2:$CU$18)))*(SQRT(SUMSQ(Attributs!$BH$2:$BH$18)+SUMSQ(Attributs!$BI$2:$BI$18)))),0)</f>
        <v/>
      </c>
      <c r="AF50" s="2">
        <f>IFERROR((SUMPRODUCT(Attributs!$CT$2:$CT$18,Attributs!$BJ$2:$BJ$18)+SUMPRODUCT(Attributs!$CU$2:$CU$18,Attributs!$BK$2:$BK$18))/((SQRT(SUMSQ(Attributs!$CT$2:$CT$18)+SUMSQ(Attributs!$CU$2:$CU$18)))*(SQRT(SUMSQ(Attributs!$BJ$2:$BJ$18)+SUMSQ(Attributs!$BK$2:$BK$18)))),0)</f>
        <v/>
      </c>
      <c r="AG50" s="2">
        <f>IFERROR((SUMPRODUCT(Attributs!$CT$2:$CT$18,Attributs!$BL$2:$BL$18)+SUMPRODUCT(Attributs!$CU$2:$CU$18,Attributs!$BM$2:$BM$18))/((SQRT(SUMSQ(Attributs!$CT$2:$CT$18)+SUMSQ(Attributs!$CU$2:$CU$18)))*(SQRT(SUMSQ(Attributs!$BL$2:$BL$18)+SUMSQ(Attributs!$BM$2:$BM$18)))),0)</f>
        <v/>
      </c>
      <c r="AH50" s="2">
        <f>IFERROR((SUMPRODUCT(Attributs!$CT$2:$CT$18,Attributs!$BN$2:$BN$18)+SUMPRODUCT(Attributs!$CU$2:$CU$18,Attributs!$BO$2:$BO$18))/((SQRT(SUMSQ(Attributs!$CT$2:$CT$18)+SUMSQ(Attributs!$CU$2:$CU$18)))*(SQRT(SUMSQ(Attributs!$BN$2:$BN$18)+SUMSQ(Attributs!$BO$2:$BO$18)))),0)</f>
        <v/>
      </c>
      <c r="AI50" s="2">
        <f>IFERROR((SUMPRODUCT(Attributs!$CT$2:$CT$18,Attributs!$BP$2:$BP$18)+SUMPRODUCT(Attributs!$CU$2:$CU$18,Attributs!$BQ$2:$BQ$18))/((SQRT(SUMSQ(Attributs!$CT$2:$CT$18)+SUMSQ(Attributs!$CU$2:$CU$18)))*(SQRT(SUMSQ(Attributs!$BP$2:$BP$18)+SUMSQ(Attributs!$BQ$2:$BQ$18)))),0)</f>
        <v/>
      </c>
      <c r="AJ50" s="2">
        <f>IFERROR((SUMPRODUCT(Attributs!$CT$2:$CT$18,Attributs!$BR$2:$BR$18)+SUMPRODUCT(Attributs!$CU$2:$CU$18,Attributs!$BS$2:$BS$18))/((SQRT(SUMSQ(Attributs!$CT$2:$CT$18)+SUMSQ(Attributs!$CU$2:$CU$18)))*(SQRT(SUMSQ(Attributs!$BR$2:$BR$18)+SUMSQ(Attributs!$BS$2:$BS$18)))),0)</f>
        <v/>
      </c>
      <c r="AK50" s="2">
        <f>IFERROR((SUMPRODUCT(Attributs!$CT$2:$CT$18,Attributs!$BT$2:$BT$18)+SUMPRODUCT(Attributs!$CU$2:$CU$18,Attributs!$BU$2:$BU$18))/((SQRT(SUMSQ(Attributs!$CT$2:$CT$18)+SUMSQ(Attributs!$CU$2:$CU$18)))*(SQRT(SUMSQ(Attributs!$BT$2:$BT$18)+SUMSQ(Attributs!$BU$2:$BU$18)))),0)</f>
        <v/>
      </c>
      <c r="AL50" s="2">
        <f>IFERROR((SUMPRODUCT(Attributs!$CT$2:$CT$18,Attributs!$BV$2:$BV$18)+SUMPRODUCT(Attributs!$CU$2:$CU$18,Attributs!$BW$2:$BW$18))/((SQRT(SUMSQ(Attributs!$CT$2:$CT$18)+SUMSQ(Attributs!$CU$2:$CU$18)))*(SQRT(SUMSQ(Attributs!$BV$2:$BV$18)+SUMSQ(Attributs!$BW$2:$BW$18)))),0)</f>
        <v/>
      </c>
      <c r="AM50" s="2">
        <f>IFERROR((SUMPRODUCT(Attributs!$CT$2:$CT$18,Attributs!$BX$2:$BX$18)+SUMPRODUCT(Attributs!$CU$2:$CU$18,Attributs!$BY$2:$BY$18))/((SQRT(SUMSQ(Attributs!$CT$2:$CT$18)+SUMSQ(Attributs!$CU$2:$CU$18)))*(SQRT(SUMSQ(Attributs!$BX$2:$BX$18)+SUMSQ(Attributs!$BY$2:$BY$18)))),0)</f>
        <v/>
      </c>
      <c r="AN50" s="2">
        <f>IFERROR((SUMPRODUCT(Attributs!$CT$2:$CT$18,Attributs!$BZ$2:$BZ$18)+SUMPRODUCT(Attributs!$CU$2:$CU$18,Attributs!$CA$2:$CA$18))/((SQRT(SUMSQ(Attributs!$CT$2:$CT$18)+SUMSQ(Attributs!$CU$2:$CU$18)))*(SQRT(SUMSQ(Attributs!$BZ$2:$BZ$18)+SUMSQ(Attributs!$CA$2:$CA$18)))),0)</f>
        <v/>
      </c>
      <c r="AO50" s="2">
        <f>IFERROR((SUMPRODUCT(Attributs!$CT$2:$CT$18,Attributs!$CB$2:$CB$18)+SUMPRODUCT(Attributs!$CU$2:$CU$18,Attributs!$CC$2:$CC$18))/((SQRT(SUMSQ(Attributs!$CT$2:$CT$18)+SUMSQ(Attributs!$CU$2:$CU$18)))*(SQRT(SUMSQ(Attributs!$CB$2:$CB$18)+SUMSQ(Attributs!$CC$2:$CC$18)))),0)</f>
        <v/>
      </c>
      <c r="AP50" s="2">
        <f>IFERROR((SUMPRODUCT(Attributs!$CT$2:$CT$18,Attributs!$CD$2:$CD$18)+SUMPRODUCT(Attributs!$CU$2:$CU$18,Attributs!$CE$2:$CE$18))/((SQRT(SUMSQ(Attributs!$CT$2:$CT$18)+SUMSQ(Attributs!$CU$2:$CU$18)))*(SQRT(SUMSQ(Attributs!$CD$2:$CD$18)+SUMSQ(Attributs!$CE$2:$CE$18)))),0)</f>
        <v/>
      </c>
      <c r="AQ50" s="2">
        <f>IFERROR((SUMPRODUCT(Attributs!$CT$2:$CT$18,Attributs!$CF$2:$CF$18)+SUMPRODUCT(Attributs!$CU$2:$CU$18,Attributs!$CG$2:$CG$18))/((SQRT(SUMSQ(Attributs!$CT$2:$CT$18)+SUMSQ(Attributs!$CU$2:$CU$18)))*(SQRT(SUMSQ(Attributs!$CF$2:$CF$18)+SUMSQ(Attributs!$CG$2:$CG$18)))),0)</f>
        <v/>
      </c>
      <c r="AR50" s="2">
        <f>IFERROR((SUMPRODUCT(Attributs!$CT$2:$CT$18,Attributs!$CH$2:$CH$18)+SUMPRODUCT(Attributs!$CU$2:$CU$18,Attributs!$CI$2:$CI$18))/((SQRT(SUMSQ(Attributs!$CT$2:$CT$18)+SUMSQ(Attributs!$CU$2:$CU$18)))*(SQRT(SUMSQ(Attributs!$CH$2:$CH$18)+SUMSQ(Attributs!$CI$2:$CI$18)))),0)</f>
        <v/>
      </c>
      <c r="AS50" s="2">
        <f>IFERROR((SUMPRODUCT(Attributs!$CT$2:$CT$18,Attributs!$CJ$2:$CJ$18)+SUMPRODUCT(Attributs!$CU$2:$CU$18,Attributs!$CK$2:$CK$18))/((SQRT(SUMSQ(Attributs!$CT$2:$CT$18)+SUMSQ(Attributs!$CU$2:$CU$18)))*(SQRT(SUMSQ(Attributs!$CJ$2:$CJ$18)+SUMSQ(Attributs!$CK$2:$CK$18)))),0)</f>
        <v/>
      </c>
      <c r="AT50" s="2">
        <f>IFERROR((SUMPRODUCT(Attributs!$CT$2:$CT$18,Attributs!$CL$2:$CL$18)+SUMPRODUCT(Attributs!$CU$2:$CU$18,Attributs!$CM$2:$CM$18))/((SQRT(SUMSQ(Attributs!$CT$2:$CT$18)+SUMSQ(Attributs!$CU$2:$CU$18)))*(SQRT(SUMSQ(Attributs!$CL$2:$CL$18)+SUMSQ(Attributs!$CM$2:$CM$18)))),0)</f>
        <v/>
      </c>
      <c r="AU50" s="2">
        <f>IFERROR((SUMPRODUCT(Attributs!$CT$2:$CT$18,Attributs!$CN$2:$CN$18)+SUMPRODUCT(Attributs!$CU$2:$CU$18,Attributs!$CO$2:$CO$18))/((SQRT(SUMSQ(Attributs!$CT$2:$CT$18)+SUMSQ(Attributs!$CU$2:$CU$18)))*(SQRT(SUMSQ(Attributs!$CN$2:$CN$18)+SUMSQ(Attributs!$CO$2:$CO$18)))),0)</f>
        <v/>
      </c>
      <c r="AV50" s="2">
        <f>IFERROR((SUMPRODUCT(Attributs!$CT$2:$CT$18,Attributs!$CP$2:$CP$18)+SUMPRODUCT(Attributs!$CU$2:$CU$18,Attributs!$CQ$2:$CQ$18))/((SQRT(SUMSQ(Attributs!$CT$2:$CT$18)+SUMSQ(Attributs!$CU$2:$CU$18)))*(SQRT(SUMSQ(Attributs!$CP$2:$CP$18)+SUMSQ(Attributs!$CQ$2:$CQ$18)))),0)</f>
        <v/>
      </c>
      <c r="AW50" s="2">
        <f>IFERROR((SUMPRODUCT(Attributs!$CT$2:$CT$18,Attributs!$CR$2:$CR$18)+SUMPRODUCT(Attributs!$CU$2:$CU$18,Attributs!$CS$2:$CS$18))/((SQRT(SUMSQ(Attributs!$CT$2:$CT$18)+SUMSQ(Attributs!$CU$2:$CU$18)))*(SQRT(SUMSQ(Attributs!$CR$2:$CR$18)+SUMSQ(Attributs!$CS$2:$CS$18)))),0)</f>
        <v/>
      </c>
      <c r="AX50" s="2">
        <f>IFERROR((SUMPRODUCT(Attributs!$CT$2:$CT$18,Attributs!$CT$2:$CT$18)+SUMPRODUCT(Attributs!$CU$2:$CU$18,Attributs!$CU$2:$CU$18))/((SQRT(SUMSQ(Attributs!$CT$2:$CT$18)+SUMSQ(Attributs!$CU$2:$CU$18)))*(SQRT(SUMSQ(Attributs!$CT$2:$CT$18)+SUMSQ(Attributs!$CU$2:$CU$18)))),0)</f>
        <v/>
      </c>
      <c r="AY50" s="2">
        <f>IFERROR((SUMPRODUCT(Attributs!$CT$2:$CT$18,Attributs!$CV$2:$CV$18)+SUMPRODUCT(Attributs!$CU$2:$CU$18,Attributs!$CW$2:$CW$18))/((SQRT(SUMSQ(Attributs!$CT$2:$CT$18)+SUMSQ(Attributs!$CU$2:$CU$18)))*(SQRT(SUMSQ(Attributs!$CV$2:$CV$18)+SUMSQ(Attributs!$CW$2:$CW$18)))),0)</f>
        <v/>
      </c>
      <c r="AZ50" s="2">
        <f>IFERROR((SUMPRODUCT(Attributs!$CT$2:$CT$18,Attributs!$CX$2:$CX$18)+SUMPRODUCT(Attributs!$CU$2:$CU$18,Attributs!$CY$2:$CY$18))/((SQRT(SUMSQ(Attributs!$CT$2:$CT$18)+SUMSQ(Attributs!$CU$2:$CU$18)))*(SQRT(SUMSQ(Attributs!$CX$2:$CX$18)+SUMSQ(Attributs!$CY$2:$CY$18)))),0)</f>
        <v/>
      </c>
      <c r="BA50" s="2">
        <f>IFERROR((SUMPRODUCT(Attributs!$CT$2:$CT$18,Attributs!$CZ$2:$CZ$18)+SUMPRODUCT(Attributs!$CU$2:$CU$18,Attributs!$DA$2:$DA$18))/((SQRT(SUMSQ(Attributs!$CT$2:$CT$18)+SUMSQ(Attributs!$CU$2:$CU$18)))*(SQRT(SUMSQ(Attributs!$CZ$2:$CZ$18)+SUMSQ(Attributs!$DA$2:$DA$18)))),0)</f>
        <v/>
      </c>
      <c r="BB50" s="2">
        <f>IFERROR((SUMPRODUCT(Attributs!$CT$2:$CT$18,Attributs!$DB$2:$DB$18)+SUMPRODUCT(Attributs!$CU$2:$CU$18,Attributs!$DC$2:$DC$18))/((SQRT(SUMSQ(Attributs!$CT$2:$CT$18)+SUMSQ(Attributs!$CU$2:$CU$18)))*(SQRT(SUMSQ(Attributs!$DB$2:$DB$18)+SUMSQ(Attributs!$DC$2:$DC$18)))),0)</f>
        <v/>
      </c>
      <c r="BC50" s="2">
        <f>IFERROR((SUMPRODUCT(Attributs!$CT$2:$CT$18,Attributs!$DD$2:$DD$18)+SUMPRODUCT(Attributs!$CU$2:$CU$18,Attributs!$DE$2:$DE$18))/((SQRT(SUMSQ(Attributs!$CT$2:$CT$18)+SUMSQ(Attributs!$CU$2:$CU$18)))*(SQRT(SUMSQ(Attributs!$DD$2:$DD$18)+SUMSQ(Attributs!$DE$2:$DE$18)))),0)</f>
        <v/>
      </c>
      <c r="BD50" s="2">
        <f>IFERROR((SUMPRODUCT(Attributs!$CT$2:$CT$18,Attributs!$DF$2:$DF$18)+SUMPRODUCT(Attributs!$CU$2:$CU$18,Attributs!$DG$2:$DG$18))/((SQRT(SUMSQ(Attributs!$CT$2:$CT$18)+SUMSQ(Attributs!$CU$2:$CU$18)))*(SQRT(SUMSQ(Attributs!$DF$2:$DF$18)+SUMSQ(Attributs!$DG$2:$DG$18)))),0)</f>
        <v/>
      </c>
      <c r="BE50" s="2">
        <f>IFERROR((SUMPRODUCT(Attributs!$CT$2:$CT$18,Attributs!$DH$2:$DH$18)+SUMPRODUCT(Attributs!$CU$2:$CU$18,Attributs!$DI$2:$DI$18))/((SQRT(SUMSQ(Attributs!$CT$2:$CT$18)+SUMSQ(Attributs!$CU$2:$CU$18)))*(SQRT(SUMSQ(Attributs!$DH$2:$DH$18)+SUMSQ(Attributs!$DI$2:$DI$18)))),0)</f>
        <v/>
      </c>
      <c r="BF50" s="2">
        <f>IFERROR((SUMPRODUCT(Attributs!$CT$2:$CT$18,Attributs!$DJ$2:$DJ$18)+SUMPRODUCT(Attributs!$CU$2:$CU$18,Attributs!$DK$2:$DK$18))/((SQRT(SUMSQ(Attributs!$CT$2:$CT$18)+SUMSQ(Attributs!$CU$2:$CU$18)))*(SQRT(SUMSQ(Attributs!$DJ$2:$DJ$18)+SUMSQ(Attributs!$DK$2:$DK$18)))),0)</f>
        <v/>
      </c>
      <c r="BG50" s="2">
        <f>IFERROR((SUMPRODUCT(Attributs!$CT$2:$CT$18,Attributs!$DL$2:$DL$18)+SUMPRODUCT(Attributs!$CU$2:$CU$18,Attributs!$DM$2:$DM$18))/((SQRT(SUMSQ(Attributs!$CT$2:$CT$18)+SUMSQ(Attributs!$CU$2:$CU$18)))*(SQRT(SUMSQ(Attributs!$DL$2:$DL$18)+SUMSQ(Attributs!$DM$2:$DM$18)))),0)</f>
        <v/>
      </c>
      <c r="BH50" s="2">
        <f>IFERROR((SUMPRODUCT(Attributs!$CT$2:$CT$18,Attributs!$DN$2:$DN$18)+SUMPRODUCT(Attributs!$CU$2:$CU$18,Attributs!$DO$2:$DO$18))/((SQRT(SUMSQ(Attributs!$CT$2:$CT$18)+SUMSQ(Attributs!$CU$2:$CU$18)))*(SQRT(SUMSQ(Attributs!$DN$2:$DN$18)+SUMSQ(Attributs!$DO$2:$DO$18)))),0)</f>
        <v/>
      </c>
      <c r="BI50" s="2">
        <f>IFERROR((SUMPRODUCT(Attributs!$CT$2:$CT$18,Attributs!$DP$2:$DP$18)+SUMPRODUCT(Attributs!$CU$2:$CU$18,Attributs!$DQ$2:$DQ$18))/((SQRT(SUMSQ(Attributs!$CT$2:$CT$18)+SUMSQ(Attributs!$CU$2:$CU$18)))*(SQRT(SUMSQ(Attributs!$DP$2:$DP$18)+SUMSQ(Attributs!$DQ$2:$DQ$18)))),0)</f>
        <v/>
      </c>
      <c r="BJ50" s="2">
        <f>IFERROR((SUMPRODUCT(Attributs!$CT$2:$CT$18,Attributs!$DR$2:$DR$18)+SUMPRODUCT(Attributs!$CU$2:$CU$18,Attributs!$DS$2:$DS$18))/((SQRT(SUMSQ(Attributs!$CT$2:$CT$18)+SUMSQ(Attributs!$CU$2:$CU$18)))*(SQRT(SUMSQ(Attributs!$DR$2:$DR$18)+SUMSQ(Attributs!$DS$2:$DS$18)))),0)</f>
        <v/>
      </c>
      <c r="BK50" s="2">
        <f>IFERROR((SUMPRODUCT(Attributs!$CT$2:$CT$18,Attributs!$DT$2:$DT$18)+SUMPRODUCT(Attributs!$CU$2:$CU$18,Attributs!$DU$2:$DU$18))/((SQRT(SUMSQ(Attributs!$CT$2:$CT$18)+SUMSQ(Attributs!$CU$2:$CU$18)))*(SQRT(SUMSQ(Attributs!$DT$2:$DT$18)+SUMSQ(Attributs!$DU$2:$DU$18)))),0)</f>
        <v/>
      </c>
      <c r="BL50" s="2">
        <f>IFERROR((SUMPRODUCT(Attributs!$CT$2:$CT$18,Attributs!$DV$2:$DV$18)+SUMPRODUCT(Attributs!$CU$2:$CU$18,Attributs!$DW$2:$DW$18))/((SQRT(SUMSQ(Attributs!$CT$2:$CT$18)+SUMSQ(Attributs!$CU$2:$CU$18)))*(SQRT(SUMSQ(Attributs!$DV$2:$DV$18)+SUMSQ(Attributs!$DW$2:$DW$18)))),0)</f>
        <v/>
      </c>
    </row>
    <row r="51">
      <c r="A51" s="3" t="inlineStr">
        <is>
          <t>SE_neo4j.Posts.owneruserid</t>
        </is>
      </c>
      <c r="B51" s="2">
        <f>IFERROR((SUMPRODUCT(Attributs!$CV$2:$CV$18,Attributs!$B$2:$B$18)+SUMPRODUCT(Attributs!$CW$2:$CW$18,Attributs!$C$2:$C$18))/((SQRT(SUMSQ(Attributs!$CV$2:$CV$18)+SUMSQ(Attributs!$CW$2:$CW$18)))*(SQRT(SUMSQ(Attributs!$B$2:$B$18)+SUMSQ(Attributs!$C$2:$C$18)))),0)</f>
        <v/>
      </c>
      <c r="C51" s="2">
        <f>IFERROR((SUMPRODUCT(Attributs!$CV$2:$CV$18,Attributs!$D$2:$D$18)+SUMPRODUCT(Attributs!$CW$2:$CW$18,Attributs!$E$2:$E$18))/((SQRT(SUMSQ(Attributs!$CV$2:$CV$18)+SUMSQ(Attributs!$CW$2:$CW$18)))*(SQRT(SUMSQ(Attributs!$D$2:$D$18)+SUMSQ(Attributs!$E$2:$E$18)))),0)</f>
        <v/>
      </c>
      <c r="D51" s="2">
        <f>IFERROR((SUMPRODUCT(Attributs!$CV$2:$CV$18,Attributs!$F$2:$F$18)+SUMPRODUCT(Attributs!$CW$2:$CW$18,Attributs!$G$2:$G$18))/((SQRT(SUMSQ(Attributs!$CV$2:$CV$18)+SUMSQ(Attributs!$CW$2:$CW$18)))*(SQRT(SUMSQ(Attributs!$F$2:$F$18)+SUMSQ(Attributs!$G$2:$G$18)))),0)</f>
        <v/>
      </c>
      <c r="E51" s="2">
        <f>IFERROR((SUMPRODUCT(Attributs!$CV$2:$CV$18,Attributs!$H$2:$H$18)+SUMPRODUCT(Attributs!$CW$2:$CW$18,Attributs!$I$2:$I$18))/((SQRT(SUMSQ(Attributs!$CV$2:$CV$18)+SUMSQ(Attributs!$CW$2:$CW$18)))*(SQRT(SUMSQ(Attributs!$H$2:$H$18)+SUMSQ(Attributs!$I$2:$I$18)))),0)</f>
        <v/>
      </c>
      <c r="F51" s="2">
        <f>IFERROR((SUMPRODUCT(Attributs!$CV$2:$CV$18,Attributs!$J$2:$J$18)+SUMPRODUCT(Attributs!$CW$2:$CW$18,Attributs!$K$2:$K$18))/((SQRT(SUMSQ(Attributs!$CV$2:$CV$18)+SUMSQ(Attributs!$CW$2:$CW$18)))*(SQRT(SUMSQ(Attributs!$J$2:$J$18)+SUMSQ(Attributs!$K$2:$K$18)))),0)</f>
        <v/>
      </c>
      <c r="G51" s="2">
        <f>IFERROR((SUMPRODUCT(Attributs!$CV$2:$CV$18,Attributs!$L$2:$L$18)+SUMPRODUCT(Attributs!$CW$2:$CW$18,Attributs!$M$2:$M$18))/((SQRT(SUMSQ(Attributs!$CV$2:$CV$18)+SUMSQ(Attributs!$CW$2:$CW$18)))*(SQRT(SUMSQ(Attributs!$L$2:$L$18)+SUMSQ(Attributs!$M$2:$M$18)))),0)</f>
        <v/>
      </c>
      <c r="H51" s="2">
        <f>IFERROR((SUMPRODUCT(Attributs!$CV$2:$CV$18,Attributs!$N$2:$N$18)+SUMPRODUCT(Attributs!$CW$2:$CW$18,Attributs!$O$2:$O$18))/((SQRT(SUMSQ(Attributs!$CV$2:$CV$18)+SUMSQ(Attributs!$CW$2:$CW$18)))*(SQRT(SUMSQ(Attributs!$N$2:$N$18)+SUMSQ(Attributs!$O$2:$O$18)))),0)</f>
        <v/>
      </c>
      <c r="I51" s="2">
        <f>IFERROR((SUMPRODUCT(Attributs!$CV$2:$CV$18,Attributs!$P$2:$P$18)+SUMPRODUCT(Attributs!$CW$2:$CW$18,Attributs!$Q$2:$Q$18))/((SQRT(SUMSQ(Attributs!$CV$2:$CV$18)+SUMSQ(Attributs!$CW$2:$CW$18)))*(SQRT(SUMSQ(Attributs!$P$2:$P$18)+SUMSQ(Attributs!$Q$2:$Q$18)))),0)</f>
        <v/>
      </c>
      <c r="J51" s="2">
        <f>IFERROR((SUMPRODUCT(Attributs!$CV$2:$CV$18,Attributs!$R$2:$R$18)+SUMPRODUCT(Attributs!$CW$2:$CW$18,Attributs!$S$2:$S$18))/((SQRT(SUMSQ(Attributs!$CV$2:$CV$18)+SUMSQ(Attributs!$CW$2:$CW$18)))*(SQRT(SUMSQ(Attributs!$R$2:$R$18)+SUMSQ(Attributs!$S$2:$S$18)))),0)</f>
        <v/>
      </c>
      <c r="K51" s="2">
        <f>IFERROR((SUMPRODUCT(Attributs!$CV$2:$CV$18,Attributs!$T$2:$T$18)+SUMPRODUCT(Attributs!$CW$2:$CW$18,Attributs!$U$2:$U$18))/((SQRT(SUMSQ(Attributs!$CV$2:$CV$18)+SUMSQ(Attributs!$CW$2:$CW$18)))*(SQRT(SUMSQ(Attributs!$T$2:$T$18)+SUMSQ(Attributs!$U$2:$U$18)))),0)</f>
        <v/>
      </c>
      <c r="L51" s="2">
        <f>IFERROR((SUMPRODUCT(Attributs!$CV$2:$CV$18,Attributs!$V$2:$V$18)+SUMPRODUCT(Attributs!$CW$2:$CW$18,Attributs!$W$2:$W$18))/((SQRT(SUMSQ(Attributs!$CV$2:$CV$18)+SUMSQ(Attributs!$CW$2:$CW$18)))*(SQRT(SUMSQ(Attributs!$V$2:$V$18)+SUMSQ(Attributs!$W$2:$W$18)))),0)</f>
        <v/>
      </c>
      <c r="M51" s="2">
        <f>IFERROR((SUMPRODUCT(Attributs!$CV$2:$CV$18,Attributs!$X$2:$X$18)+SUMPRODUCT(Attributs!$CW$2:$CW$18,Attributs!$Y$2:$Y$18))/((SQRT(SUMSQ(Attributs!$CV$2:$CV$18)+SUMSQ(Attributs!$CW$2:$CW$18)))*(SQRT(SUMSQ(Attributs!$X$2:$X$18)+SUMSQ(Attributs!$Y$2:$Y$18)))),0)</f>
        <v/>
      </c>
      <c r="N51" s="2">
        <f>IFERROR((SUMPRODUCT(Attributs!$CV$2:$CV$18,Attributs!$Z$2:$Z$18)+SUMPRODUCT(Attributs!$CW$2:$CW$18,Attributs!$AA$2:$AA$18))/((SQRT(SUMSQ(Attributs!$CV$2:$CV$18)+SUMSQ(Attributs!$CW$2:$CW$18)))*(SQRT(SUMSQ(Attributs!$Z$2:$Z$18)+SUMSQ(Attributs!$AA$2:$AA$18)))),0)</f>
        <v/>
      </c>
      <c r="O51" s="2">
        <f>IFERROR((SUMPRODUCT(Attributs!$CV$2:$CV$18,Attributs!$AB$2:$AB$18)+SUMPRODUCT(Attributs!$CW$2:$CW$18,Attributs!$AC$2:$AC$18))/((SQRT(SUMSQ(Attributs!$CV$2:$CV$18)+SUMSQ(Attributs!$CW$2:$CW$18)))*(SQRT(SUMSQ(Attributs!$AB$2:$AB$18)+SUMSQ(Attributs!$AC$2:$AC$18)))),0)</f>
        <v/>
      </c>
      <c r="P51" s="2">
        <f>IFERROR((SUMPRODUCT(Attributs!$CV$2:$CV$18,Attributs!$AD$2:$AD$18)+SUMPRODUCT(Attributs!$CW$2:$CW$18,Attributs!$AE$2:$AE$18))/((SQRT(SUMSQ(Attributs!$CV$2:$CV$18)+SUMSQ(Attributs!$CW$2:$CW$18)))*(SQRT(SUMSQ(Attributs!$AD$2:$AD$18)+SUMSQ(Attributs!$AE$2:$AE$18)))),0)</f>
        <v/>
      </c>
      <c r="Q51" s="2">
        <f>IFERROR((SUMPRODUCT(Attributs!$CV$2:$CV$18,Attributs!$AF$2:$AF$18)+SUMPRODUCT(Attributs!$CW$2:$CW$18,Attributs!$AG$2:$AG$18))/((SQRT(SUMSQ(Attributs!$CV$2:$CV$18)+SUMSQ(Attributs!$CW$2:$CW$18)))*(SQRT(SUMSQ(Attributs!$AF$2:$AF$18)+SUMSQ(Attributs!$AG$2:$AG$18)))),0)</f>
        <v/>
      </c>
      <c r="R51" s="2">
        <f>IFERROR((SUMPRODUCT(Attributs!$CV$2:$CV$18,Attributs!$AH$2:$AH$18)+SUMPRODUCT(Attributs!$CW$2:$CW$18,Attributs!$AI$2:$AI$18))/((SQRT(SUMSQ(Attributs!$CV$2:$CV$18)+SUMSQ(Attributs!$CW$2:$CW$18)))*(SQRT(SUMSQ(Attributs!$AH$2:$AH$18)+SUMSQ(Attributs!$AI$2:$AI$18)))),0)</f>
        <v/>
      </c>
      <c r="S51" s="2">
        <f>IFERROR((SUMPRODUCT(Attributs!$CV$2:$CV$18,Attributs!$AJ$2:$AJ$18)+SUMPRODUCT(Attributs!$CW$2:$CW$18,Attributs!$AK$2:$AK$18))/((SQRT(SUMSQ(Attributs!$CV$2:$CV$18)+SUMSQ(Attributs!$CW$2:$CW$18)))*(SQRT(SUMSQ(Attributs!$AJ$2:$AJ$18)+SUMSQ(Attributs!$AK$2:$AK$18)))),0)</f>
        <v/>
      </c>
      <c r="T51" s="2">
        <f>IFERROR((SUMPRODUCT(Attributs!$CV$2:$CV$18,Attributs!$AL$2:$AL$18)+SUMPRODUCT(Attributs!$CW$2:$CW$18,Attributs!$AM$2:$AM$18))/((SQRT(SUMSQ(Attributs!$CV$2:$CV$18)+SUMSQ(Attributs!$CW$2:$CW$18)))*(SQRT(SUMSQ(Attributs!$AL$2:$AL$18)+SUMSQ(Attributs!$AM$2:$AM$18)))),0)</f>
        <v/>
      </c>
      <c r="U51" s="2">
        <f>IFERROR((SUMPRODUCT(Attributs!$CV$2:$CV$18,Attributs!$AN$2:$AN$18)+SUMPRODUCT(Attributs!$CW$2:$CW$18,Attributs!$AO$2:$AO$18))/((SQRT(SUMSQ(Attributs!$CV$2:$CV$18)+SUMSQ(Attributs!$CW$2:$CW$18)))*(SQRT(SUMSQ(Attributs!$AN$2:$AN$18)+SUMSQ(Attributs!$AO$2:$AO$18)))),0)</f>
        <v/>
      </c>
      <c r="V51" s="2">
        <f>IFERROR((SUMPRODUCT(Attributs!$CV$2:$CV$18,Attributs!$AP$2:$AP$18)+SUMPRODUCT(Attributs!$CW$2:$CW$18,Attributs!$AQ$2:$AQ$18))/((SQRT(SUMSQ(Attributs!$CV$2:$CV$18)+SUMSQ(Attributs!$CW$2:$CW$18)))*(SQRT(SUMSQ(Attributs!$AP$2:$AP$18)+SUMSQ(Attributs!$AQ$2:$AQ$18)))),0)</f>
        <v/>
      </c>
      <c r="W51" s="2">
        <f>IFERROR((SUMPRODUCT(Attributs!$CV$2:$CV$18,Attributs!$AR$2:$AR$18)+SUMPRODUCT(Attributs!$CW$2:$CW$18,Attributs!$AS$2:$AS$18))/((SQRT(SUMSQ(Attributs!$CV$2:$CV$18)+SUMSQ(Attributs!$CW$2:$CW$18)))*(SQRT(SUMSQ(Attributs!$AR$2:$AR$18)+SUMSQ(Attributs!$AS$2:$AS$18)))),0)</f>
        <v/>
      </c>
      <c r="X51" s="2">
        <f>IFERROR((SUMPRODUCT(Attributs!$CV$2:$CV$18,Attributs!$AT$2:$AT$18)+SUMPRODUCT(Attributs!$CW$2:$CW$18,Attributs!$AU$2:$AU$18))/((SQRT(SUMSQ(Attributs!$CV$2:$CV$18)+SUMSQ(Attributs!$CW$2:$CW$18)))*(SQRT(SUMSQ(Attributs!$AT$2:$AT$18)+SUMSQ(Attributs!$AU$2:$AU$18)))),0)</f>
        <v/>
      </c>
      <c r="Y51" s="2">
        <f>IFERROR((SUMPRODUCT(Attributs!$CV$2:$CV$18,Attributs!$AV$2:$AV$18)+SUMPRODUCT(Attributs!$CW$2:$CW$18,Attributs!$AW$2:$AW$18))/((SQRT(SUMSQ(Attributs!$CV$2:$CV$18)+SUMSQ(Attributs!$CW$2:$CW$18)))*(SQRT(SUMSQ(Attributs!$AV$2:$AV$18)+SUMSQ(Attributs!$AW$2:$AW$18)))),0)</f>
        <v/>
      </c>
      <c r="Z51" s="2">
        <f>IFERROR((SUMPRODUCT(Attributs!$CV$2:$CV$18,Attributs!$AX$2:$AX$18)+SUMPRODUCT(Attributs!$CW$2:$CW$18,Attributs!$AY$2:$AY$18))/((SQRT(SUMSQ(Attributs!$CV$2:$CV$18)+SUMSQ(Attributs!$CW$2:$CW$18)))*(SQRT(SUMSQ(Attributs!$AX$2:$AX$18)+SUMSQ(Attributs!$AY$2:$AY$18)))),0)</f>
        <v/>
      </c>
      <c r="AA51" s="2">
        <f>IFERROR((SUMPRODUCT(Attributs!$CV$2:$CV$18,Attributs!$AZ$2:$AZ$18)+SUMPRODUCT(Attributs!$CW$2:$CW$18,Attributs!$BA$2:$BA$18))/((SQRT(SUMSQ(Attributs!$CV$2:$CV$18)+SUMSQ(Attributs!$CW$2:$CW$18)))*(SQRT(SUMSQ(Attributs!$AZ$2:$AZ$18)+SUMSQ(Attributs!$BA$2:$BA$18)))),0)</f>
        <v/>
      </c>
      <c r="AB51" s="2">
        <f>IFERROR((SUMPRODUCT(Attributs!$CV$2:$CV$18,Attributs!$BB$2:$BB$18)+SUMPRODUCT(Attributs!$CW$2:$CW$18,Attributs!$BC$2:$BC$18))/((SQRT(SUMSQ(Attributs!$CV$2:$CV$18)+SUMSQ(Attributs!$CW$2:$CW$18)))*(SQRT(SUMSQ(Attributs!$BB$2:$BB$18)+SUMSQ(Attributs!$BC$2:$BC$18)))),0)</f>
        <v/>
      </c>
      <c r="AC51" s="2">
        <f>IFERROR((SUMPRODUCT(Attributs!$CV$2:$CV$18,Attributs!$BD$2:$BD$18)+SUMPRODUCT(Attributs!$CW$2:$CW$18,Attributs!$BE$2:$BE$18))/((SQRT(SUMSQ(Attributs!$CV$2:$CV$18)+SUMSQ(Attributs!$CW$2:$CW$18)))*(SQRT(SUMSQ(Attributs!$BD$2:$BD$18)+SUMSQ(Attributs!$BE$2:$BE$18)))),0)</f>
        <v/>
      </c>
      <c r="AD51" s="2">
        <f>IFERROR((SUMPRODUCT(Attributs!$CV$2:$CV$18,Attributs!$BF$2:$BF$18)+SUMPRODUCT(Attributs!$CW$2:$CW$18,Attributs!$BG$2:$BG$18))/((SQRT(SUMSQ(Attributs!$CV$2:$CV$18)+SUMSQ(Attributs!$CW$2:$CW$18)))*(SQRT(SUMSQ(Attributs!$BF$2:$BF$18)+SUMSQ(Attributs!$BG$2:$BG$18)))),0)</f>
        <v/>
      </c>
      <c r="AE51" s="2">
        <f>IFERROR((SUMPRODUCT(Attributs!$CV$2:$CV$18,Attributs!$BH$2:$BH$18)+SUMPRODUCT(Attributs!$CW$2:$CW$18,Attributs!$BI$2:$BI$18))/((SQRT(SUMSQ(Attributs!$CV$2:$CV$18)+SUMSQ(Attributs!$CW$2:$CW$18)))*(SQRT(SUMSQ(Attributs!$BH$2:$BH$18)+SUMSQ(Attributs!$BI$2:$BI$18)))),0)</f>
        <v/>
      </c>
      <c r="AF51" s="2">
        <f>IFERROR((SUMPRODUCT(Attributs!$CV$2:$CV$18,Attributs!$BJ$2:$BJ$18)+SUMPRODUCT(Attributs!$CW$2:$CW$18,Attributs!$BK$2:$BK$18))/((SQRT(SUMSQ(Attributs!$CV$2:$CV$18)+SUMSQ(Attributs!$CW$2:$CW$18)))*(SQRT(SUMSQ(Attributs!$BJ$2:$BJ$18)+SUMSQ(Attributs!$BK$2:$BK$18)))),0)</f>
        <v/>
      </c>
      <c r="AG51" s="2">
        <f>IFERROR((SUMPRODUCT(Attributs!$CV$2:$CV$18,Attributs!$BL$2:$BL$18)+SUMPRODUCT(Attributs!$CW$2:$CW$18,Attributs!$BM$2:$BM$18))/((SQRT(SUMSQ(Attributs!$CV$2:$CV$18)+SUMSQ(Attributs!$CW$2:$CW$18)))*(SQRT(SUMSQ(Attributs!$BL$2:$BL$18)+SUMSQ(Attributs!$BM$2:$BM$18)))),0)</f>
        <v/>
      </c>
      <c r="AH51" s="2">
        <f>IFERROR((SUMPRODUCT(Attributs!$CV$2:$CV$18,Attributs!$BN$2:$BN$18)+SUMPRODUCT(Attributs!$CW$2:$CW$18,Attributs!$BO$2:$BO$18))/((SQRT(SUMSQ(Attributs!$CV$2:$CV$18)+SUMSQ(Attributs!$CW$2:$CW$18)))*(SQRT(SUMSQ(Attributs!$BN$2:$BN$18)+SUMSQ(Attributs!$BO$2:$BO$18)))),0)</f>
        <v/>
      </c>
      <c r="AI51" s="2">
        <f>IFERROR((SUMPRODUCT(Attributs!$CV$2:$CV$18,Attributs!$BP$2:$BP$18)+SUMPRODUCT(Attributs!$CW$2:$CW$18,Attributs!$BQ$2:$BQ$18))/((SQRT(SUMSQ(Attributs!$CV$2:$CV$18)+SUMSQ(Attributs!$CW$2:$CW$18)))*(SQRT(SUMSQ(Attributs!$BP$2:$BP$18)+SUMSQ(Attributs!$BQ$2:$BQ$18)))),0)</f>
        <v/>
      </c>
      <c r="AJ51" s="2">
        <f>IFERROR((SUMPRODUCT(Attributs!$CV$2:$CV$18,Attributs!$BR$2:$BR$18)+SUMPRODUCT(Attributs!$CW$2:$CW$18,Attributs!$BS$2:$BS$18))/((SQRT(SUMSQ(Attributs!$CV$2:$CV$18)+SUMSQ(Attributs!$CW$2:$CW$18)))*(SQRT(SUMSQ(Attributs!$BR$2:$BR$18)+SUMSQ(Attributs!$BS$2:$BS$18)))),0)</f>
        <v/>
      </c>
      <c r="AK51" s="2">
        <f>IFERROR((SUMPRODUCT(Attributs!$CV$2:$CV$18,Attributs!$BT$2:$BT$18)+SUMPRODUCT(Attributs!$CW$2:$CW$18,Attributs!$BU$2:$BU$18))/((SQRT(SUMSQ(Attributs!$CV$2:$CV$18)+SUMSQ(Attributs!$CW$2:$CW$18)))*(SQRT(SUMSQ(Attributs!$BT$2:$BT$18)+SUMSQ(Attributs!$BU$2:$BU$18)))),0)</f>
        <v/>
      </c>
      <c r="AL51" s="2">
        <f>IFERROR((SUMPRODUCT(Attributs!$CV$2:$CV$18,Attributs!$BV$2:$BV$18)+SUMPRODUCT(Attributs!$CW$2:$CW$18,Attributs!$BW$2:$BW$18))/((SQRT(SUMSQ(Attributs!$CV$2:$CV$18)+SUMSQ(Attributs!$CW$2:$CW$18)))*(SQRT(SUMSQ(Attributs!$BV$2:$BV$18)+SUMSQ(Attributs!$BW$2:$BW$18)))),0)</f>
        <v/>
      </c>
      <c r="AM51" s="2">
        <f>IFERROR((SUMPRODUCT(Attributs!$CV$2:$CV$18,Attributs!$BX$2:$BX$18)+SUMPRODUCT(Attributs!$CW$2:$CW$18,Attributs!$BY$2:$BY$18))/((SQRT(SUMSQ(Attributs!$CV$2:$CV$18)+SUMSQ(Attributs!$CW$2:$CW$18)))*(SQRT(SUMSQ(Attributs!$BX$2:$BX$18)+SUMSQ(Attributs!$BY$2:$BY$18)))),0)</f>
        <v/>
      </c>
      <c r="AN51" s="2">
        <f>IFERROR((SUMPRODUCT(Attributs!$CV$2:$CV$18,Attributs!$BZ$2:$BZ$18)+SUMPRODUCT(Attributs!$CW$2:$CW$18,Attributs!$CA$2:$CA$18))/((SQRT(SUMSQ(Attributs!$CV$2:$CV$18)+SUMSQ(Attributs!$CW$2:$CW$18)))*(SQRT(SUMSQ(Attributs!$BZ$2:$BZ$18)+SUMSQ(Attributs!$CA$2:$CA$18)))),0)</f>
        <v/>
      </c>
      <c r="AO51" s="2">
        <f>IFERROR((SUMPRODUCT(Attributs!$CV$2:$CV$18,Attributs!$CB$2:$CB$18)+SUMPRODUCT(Attributs!$CW$2:$CW$18,Attributs!$CC$2:$CC$18))/((SQRT(SUMSQ(Attributs!$CV$2:$CV$18)+SUMSQ(Attributs!$CW$2:$CW$18)))*(SQRT(SUMSQ(Attributs!$CB$2:$CB$18)+SUMSQ(Attributs!$CC$2:$CC$18)))),0)</f>
        <v/>
      </c>
      <c r="AP51" s="2">
        <f>IFERROR((SUMPRODUCT(Attributs!$CV$2:$CV$18,Attributs!$CD$2:$CD$18)+SUMPRODUCT(Attributs!$CW$2:$CW$18,Attributs!$CE$2:$CE$18))/((SQRT(SUMSQ(Attributs!$CV$2:$CV$18)+SUMSQ(Attributs!$CW$2:$CW$18)))*(SQRT(SUMSQ(Attributs!$CD$2:$CD$18)+SUMSQ(Attributs!$CE$2:$CE$18)))),0)</f>
        <v/>
      </c>
      <c r="AQ51" s="2">
        <f>IFERROR((SUMPRODUCT(Attributs!$CV$2:$CV$18,Attributs!$CF$2:$CF$18)+SUMPRODUCT(Attributs!$CW$2:$CW$18,Attributs!$CG$2:$CG$18))/((SQRT(SUMSQ(Attributs!$CV$2:$CV$18)+SUMSQ(Attributs!$CW$2:$CW$18)))*(SQRT(SUMSQ(Attributs!$CF$2:$CF$18)+SUMSQ(Attributs!$CG$2:$CG$18)))),0)</f>
        <v/>
      </c>
      <c r="AR51" s="2">
        <f>IFERROR((SUMPRODUCT(Attributs!$CV$2:$CV$18,Attributs!$CH$2:$CH$18)+SUMPRODUCT(Attributs!$CW$2:$CW$18,Attributs!$CI$2:$CI$18))/((SQRT(SUMSQ(Attributs!$CV$2:$CV$18)+SUMSQ(Attributs!$CW$2:$CW$18)))*(SQRT(SUMSQ(Attributs!$CH$2:$CH$18)+SUMSQ(Attributs!$CI$2:$CI$18)))),0)</f>
        <v/>
      </c>
      <c r="AS51" s="2">
        <f>IFERROR((SUMPRODUCT(Attributs!$CV$2:$CV$18,Attributs!$CJ$2:$CJ$18)+SUMPRODUCT(Attributs!$CW$2:$CW$18,Attributs!$CK$2:$CK$18))/((SQRT(SUMSQ(Attributs!$CV$2:$CV$18)+SUMSQ(Attributs!$CW$2:$CW$18)))*(SQRT(SUMSQ(Attributs!$CJ$2:$CJ$18)+SUMSQ(Attributs!$CK$2:$CK$18)))),0)</f>
        <v/>
      </c>
      <c r="AT51" s="2">
        <f>IFERROR((SUMPRODUCT(Attributs!$CV$2:$CV$18,Attributs!$CL$2:$CL$18)+SUMPRODUCT(Attributs!$CW$2:$CW$18,Attributs!$CM$2:$CM$18))/((SQRT(SUMSQ(Attributs!$CV$2:$CV$18)+SUMSQ(Attributs!$CW$2:$CW$18)))*(SQRT(SUMSQ(Attributs!$CL$2:$CL$18)+SUMSQ(Attributs!$CM$2:$CM$18)))),0)</f>
        <v/>
      </c>
      <c r="AU51" s="2">
        <f>IFERROR((SUMPRODUCT(Attributs!$CV$2:$CV$18,Attributs!$CN$2:$CN$18)+SUMPRODUCT(Attributs!$CW$2:$CW$18,Attributs!$CO$2:$CO$18))/((SQRT(SUMSQ(Attributs!$CV$2:$CV$18)+SUMSQ(Attributs!$CW$2:$CW$18)))*(SQRT(SUMSQ(Attributs!$CN$2:$CN$18)+SUMSQ(Attributs!$CO$2:$CO$18)))),0)</f>
        <v/>
      </c>
      <c r="AV51" s="2">
        <f>IFERROR((SUMPRODUCT(Attributs!$CV$2:$CV$18,Attributs!$CP$2:$CP$18)+SUMPRODUCT(Attributs!$CW$2:$CW$18,Attributs!$CQ$2:$CQ$18))/((SQRT(SUMSQ(Attributs!$CV$2:$CV$18)+SUMSQ(Attributs!$CW$2:$CW$18)))*(SQRT(SUMSQ(Attributs!$CP$2:$CP$18)+SUMSQ(Attributs!$CQ$2:$CQ$18)))),0)</f>
        <v/>
      </c>
      <c r="AW51" s="2">
        <f>IFERROR((SUMPRODUCT(Attributs!$CV$2:$CV$18,Attributs!$CR$2:$CR$18)+SUMPRODUCT(Attributs!$CW$2:$CW$18,Attributs!$CS$2:$CS$18))/((SQRT(SUMSQ(Attributs!$CV$2:$CV$18)+SUMSQ(Attributs!$CW$2:$CW$18)))*(SQRT(SUMSQ(Attributs!$CR$2:$CR$18)+SUMSQ(Attributs!$CS$2:$CS$18)))),0)</f>
        <v/>
      </c>
      <c r="AX51" s="2">
        <f>IFERROR((SUMPRODUCT(Attributs!$CV$2:$CV$18,Attributs!$CT$2:$CT$18)+SUMPRODUCT(Attributs!$CW$2:$CW$18,Attributs!$CU$2:$CU$18))/((SQRT(SUMSQ(Attributs!$CV$2:$CV$18)+SUMSQ(Attributs!$CW$2:$CW$18)))*(SQRT(SUMSQ(Attributs!$CT$2:$CT$18)+SUMSQ(Attributs!$CU$2:$CU$18)))),0)</f>
        <v/>
      </c>
      <c r="AY51" s="2">
        <f>IFERROR((SUMPRODUCT(Attributs!$CV$2:$CV$18,Attributs!$CV$2:$CV$18)+SUMPRODUCT(Attributs!$CW$2:$CW$18,Attributs!$CW$2:$CW$18))/((SQRT(SUMSQ(Attributs!$CV$2:$CV$18)+SUMSQ(Attributs!$CW$2:$CW$18)))*(SQRT(SUMSQ(Attributs!$CV$2:$CV$18)+SUMSQ(Attributs!$CW$2:$CW$18)))),0)</f>
        <v/>
      </c>
      <c r="AZ51" s="2">
        <f>IFERROR((SUMPRODUCT(Attributs!$CV$2:$CV$18,Attributs!$CX$2:$CX$18)+SUMPRODUCT(Attributs!$CW$2:$CW$18,Attributs!$CY$2:$CY$18))/((SQRT(SUMSQ(Attributs!$CV$2:$CV$18)+SUMSQ(Attributs!$CW$2:$CW$18)))*(SQRT(SUMSQ(Attributs!$CX$2:$CX$18)+SUMSQ(Attributs!$CY$2:$CY$18)))),0)</f>
        <v/>
      </c>
      <c r="BA51" s="2">
        <f>IFERROR((SUMPRODUCT(Attributs!$CV$2:$CV$18,Attributs!$CZ$2:$CZ$18)+SUMPRODUCT(Attributs!$CW$2:$CW$18,Attributs!$DA$2:$DA$18))/((SQRT(SUMSQ(Attributs!$CV$2:$CV$18)+SUMSQ(Attributs!$CW$2:$CW$18)))*(SQRT(SUMSQ(Attributs!$CZ$2:$CZ$18)+SUMSQ(Attributs!$DA$2:$DA$18)))),0)</f>
        <v/>
      </c>
      <c r="BB51" s="2">
        <f>IFERROR((SUMPRODUCT(Attributs!$CV$2:$CV$18,Attributs!$DB$2:$DB$18)+SUMPRODUCT(Attributs!$CW$2:$CW$18,Attributs!$DC$2:$DC$18))/((SQRT(SUMSQ(Attributs!$CV$2:$CV$18)+SUMSQ(Attributs!$CW$2:$CW$18)))*(SQRT(SUMSQ(Attributs!$DB$2:$DB$18)+SUMSQ(Attributs!$DC$2:$DC$18)))),0)</f>
        <v/>
      </c>
      <c r="BC51" s="2">
        <f>IFERROR((SUMPRODUCT(Attributs!$CV$2:$CV$18,Attributs!$DD$2:$DD$18)+SUMPRODUCT(Attributs!$CW$2:$CW$18,Attributs!$DE$2:$DE$18))/((SQRT(SUMSQ(Attributs!$CV$2:$CV$18)+SUMSQ(Attributs!$CW$2:$CW$18)))*(SQRT(SUMSQ(Attributs!$DD$2:$DD$18)+SUMSQ(Attributs!$DE$2:$DE$18)))),0)</f>
        <v/>
      </c>
      <c r="BD51" s="2">
        <f>IFERROR((SUMPRODUCT(Attributs!$CV$2:$CV$18,Attributs!$DF$2:$DF$18)+SUMPRODUCT(Attributs!$CW$2:$CW$18,Attributs!$DG$2:$DG$18))/((SQRT(SUMSQ(Attributs!$CV$2:$CV$18)+SUMSQ(Attributs!$CW$2:$CW$18)))*(SQRT(SUMSQ(Attributs!$DF$2:$DF$18)+SUMSQ(Attributs!$DG$2:$DG$18)))),0)</f>
        <v/>
      </c>
      <c r="BE51" s="2">
        <f>IFERROR((SUMPRODUCT(Attributs!$CV$2:$CV$18,Attributs!$DH$2:$DH$18)+SUMPRODUCT(Attributs!$CW$2:$CW$18,Attributs!$DI$2:$DI$18))/((SQRT(SUMSQ(Attributs!$CV$2:$CV$18)+SUMSQ(Attributs!$CW$2:$CW$18)))*(SQRT(SUMSQ(Attributs!$DH$2:$DH$18)+SUMSQ(Attributs!$DI$2:$DI$18)))),0)</f>
        <v/>
      </c>
      <c r="BF51" s="2">
        <f>IFERROR((SUMPRODUCT(Attributs!$CV$2:$CV$18,Attributs!$DJ$2:$DJ$18)+SUMPRODUCT(Attributs!$CW$2:$CW$18,Attributs!$DK$2:$DK$18))/((SQRT(SUMSQ(Attributs!$CV$2:$CV$18)+SUMSQ(Attributs!$CW$2:$CW$18)))*(SQRT(SUMSQ(Attributs!$DJ$2:$DJ$18)+SUMSQ(Attributs!$DK$2:$DK$18)))),0)</f>
        <v/>
      </c>
      <c r="BG51" s="2">
        <f>IFERROR((SUMPRODUCT(Attributs!$CV$2:$CV$18,Attributs!$DL$2:$DL$18)+SUMPRODUCT(Attributs!$CW$2:$CW$18,Attributs!$DM$2:$DM$18))/((SQRT(SUMSQ(Attributs!$CV$2:$CV$18)+SUMSQ(Attributs!$CW$2:$CW$18)))*(SQRT(SUMSQ(Attributs!$DL$2:$DL$18)+SUMSQ(Attributs!$DM$2:$DM$18)))),0)</f>
        <v/>
      </c>
      <c r="BH51" s="2">
        <f>IFERROR((SUMPRODUCT(Attributs!$CV$2:$CV$18,Attributs!$DN$2:$DN$18)+SUMPRODUCT(Attributs!$CW$2:$CW$18,Attributs!$DO$2:$DO$18))/((SQRT(SUMSQ(Attributs!$CV$2:$CV$18)+SUMSQ(Attributs!$CW$2:$CW$18)))*(SQRT(SUMSQ(Attributs!$DN$2:$DN$18)+SUMSQ(Attributs!$DO$2:$DO$18)))),0)</f>
        <v/>
      </c>
      <c r="BI51" s="2">
        <f>IFERROR((SUMPRODUCT(Attributs!$CV$2:$CV$18,Attributs!$DP$2:$DP$18)+SUMPRODUCT(Attributs!$CW$2:$CW$18,Attributs!$DQ$2:$DQ$18))/((SQRT(SUMSQ(Attributs!$CV$2:$CV$18)+SUMSQ(Attributs!$CW$2:$CW$18)))*(SQRT(SUMSQ(Attributs!$DP$2:$DP$18)+SUMSQ(Attributs!$DQ$2:$DQ$18)))),0)</f>
        <v/>
      </c>
      <c r="BJ51" s="2">
        <f>IFERROR((SUMPRODUCT(Attributs!$CV$2:$CV$18,Attributs!$DR$2:$DR$18)+SUMPRODUCT(Attributs!$CW$2:$CW$18,Attributs!$DS$2:$DS$18))/((SQRT(SUMSQ(Attributs!$CV$2:$CV$18)+SUMSQ(Attributs!$CW$2:$CW$18)))*(SQRT(SUMSQ(Attributs!$DR$2:$DR$18)+SUMSQ(Attributs!$DS$2:$DS$18)))),0)</f>
        <v/>
      </c>
      <c r="BK51" s="2">
        <f>IFERROR((SUMPRODUCT(Attributs!$CV$2:$CV$18,Attributs!$DT$2:$DT$18)+SUMPRODUCT(Attributs!$CW$2:$CW$18,Attributs!$DU$2:$DU$18))/((SQRT(SUMSQ(Attributs!$CV$2:$CV$18)+SUMSQ(Attributs!$CW$2:$CW$18)))*(SQRT(SUMSQ(Attributs!$DT$2:$DT$18)+SUMSQ(Attributs!$DU$2:$DU$18)))),0)</f>
        <v/>
      </c>
      <c r="BL51" s="2">
        <f>IFERROR((SUMPRODUCT(Attributs!$CV$2:$CV$18,Attributs!$DV$2:$DV$18)+SUMPRODUCT(Attributs!$CW$2:$CW$18,Attributs!$DW$2:$DW$18))/((SQRT(SUMSQ(Attributs!$CV$2:$CV$18)+SUMSQ(Attributs!$CW$2:$CW$18)))*(SQRT(SUMSQ(Attributs!$DV$2:$DV$18)+SUMSQ(Attributs!$DW$2:$DW$18)))),0)</f>
        <v/>
      </c>
    </row>
    <row r="52">
      <c r="A52" s="3" t="inlineStr">
        <is>
          <t>SE_neo4j.Posts.acceptedanswerid</t>
        </is>
      </c>
      <c r="B52" s="2">
        <f>IFERROR((SUMPRODUCT(Attributs!$CX$2:$CX$18,Attributs!$B$2:$B$18)+SUMPRODUCT(Attributs!$CY$2:$CY$18,Attributs!$C$2:$C$18))/((SQRT(SUMSQ(Attributs!$CX$2:$CX$18)+SUMSQ(Attributs!$CY$2:$CY$18)))*(SQRT(SUMSQ(Attributs!$B$2:$B$18)+SUMSQ(Attributs!$C$2:$C$18)))),0)</f>
        <v/>
      </c>
      <c r="C52" s="2">
        <f>IFERROR((SUMPRODUCT(Attributs!$CX$2:$CX$18,Attributs!$D$2:$D$18)+SUMPRODUCT(Attributs!$CY$2:$CY$18,Attributs!$E$2:$E$18))/((SQRT(SUMSQ(Attributs!$CX$2:$CX$18)+SUMSQ(Attributs!$CY$2:$CY$18)))*(SQRT(SUMSQ(Attributs!$D$2:$D$18)+SUMSQ(Attributs!$E$2:$E$18)))),0)</f>
        <v/>
      </c>
      <c r="D52" s="2">
        <f>IFERROR((SUMPRODUCT(Attributs!$CX$2:$CX$18,Attributs!$F$2:$F$18)+SUMPRODUCT(Attributs!$CY$2:$CY$18,Attributs!$G$2:$G$18))/((SQRT(SUMSQ(Attributs!$CX$2:$CX$18)+SUMSQ(Attributs!$CY$2:$CY$18)))*(SQRT(SUMSQ(Attributs!$F$2:$F$18)+SUMSQ(Attributs!$G$2:$G$18)))),0)</f>
        <v/>
      </c>
      <c r="E52" s="2">
        <f>IFERROR((SUMPRODUCT(Attributs!$CX$2:$CX$18,Attributs!$H$2:$H$18)+SUMPRODUCT(Attributs!$CY$2:$CY$18,Attributs!$I$2:$I$18))/((SQRT(SUMSQ(Attributs!$CX$2:$CX$18)+SUMSQ(Attributs!$CY$2:$CY$18)))*(SQRT(SUMSQ(Attributs!$H$2:$H$18)+SUMSQ(Attributs!$I$2:$I$18)))),0)</f>
        <v/>
      </c>
      <c r="F52" s="2">
        <f>IFERROR((SUMPRODUCT(Attributs!$CX$2:$CX$18,Attributs!$J$2:$J$18)+SUMPRODUCT(Attributs!$CY$2:$CY$18,Attributs!$K$2:$K$18))/((SQRT(SUMSQ(Attributs!$CX$2:$CX$18)+SUMSQ(Attributs!$CY$2:$CY$18)))*(SQRT(SUMSQ(Attributs!$J$2:$J$18)+SUMSQ(Attributs!$K$2:$K$18)))),0)</f>
        <v/>
      </c>
      <c r="G52" s="2">
        <f>IFERROR((SUMPRODUCT(Attributs!$CX$2:$CX$18,Attributs!$L$2:$L$18)+SUMPRODUCT(Attributs!$CY$2:$CY$18,Attributs!$M$2:$M$18))/((SQRT(SUMSQ(Attributs!$CX$2:$CX$18)+SUMSQ(Attributs!$CY$2:$CY$18)))*(SQRT(SUMSQ(Attributs!$L$2:$L$18)+SUMSQ(Attributs!$M$2:$M$18)))),0)</f>
        <v/>
      </c>
      <c r="H52" s="2">
        <f>IFERROR((SUMPRODUCT(Attributs!$CX$2:$CX$18,Attributs!$N$2:$N$18)+SUMPRODUCT(Attributs!$CY$2:$CY$18,Attributs!$O$2:$O$18))/((SQRT(SUMSQ(Attributs!$CX$2:$CX$18)+SUMSQ(Attributs!$CY$2:$CY$18)))*(SQRT(SUMSQ(Attributs!$N$2:$N$18)+SUMSQ(Attributs!$O$2:$O$18)))),0)</f>
        <v/>
      </c>
      <c r="I52" s="2">
        <f>IFERROR((SUMPRODUCT(Attributs!$CX$2:$CX$18,Attributs!$P$2:$P$18)+SUMPRODUCT(Attributs!$CY$2:$CY$18,Attributs!$Q$2:$Q$18))/((SQRT(SUMSQ(Attributs!$CX$2:$CX$18)+SUMSQ(Attributs!$CY$2:$CY$18)))*(SQRT(SUMSQ(Attributs!$P$2:$P$18)+SUMSQ(Attributs!$Q$2:$Q$18)))),0)</f>
        <v/>
      </c>
      <c r="J52" s="2">
        <f>IFERROR((SUMPRODUCT(Attributs!$CX$2:$CX$18,Attributs!$R$2:$R$18)+SUMPRODUCT(Attributs!$CY$2:$CY$18,Attributs!$S$2:$S$18))/((SQRT(SUMSQ(Attributs!$CX$2:$CX$18)+SUMSQ(Attributs!$CY$2:$CY$18)))*(SQRT(SUMSQ(Attributs!$R$2:$R$18)+SUMSQ(Attributs!$S$2:$S$18)))),0)</f>
        <v/>
      </c>
      <c r="K52" s="2">
        <f>IFERROR((SUMPRODUCT(Attributs!$CX$2:$CX$18,Attributs!$T$2:$T$18)+SUMPRODUCT(Attributs!$CY$2:$CY$18,Attributs!$U$2:$U$18))/((SQRT(SUMSQ(Attributs!$CX$2:$CX$18)+SUMSQ(Attributs!$CY$2:$CY$18)))*(SQRT(SUMSQ(Attributs!$T$2:$T$18)+SUMSQ(Attributs!$U$2:$U$18)))),0)</f>
        <v/>
      </c>
      <c r="L52" s="2">
        <f>IFERROR((SUMPRODUCT(Attributs!$CX$2:$CX$18,Attributs!$V$2:$V$18)+SUMPRODUCT(Attributs!$CY$2:$CY$18,Attributs!$W$2:$W$18))/((SQRT(SUMSQ(Attributs!$CX$2:$CX$18)+SUMSQ(Attributs!$CY$2:$CY$18)))*(SQRT(SUMSQ(Attributs!$V$2:$V$18)+SUMSQ(Attributs!$W$2:$W$18)))),0)</f>
        <v/>
      </c>
      <c r="M52" s="2">
        <f>IFERROR((SUMPRODUCT(Attributs!$CX$2:$CX$18,Attributs!$X$2:$X$18)+SUMPRODUCT(Attributs!$CY$2:$CY$18,Attributs!$Y$2:$Y$18))/((SQRT(SUMSQ(Attributs!$CX$2:$CX$18)+SUMSQ(Attributs!$CY$2:$CY$18)))*(SQRT(SUMSQ(Attributs!$X$2:$X$18)+SUMSQ(Attributs!$Y$2:$Y$18)))),0)</f>
        <v/>
      </c>
      <c r="N52" s="2">
        <f>IFERROR((SUMPRODUCT(Attributs!$CX$2:$CX$18,Attributs!$Z$2:$Z$18)+SUMPRODUCT(Attributs!$CY$2:$CY$18,Attributs!$AA$2:$AA$18))/((SQRT(SUMSQ(Attributs!$CX$2:$CX$18)+SUMSQ(Attributs!$CY$2:$CY$18)))*(SQRT(SUMSQ(Attributs!$Z$2:$Z$18)+SUMSQ(Attributs!$AA$2:$AA$18)))),0)</f>
        <v/>
      </c>
      <c r="O52" s="2">
        <f>IFERROR((SUMPRODUCT(Attributs!$CX$2:$CX$18,Attributs!$AB$2:$AB$18)+SUMPRODUCT(Attributs!$CY$2:$CY$18,Attributs!$AC$2:$AC$18))/((SQRT(SUMSQ(Attributs!$CX$2:$CX$18)+SUMSQ(Attributs!$CY$2:$CY$18)))*(SQRT(SUMSQ(Attributs!$AB$2:$AB$18)+SUMSQ(Attributs!$AC$2:$AC$18)))),0)</f>
        <v/>
      </c>
      <c r="P52" s="2">
        <f>IFERROR((SUMPRODUCT(Attributs!$CX$2:$CX$18,Attributs!$AD$2:$AD$18)+SUMPRODUCT(Attributs!$CY$2:$CY$18,Attributs!$AE$2:$AE$18))/((SQRT(SUMSQ(Attributs!$CX$2:$CX$18)+SUMSQ(Attributs!$CY$2:$CY$18)))*(SQRT(SUMSQ(Attributs!$AD$2:$AD$18)+SUMSQ(Attributs!$AE$2:$AE$18)))),0)</f>
        <v/>
      </c>
      <c r="Q52" s="2">
        <f>IFERROR((SUMPRODUCT(Attributs!$CX$2:$CX$18,Attributs!$AF$2:$AF$18)+SUMPRODUCT(Attributs!$CY$2:$CY$18,Attributs!$AG$2:$AG$18))/((SQRT(SUMSQ(Attributs!$CX$2:$CX$18)+SUMSQ(Attributs!$CY$2:$CY$18)))*(SQRT(SUMSQ(Attributs!$AF$2:$AF$18)+SUMSQ(Attributs!$AG$2:$AG$18)))),0)</f>
        <v/>
      </c>
      <c r="R52" s="2">
        <f>IFERROR((SUMPRODUCT(Attributs!$CX$2:$CX$18,Attributs!$AH$2:$AH$18)+SUMPRODUCT(Attributs!$CY$2:$CY$18,Attributs!$AI$2:$AI$18))/((SQRT(SUMSQ(Attributs!$CX$2:$CX$18)+SUMSQ(Attributs!$CY$2:$CY$18)))*(SQRT(SUMSQ(Attributs!$AH$2:$AH$18)+SUMSQ(Attributs!$AI$2:$AI$18)))),0)</f>
        <v/>
      </c>
      <c r="S52" s="2">
        <f>IFERROR((SUMPRODUCT(Attributs!$CX$2:$CX$18,Attributs!$AJ$2:$AJ$18)+SUMPRODUCT(Attributs!$CY$2:$CY$18,Attributs!$AK$2:$AK$18))/((SQRT(SUMSQ(Attributs!$CX$2:$CX$18)+SUMSQ(Attributs!$CY$2:$CY$18)))*(SQRT(SUMSQ(Attributs!$AJ$2:$AJ$18)+SUMSQ(Attributs!$AK$2:$AK$18)))),0)</f>
        <v/>
      </c>
      <c r="T52" s="2">
        <f>IFERROR((SUMPRODUCT(Attributs!$CX$2:$CX$18,Attributs!$AL$2:$AL$18)+SUMPRODUCT(Attributs!$CY$2:$CY$18,Attributs!$AM$2:$AM$18))/((SQRT(SUMSQ(Attributs!$CX$2:$CX$18)+SUMSQ(Attributs!$CY$2:$CY$18)))*(SQRT(SUMSQ(Attributs!$AL$2:$AL$18)+SUMSQ(Attributs!$AM$2:$AM$18)))),0)</f>
        <v/>
      </c>
      <c r="U52" s="2">
        <f>IFERROR((SUMPRODUCT(Attributs!$CX$2:$CX$18,Attributs!$AN$2:$AN$18)+SUMPRODUCT(Attributs!$CY$2:$CY$18,Attributs!$AO$2:$AO$18))/((SQRT(SUMSQ(Attributs!$CX$2:$CX$18)+SUMSQ(Attributs!$CY$2:$CY$18)))*(SQRT(SUMSQ(Attributs!$AN$2:$AN$18)+SUMSQ(Attributs!$AO$2:$AO$18)))),0)</f>
        <v/>
      </c>
      <c r="V52" s="2">
        <f>IFERROR((SUMPRODUCT(Attributs!$CX$2:$CX$18,Attributs!$AP$2:$AP$18)+SUMPRODUCT(Attributs!$CY$2:$CY$18,Attributs!$AQ$2:$AQ$18))/((SQRT(SUMSQ(Attributs!$CX$2:$CX$18)+SUMSQ(Attributs!$CY$2:$CY$18)))*(SQRT(SUMSQ(Attributs!$AP$2:$AP$18)+SUMSQ(Attributs!$AQ$2:$AQ$18)))),0)</f>
        <v/>
      </c>
      <c r="W52" s="2">
        <f>IFERROR((SUMPRODUCT(Attributs!$CX$2:$CX$18,Attributs!$AR$2:$AR$18)+SUMPRODUCT(Attributs!$CY$2:$CY$18,Attributs!$AS$2:$AS$18))/((SQRT(SUMSQ(Attributs!$CX$2:$CX$18)+SUMSQ(Attributs!$CY$2:$CY$18)))*(SQRT(SUMSQ(Attributs!$AR$2:$AR$18)+SUMSQ(Attributs!$AS$2:$AS$18)))),0)</f>
        <v/>
      </c>
      <c r="X52" s="2">
        <f>IFERROR((SUMPRODUCT(Attributs!$CX$2:$CX$18,Attributs!$AT$2:$AT$18)+SUMPRODUCT(Attributs!$CY$2:$CY$18,Attributs!$AU$2:$AU$18))/((SQRT(SUMSQ(Attributs!$CX$2:$CX$18)+SUMSQ(Attributs!$CY$2:$CY$18)))*(SQRT(SUMSQ(Attributs!$AT$2:$AT$18)+SUMSQ(Attributs!$AU$2:$AU$18)))),0)</f>
        <v/>
      </c>
      <c r="Y52" s="2">
        <f>IFERROR((SUMPRODUCT(Attributs!$CX$2:$CX$18,Attributs!$AV$2:$AV$18)+SUMPRODUCT(Attributs!$CY$2:$CY$18,Attributs!$AW$2:$AW$18))/((SQRT(SUMSQ(Attributs!$CX$2:$CX$18)+SUMSQ(Attributs!$CY$2:$CY$18)))*(SQRT(SUMSQ(Attributs!$AV$2:$AV$18)+SUMSQ(Attributs!$AW$2:$AW$18)))),0)</f>
        <v/>
      </c>
      <c r="Z52" s="2">
        <f>IFERROR((SUMPRODUCT(Attributs!$CX$2:$CX$18,Attributs!$AX$2:$AX$18)+SUMPRODUCT(Attributs!$CY$2:$CY$18,Attributs!$AY$2:$AY$18))/((SQRT(SUMSQ(Attributs!$CX$2:$CX$18)+SUMSQ(Attributs!$CY$2:$CY$18)))*(SQRT(SUMSQ(Attributs!$AX$2:$AX$18)+SUMSQ(Attributs!$AY$2:$AY$18)))),0)</f>
        <v/>
      </c>
      <c r="AA52" s="2">
        <f>IFERROR((SUMPRODUCT(Attributs!$CX$2:$CX$18,Attributs!$AZ$2:$AZ$18)+SUMPRODUCT(Attributs!$CY$2:$CY$18,Attributs!$BA$2:$BA$18))/((SQRT(SUMSQ(Attributs!$CX$2:$CX$18)+SUMSQ(Attributs!$CY$2:$CY$18)))*(SQRT(SUMSQ(Attributs!$AZ$2:$AZ$18)+SUMSQ(Attributs!$BA$2:$BA$18)))),0)</f>
        <v/>
      </c>
      <c r="AB52" s="2">
        <f>IFERROR((SUMPRODUCT(Attributs!$CX$2:$CX$18,Attributs!$BB$2:$BB$18)+SUMPRODUCT(Attributs!$CY$2:$CY$18,Attributs!$BC$2:$BC$18))/((SQRT(SUMSQ(Attributs!$CX$2:$CX$18)+SUMSQ(Attributs!$CY$2:$CY$18)))*(SQRT(SUMSQ(Attributs!$BB$2:$BB$18)+SUMSQ(Attributs!$BC$2:$BC$18)))),0)</f>
        <v/>
      </c>
      <c r="AC52" s="2">
        <f>IFERROR((SUMPRODUCT(Attributs!$CX$2:$CX$18,Attributs!$BD$2:$BD$18)+SUMPRODUCT(Attributs!$CY$2:$CY$18,Attributs!$BE$2:$BE$18))/((SQRT(SUMSQ(Attributs!$CX$2:$CX$18)+SUMSQ(Attributs!$CY$2:$CY$18)))*(SQRT(SUMSQ(Attributs!$BD$2:$BD$18)+SUMSQ(Attributs!$BE$2:$BE$18)))),0)</f>
        <v/>
      </c>
      <c r="AD52" s="2">
        <f>IFERROR((SUMPRODUCT(Attributs!$CX$2:$CX$18,Attributs!$BF$2:$BF$18)+SUMPRODUCT(Attributs!$CY$2:$CY$18,Attributs!$BG$2:$BG$18))/((SQRT(SUMSQ(Attributs!$CX$2:$CX$18)+SUMSQ(Attributs!$CY$2:$CY$18)))*(SQRT(SUMSQ(Attributs!$BF$2:$BF$18)+SUMSQ(Attributs!$BG$2:$BG$18)))),0)</f>
        <v/>
      </c>
      <c r="AE52" s="2">
        <f>IFERROR((SUMPRODUCT(Attributs!$CX$2:$CX$18,Attributs!$BH$2:$BH$18)+SUMPRODUCT(Attributs!$CY$2:$CY$18,Attributs!$BI$2:$BI$18))/((SQRT(SUMSQ(Attributs!$CX$2:$CX$18)+SUMSQ(Attributs!$CY$2:$CY$18)))*(SQRT(SUMSQ(Attributs!$BH$2:$BH$18)+SUMSQ(Attributs!$BI$2:$BI$18)))),0)</f>
        <v/>
      </c>
      <c r="AF52" s="2">
        <f>IFERROR((SUMPRODUCT(Attributs!$CX$2:$CX$18,Attributs!$BJ$2:$BJ$18)+SUMPRODUCT(Attributs!$CY$2:$CY$18,Attributs!$BK$2:$BK$18))/((SQRT(SUMSQ(Attributs!$CX$2:$CX$18)+SUMSQ(Attributs!$CY$2:$CY$18)))*(SQRT(SUMSQ(Attributs!$BJ$2:$BJ$18)+SUMSQ(Attributs!$BK$2:$BK$18)))),0)</f>
        <v/>
      </c>
      <c r="AG52" s="2">
        <f>IFERROR((SUMPRODUCT(Attributs!$CX$2:$CX$18,Attributs!$BL$2:$BL$18)+SUMPRODUCT(Attributs!$CY$2:$CY$18,Attributs!$BM$2:$BM$18))/((SQRT(SUMSQ(Attributs!$CX$2:$CX$18)+SUMSQ(Attributs!$CY$2:$CY$18)))*(SQRT(SUMSQ(Attributs!$BL$2:$BL$18)+SUMSQ(Attributs!$BM$2:$BM$18)))),0)</f>
        <v/>
      </c>
      <c r="AH52" s="2">
        <f>IFERROR((SUMPRODUCT(Attributs!$CX$2:$CX$18,Attributs!$BN$2:$BN$18)+SUMPRODUCT(Attributs!$CY$2:$CY$18,Attributs!$BO$2:$BO$18))/((SQRT(SUMSQ(Attributs!$CX$2:$CX$18)+SUMSQ(Attributs!$CY$2:$CY$18)))*(SQRT(SUMSQ(Attributs!$BN$2:$BN$18)+SUMSQ(Attributs!$BO$2:$BO$18)))),0)</f>
        <v/>
      </c>
      <c r="AI52" s="2">
        <f>IFERROR((SUMPRODUCT(Attributs!$CX$2:$CX$18,Attributs!$BP$2:$BP$18)+SUMPRODUCT(Attributs!$CY$2:$CY$18,Attributs!$BQ$2:$BQ$18))/((SQRT(SUMSQ(Attributs!$CX$2:$CX$18)+SUMSQ(Attributs!$CY$2:$CY$18)))*(SQRT(SUMSQ(Attributs!$BP$2:$BP$18)+SUMSQ(Attributs!$BQ$2:$BQ$18)))),0)</f>
        <v/>
      </c>
      <c r="AJ52" s="2">
        <f>IFERROR((SUMPRODUCT(Attributs!$CX$2:$CX$18,Attributs!$BR$2:$BR$18)+SUMPRODUCT(Attributs!$CY$2:$CY$18,Attributs!$BS$2:$BS$18))/((SQRT(SUMSQ(Attributs!$CX$2:$CX$18)+SUMSQ(Attributs!$CY$2:$CY$18)))*(SQRT(SUMSQ(Attributs!$BR$2:$BR$18)+SUMSQ(Attributs!$BS$2:$BS$18)))),0)</f>
        <v/>
      </c>
      <c r="AK52" s="2">
        <f>IFERROR((SUMPRODUCT(Attributs!$CX$2:$CX$18,Attributs!$BT$2:$BT$18)+SUMPRODUCT(Attributs!$CY$2:$CY$18,Attributs!$BU$2:$BU$18))/((SQRT(SUMSQ(Attributs!$CX$2:$CX$18)+SUMSQ(Attributs!$CY$2:$CY$18)))*(SQRT(SUMSQ(Attributs!$BT$2:$BT$18)+SUMSQ(Attributs!$BU$2:$BU$18)))),0)</f>
        <v/>
      </c>
      <c r="AL52" s="2">
        <f>IFERROR((SUMPRODUCT(Attributs!$CX$2:$CX$18,Attributs!$BV$2:$BV$18)+SUMPRODUCT(Attributs!$CY$2:$CY$18,Attributs!$BW$2:$BW$18))/((SQRT(SUMSQ(Attributs!$CX$2:$CX$18)+SUMSQ(Attributs!$CY$2:$CY$18)))*(SQRT(SUMSQ(Attributs!$BV$2:$BV$18)+SUMSQ(Attributs!$BW$2:$BW$18)))),0)</f>
        <v/>
      </c>
      <c r="AM52" s="2">
        <f>IFERROR((SUMPRODUCT(Attributs!$CX$2:$CX$18,Attributs!$BX$2:$BX$18)+SUMPRODUCT(Attributs!$CY$2:$CY$18,Attributs!$BY$2:$BY$18))/((SQRT(SUMSQ(Attributs!$CX$2:$CX$18)+SUMSQ(Attributs!$CY$2:$CY$18)))*(SQRT(SUMSQ(Attributs!$BX$2:$BX$18)+SUMSQ(Attributs!$BY$2:$BY$18)))),0)</f>
        <v/>
      </c>
      <c r="AN52" s="2">
        <f>IFERROR((SUMPRODUCT(Attributs!$CX$2:$CX$18,Attributs!$BZ$2:$BZ$18)+SUMPRODUCT(Attributs!$CY$2:$CY$18,Attributs!$CA$2:$CA$18))/((SQRT(SUMSQ(Attributs!$CX$2:$CX$18)+SUMSQ(Attributs!$CY$2:$CY$18)))*(SQRT(SUMSQ(Attributs!$BZ$2:$BZ$18)+SUMSQ(Attributs!$CA$2:$CA$18)))),0)</f>
        <v/>
      </c>
      <c r="AO52" s="2">
        <f>IFERROR((SUMPRODUCT(Attributs!$CX$2:$CX$18,Attributs!$CB$2:$CB$18)+SUMPRODUCT(Attributs!$CY$2:$CY$18,Attributs!$CC$2:$CC$18))/((SQRT(SUMSQ(Attributs!$CX$2:$CX$18)+SUMSQ(Attributs!$CY$2:$CY$18)))*(SQRT(SUMSQ(Attributs!$CB$2:$CB$18)+SUMSQ(Attributs!$CC$2:$CC$18)))),0)</f>
        <v/>
      </c>
      <c r="AP52" s="2">
        <f>IFERROR((SUMPRODUCT(Attributs!$CX$2:$CX$18,Attributs!$CD$2:$CD$18)+SUMPRODUCT(Attributs!$CY$2:$CY$18,Attributs!$CE$2:$CE$18))/((SQRT(SUMSQ(Attributs!$CX$2:$CX$18)+SUMSQ(Attributs!$CY$2:$CY$18)))*(SQRT(SUMSQ(Attributs!$CD$2:$CD$18)+SUMSQ(Attributs!$CE$2:$CE$18)))),0)</f>
        <v/>
      </c>
      <c r="AQ52" s="2">
        <f>IFERROR((SUMPRODUCT(Attributs!$CX$2:$CX$18,Attributs!$CF$2:$CF$18)+SUMPRODUCT(Attributs!$CY$2:$CY$18,Attributs!$CG$2:$CG$18))/((SQRT(SUMSQ(Attributs!$CX$2:$CX$18)+SUMSQ(Attributs!$CY$2:$CY$18)))*(SQRT(SUMSQ(Attributs!$CF$2:$CF$18)+SUMSQ(Attributs!$CG$2:$CG$18)))),0)</f>
        <v/>
      </c>
      <c r="AR52" s="2">
        <f>IFERROR((SUMPRODUCT(Attributs!$CX$2:$CX$18,Attributs!$CH$2:$CH$18)+SUMPRODUCT(Attributs!$CY$2:$CY$18,Attributs!$CI$2:$CI$18))/((SQRT(SUMSQ(Attributs!$CX$2:$CX$18)+SUMSQ(Attributs!$CY$2:$CY$18)))*(SQRT(SUMSQ(Attributs!$CH$2:$CH$18)+SUMSQ(Attributs!$CI$2:$CI$18)))),0)</f>
        <v/>
      </c>
      <c r="AS52" s="2">
        <f>IFERROR((SUMPRODUCT(Attributs!$CX$2:$CX$18,Attributs!$CJ$2:$CJ$18)+SUMPRODUCT(Attributs!$CY$2:$CY$18,Attributs!$CK$2:$CK$18))/((SQRT(SUMSQ(Attributs!$CX$2:$CX$18)+SUMSQ(Attributs!$CY$2:$CY$18)))*(SQRT(SUMSQ(Attributs!$CJ$2:$CJ$18)+SUMSQ(Attributs!$CK$2:$CK$18)))),0)</f>
        <v/>
      </c>
      <c r="AT52" s="2">
        <f>IFERROR((SUMPRODUCT(Attributs!$CX$2:$CX$18,Attributs!$CL$2:$CL$18)+SUMPRODUCT(Attributs!$CY$2:$CY$18,Attributs!$CM$2:$CM$18))/((SQRT(SUMSQ(Attributs!$CX$2:$CX$18)+SUMSQ(Attributs!$CY$2:$CY$18)))*(SQRT(SUMSQ(Attributs!$CL$2:$CL$18)+SUMSQ(Attributs!$CM$2:$CM$18)))),0)</f>
        <v/>
      </c>
      <c r="AU52" s="2">
        <f>IFERROR((SUMPRODUCT(Attributs!$CX$2:$CX$18,Attributs!$CN$2:$CN$18)+SUMPRODUCT(Attributs!$CY$2:$CY$18,Attributs!$CO$2:$CO$18))/((SQRT(SUMSQ(Attributs!$CX$2:$CX$18)+SUMSQ(Attributs!$CY$2:$CY$18)))*(SQRT(SUMSQ(Attributs!$CN$2:$CN$18)+SUMSQ(Attributs!$CO$2:$CO$18)))),0)</f>
        <v/>
      </c>
      <c r="AV52" s="2">
        <f>IFERROR((SUMPRODUCT(Attributs!$CX$2:$CX$18,Attributs!$CP$2:$CP$18)+SUMPRODUCT(Attributs!$CY$2:$CY$18,Attributs!$CQ$2:$CQ$18))/((SQRT(SUMSQ(Attributs!$CX$2:$CX$18)+SUMSQ(Attributs!$CY$2:$CY$18)))*(SQRT(SUMSQ(Attributs!$CP$2:$CP$18)+SUMSQ(Attributs!$CQ$2:$CQ$18)))),0)</f>
        <v/>
      </c>
      <c r="AW52" s="2">
        <f>IFERROR((SUMPRODUCT(Attributs!$CX$2:$CX$18,Attributs!$CR$2:$CR$18)+SUMPRODUCT(Attributs!$CY$2:$CY$18,Attributs!$CS$2:$CS$18))/((SQRT(SUMSQ(Attributs!$CX$2:$CX$18)+SUMSQ(Attributs!$CY$2:$CY$18)))*(SQRT(SUMSQ(Attributs!$CR$2:$CR$18)+SUMSQ(Attributs!$CS$2:$CS$18)))),0)</f>
        <v/>
      </c>
      <c r="AX52" s="2">
        <f>IFERROR((SUMPRODUCT(Attributs!$CX$2:$CX$18,Attributs!$CT$2:$CT$18)+SUMPRODUCT(Attributs!$CY$2:$CY$18,Attributs!$CU$2:$CU$18))/((SQRT(SUMSQ(Attributs!$CX$2:$CX$18)+SUMSQ(Attributs!$CY$2:$CY$18)))*(SQRT(SUMSQ(Attributs!$CT$2:$CT$18)+SUMSQ(Attributs!$CU$2:$CU$18)))),0)</f>
        <v/>
      </c>
      <c r="AY52" s="2">
        <f>IFERROR((SUMPRODUCT(Attributs!$CX$2:$CX$18,Attributs!$CV$2:$CV$18)+SUMPRODUCT(Attributs!$CY$2:$CY$18,Attributs!$CW$2:$CW$18))/((SQRT(SUMSQ(Attributs!$CX$2:$CX$18)+SUMSQ(Attributs!$CY$2:$CY$18)))*(SQRT(SUMSQ(Attributs!$CV$2:$CV$18)+SUMSQ(Attributs!$CW$2:$CW$18)))),0)</f>
        <v/>
      </c>
      <c r="AZ52" s="2">
        <f>IFERROR((SUMPRODUCT(Attributs!$CX$2:$CX$18,Attributs!$CX$2:$CX$18)+SUMPRODUCT(Attributs!$CY$2:$CY$18,Attributs!$CY$2:$CY$18))/((SQRT(SUMSQ(Attributs!$CX$2:$CX$18)+SUMSQ(Attributs!$CY$2:$CY$18)))*(SQRT(SUMSQ(Attributs!$CX$2:$CX$18)+SUMSQ(Attributs!$CY$2:$CY$18)))),0)</f>
        <v/>
      </c>
      <c r="BA52" s="2">
        <f>IFERROR((SUMPRODUCT(Attributs!$CX$2:$CX$18,Attributs!$CZ$2:$CZ$18)+SUMPRODUCT(Attributs!$CY$2:$CY$18,Attributs!$DA$2:$DA$18))/((SQRT(SUMSQ(Attributs!$CX$2:$CX$18)+SUMSQ(Attributs!$CY$2:$CY$18)))*(SQRT(SUMSQ(Attributs!$CZ$2:$CZ$18)+SUMSQ(Attributs!$DA$2:$DA$18)))),0)</f>
        <v/>
      </c>
      <c r="BB52" s="2">
        <f>IFERROR((SUMPRODUCT(Attributs!$CX$2:$CX$18,Attributs!$DB$2:$DB$18)+SUMPRODUCT(Attributs!$CY$2:$CY$18,Attributs!$DC$2:$DC$18))/((SQRT(SUMSQ(Attributs!$CX$2:$CX$18)+SUMSQ(Attributs!$CY$2:$CY$18)))*(SQRT(SUMSQ(Attributs!$DB$2:$DB$18)+SUMSQ(Attributs!$DC$2:$DC$18)))),0)</f>
        <v/>
      </c>
      <c r="BC52" s="2">
        <f>IFERROR((SUMPRODUCT(Attributs!$CX$2:$CX$18,Attributs!$DD$2:$DD$18)+SUMPRODUCT(Attributs!$CY$2:$CY$18,Attributs!$DE$2:$DE$18))/((SQRT(SUMSQ(Attributs!$CX$2:$CX$18)+SUMSQ(Attributs!$CY$2:$CY$18)))*(SQRT(SUMSQ(Attributs!$DD$2:$DD$18)+SUMSQ(Attributs!$DE$2:$DE$18)))),0)</f>
        <v/>
      </c>
      <c r="BD52" s="2">
        <f>IFERROR((SUMPRODUCT(Attributs!$CX$2:$CX$18,Attributs!$DF$2:$DF$18)+SUMPRODUCT(Attributs!$CY$2:$CY$18,Attributs!$DG$2:$DG$18))/((SQRT(SUMSQ(Attributs!$CX$2:$CX$18)+SUMSQ(Attributs!$CY$2:$CY$18)))*(SQRT(SUMSQ(Attributs!$DF$2:$DF$18)+SUMSQ(Attributs!$DG$2:$DG$18)))),0)</f>
        <v/>
      </c>
      <c r="BE52" s="2">
        <f>IFERROR((SUMPRODUCT(Attributs!$CX$2:$CX$18,Attributs!$DH$2:$DH$18)+SUMPRODUCT(Attributs!$CY$2:$CY$18,Attributs!$DI$2:$DI$18))/((SQRT(SUMSQ(Attributs!$CX$2:$CX$18)+SUMSQ(Attributs!$CY$2:$CY$18)))*(SQRT(SUMSQ(Attributs!$DH$2:$DH$18)+SUMSQ(Attributs!$DI$2:$DI$18)))),0)</f>
        <v/>
      </c>
      <c r="BF52" s="2">
        <f>IFERROR((SUMPRODUCT(Attributs!$CX$2:$CX$18,Attributs!$DJ$2:$DJ$18)+SUMPRODUCT(Attributs!$CY$2:$CY$18,Attributs!$DK$2:$DK$18))/((SQRT(SUMSQ(Attributs!$CX$2:$CX$18)+SUMSQ(Attributs!$CY$2:$CY$18)))*(SQRT(SUMSQ(Attributs!$DJ$2:$DJ$18)+SUMSQ(Attributs!$DK$2:$DK$18)))),0)</f>
        <v/>
      </c>
      <c r="BG52" s="2">
        <f>IFERROR((SUMPRODUCT(Attributs!$CX$2:$CX$18,Attributs!$DL$2:$DL$18)+SUMPRODUCT(Attributs!$CY$2:$CY$18,Attributs!$DM$2:$DM$18))/((SQRT(SUMSQ(Attributs!$CX$2:$CX$18)+SUMSQ(Attributs!$CY$2:$CY$18)))*(SQRT(SUMSQ(Attributs!$DL$2:$DL$18)+SUMSQ(Attributs!$DM$2:$DM$18)))),0)</f>
        <v/>
      </c>
      <c r="BH52" s="2">
        <f>IFERROR((SUMPRODUCT(Attributs!$CX$2:$CX$18,Attributs!$DN$2:$DN$18)+SUMPRODUCT(Attributs!$CY$2:$CY$18,Attributs!$DO$2:$DO$18))/((SQRT(SUMSQ(Attributs!$CX$2:$CX$18)+SUMSQ(Attributs!$CY$2:$CY$18)))*(SQRT(SUMSQ(Attributs!$DN$2:$DN$18)+SUMSQ(Attributs!$DO$2:$DO$18)))),0)</f>
        <v/>
      </c>
      <c r="BI52" s="2">
        <f>IFERROR((SUMPRODUCT(Attributs!$CX$2:$CX$18,Attributs!$DP$2:$DP$18)+SUMPRODUCT(Attributs!$CY$2:$CY$18,Attributs!$DQ$2:$DQ$18))/((SQRT(SUMSQ(Attributs!$CX$2:$CX$18)+SUMSQ(Attributs!$CY$2:$CY$18)))*(SQRT(SUMSQ(Attributs!$DP$2:$DP$18)+SUMSQ(Attributs!$DQ$2:$DQ$18)))),0)</f>
        <v/>
      </c>
      <c r="BJ52" s="2">
        <f>IFERROR((SUMPRODUCT(Attributs!$CX$2:$CX$18,Attributs!$DR$2:$DR$18)+SUMPRODUCT(Attributs!$CY$2:$CY$18,Attributs!$DS$2:$DS$18))/((SQRT(SUMSQ(Attributs!$CX$2:$CX$18)+SUMSQ(Attributs!$CY$2:$CY$18)))*(SQRT(SUMSQ(Attributs!$DR$2:$DR$18)+SUMSQ(Attributs!$DS$2:$DS$18)))),0)</f>
        <v/>
      </c>
      <c r="BK52" s="2">
        <f>IFERROR((SUMPRODUCT(Attributs!$CX$2:$CX$18,Attributs!$DT$2:$DT$18)+SUMPRODUCT(Attributs!$CY$2:$CY$18,Attributs!$DU$2:$DU$18))/((SQRT(SUMSQ(Attributs!$CX$2:$CX$18)+SUMSQ(Attributs!$CY$2:$CY$18)))*(SQRT(SUMSQ(Attributs!$DT$2:$DT$18)+SUMSQ(Attributs!$DU$2:$DU$18)))),0)</f>
        <v/>
      </c>
      <c r="BL52" s="2">
        <f>IFERROR((SUMPRODUCT(Attributs!$CX$2:$CX$18,Attributs!$DV$2:$DV$18)+SUMPRODUCT(Attributs!$CY$2:$CY$18,Attributs!$DW$2:$DW$18))/((SQRT(SUMSQ(Attributs!$CX$2:$CX$18)+SUMSQ(Attributs!$CY$2:$CY$18)))*(SQRT(SUMSQ(Attributs!$DV$2:$DV$18)+SUMSQ(Attributs!$DW$2:$DW$18)))),0)</f>
        <v/>
      </c>
    </row>
    <row r="53">
      <c r="A53" s="3" t="inlineStr">
        <is>
          <t>SE_neo4j.Comments.id</t>
        </is>
      </c>
      <c r="B53" s="2">
        <f>IFERROR((SUMPRODUCT(Attributs!$CZ$2:$CZ$18,Attributs!$B$2:$B$18)+SUMPRODUCT(Attributs!$DA$2:$DA$18,Attributs!$C$2:$C$18))/((SQRT(SUMSQ(Attributs!$CZ$2:$CZ$18)+SUMSQ(Attributs!$DA$2:$DA$18)))*(SQRT(SUMSQ(Attributs!$B$2:$B$18)+SUMSQ(Attributs!$C$2:$C$18)))),0)</f>
        <v/>
      </c>
      <c r="C53" s="2">
        <f>IFERROR((SUMPRODUCT(Attributs!$CZ$2:$CZ$18,Attributs!$D$2:$D$18)+SUMPRODUCT(Attributs!$DA$2:$DA$18,Attributs!$E$2:$E$18))/((SQRT(SUMSQ(Attributs!$CZ$2:$CZ$18)+SUMSQ(Attributs!$DA$2:$DA$18)))*(SQRT(SUMSQ(Attributs!$D$2:$D$18)+SUMSQ(Attributs!$E$2:$E$18)))),0)</f>
        <v/>
      </c>
      <c r="D53" s="2">
        <f>IFERROR((SUMPRODUCT(Attributs!$CZ$2:$CZ$18,Attributs!$F$2:$F$18)+SUMPRODUCT(Attributs!$DA$2:$DA$18,Attributs!$G$2:$G$18))/((SQRT(SUMSQ(Attributs!$CZ$2:$CZ$18)+SUMSQ(Attributs!$DA$2:$DA$18)))*(SQRT(SUMSQ(Attributs!$F$2:$F$18)+SUMSQ(Attributs!$G$2:$G$18)))),0)</f>
        <v/>
      </c>
      <c r="E53" s="2">
        <f>IFERROR((SUMPRODUCT(Attributs!$CZ$2:$CZ$18,Attributs!$H$2:$H$18)+SUMPRODUCT(Attributs!$DA$2:$DA$18,Attributs!$I$2:$I$18))/((SQRT(SUMSQ(Attributs!$CZ$2:$CZ$18)+SUMSQ(Attributs!$DA$2:$DA$18)))*(SQRT(SUMSQ(Attributs!$H$2:$H$18)+SUMSQ(Attributs!$I$2:$I$18)))),0)</f>
        <v/>
      </c>
      <c r="F53" s="2">
        <f>IFERROR((SUMPRODUCT(Attributs!$CZ$2:$CZ$18,Attributs!$J$2:$J$18)+SUMPRODUCT(Attributs!$DA$2:$DA$18,Attributs!$K$2:$K$18))/((SQRT(SUMSQ(Attributs!$CZ$2:$CZ$18)+SUMSQ(Attributs!$DA$2:$DA$18)))*(SQRT(SUMSQ(Attributs!$J$2:$J$18)+SUMSQ(Attributs!$K$2:$K$18)))),0)</f>
        <v/>
      </c>
      <c r="G53" s="2">
        <f>IFERROR((SUMPRODUCT(Attributs!$CZ$2:$CZ$18,Attributs!$L$2:$L$18)+SUMPRODUCT(Attributs!$DA$2:$DA$18,Attributs!$M$2:$M$18))/((SQRT(SUMSQ(Attributs!$CZ$2:$CZ$18)+SUMSQ(Attributs!$DA$2:$DA$18)))*(SQRT(SUMSQ(Attributs!$L$2:$L$18)+SUMSQ(Attributs!$M$2:$M$18)))),0)</f>
        <v/>
      </c>
      <c r="H53" s="2">
        <f>IFERROR((SUMPRODUCT(Attributs!$CZ$2:$CZ$18,Attributs!$N$2:$N$18)+SUMPRODUCT(Attributs!$DA$2:$DA$18,Attributs!$O$2:$O$18))/((SQRT(SUMSQ(Attributs!$CZ$2:$CZ$18)+SUMSQ(Attributs!$DA$2:$DA$18)))*(SQRT(SUMSQ(Attributs!$N$2:$N$18)+SUMSQ(Attributs!$O$2:$O$18)))),0)</f>
        <v/>
      </c>
      <c r="I53" s="2">
        <f>IFERROR((SUMPRODUCT(Attributs!$CZ$2:$CZ$18,Attributs!$P$2:$P$18)+SUMPRODUCT(Attributs!$DA$2:$DA$18,Attributs!$Q$2:$Q$18))/((SQRT(SUMSQ(Attributs!$CZ$2:$CZ$18)+SUMSQ(Attributs!$DA$2:$DA$18)))*(SQRT(SUMSQ(Attributs!$P$2:$P$18)+SUMSQ(Attributs!$Q$2:$Q$18)))),0)</f>
        <v/>
      </c>
      <c r="J53" s="2">
        <f>IFERROR((SUMPRODUCT(Attributs!$CZ$2:$CZ$18,Attributs!$R$2:$R$18)+SUMPRODUCT(Attributs!$DA$2:$DA$18,Attributs!$S$2:$S$18))/((SQRT(SUMSQ(Attributs!$CZ$2:$CZ$18)+SUMSQ(Attributs!$DA$2:$DA$18)))*(SQRT(SUMSQ(Attributs!$R$2:$R$18)+SUMSQ(Attributs!$S$2:$S$18)))),0)</f>
        <v/>
      </c>
      <c r="K53" s="2">
        <f>IFERROR((SUMPRODUCT(Attributs!$CZ$2:$CZ$18,Attributs!$T$2:$T$18)+SUMPRODUCT(Attributs!$DA$2:$DA$18,Attributs!$U$2:$U$18))/((SQRT(SUMSQ(Attributs!$CZ$2:$CZ$18)+SUMSQ(Attributs!$DA$2:$DA$18)))*(SQRT(SUMSQ(Attributs!$T$2:$T$18)+SUMSQ(Attributs!$U$2:$U$18)))),0)</f>
        <v/>
      </c>
      <c r="L53" s="2">
        <f>IFERROR((SUMPRODUCT(Attributs!$CZ$2:$CZ$18,Attributs!$V$2:$V$18)+SUMPRODUCT(Attributs!$DA$2:$DA$18,Attributs!$W$2:$W$18))/((SQRT(SUMSQ(Attributs!$CZ$2:$CZ$18)+SUMSQ(Attributs!$DA$2:$DA$18)))*(SQRT(SUMSQ(Attributs!$V$2:$V$18)+SUMSQ(Attributs!$W$2:$W$18)))),0)</f>
        <v/>
      </c>
      <c r="M53" s="2">
        <f>IFERROR((SUMPRODUCT(Attributs!$CZ$2:$CZ$18,Attributs!$X$2:$X$18)+SUMPRODUCT(Attributs!$DA$2:$DA$18,Attributs!$Y$2:$Y$18))/((SQRT(SUMSQ(Attributs!$CZ$2:$CZ$18)+SUMSQ(Attributs!$DA$2:$DA$18)))*(SQRT(SUMSQ(Attributs!$X$2:$X$18)+SUMSQ(Attributs!$Y$2:$Y$18)))),0)</f>
        <v/>
      </c>
      <c r="N53" s="2">
        <f>IFERROR((SUMPRODUCT(Attributs!$CZ$2:$CZ$18,Attributs!$Z$2:$Z$18)+SUMPRODUCT(Attributs!$DA$2:$DA$18,Attributs!$AA$2:$AA$18))/((SQRT(SUMSQ(Attributs!$CZ$2:$CZ$18)+SUMSQ(Attributs!$DA$2:$DA$18)))*(SQRT(SUMSQ(Attributs!$Z$2:$Z$18)+SUMSQ(Attributs!$AA$2:$AA$18)))),0)</f>
        <v/>
      </c>
      <c r="O53" s="2">
        <f>IFERROR((SUMPRODUCT(Attributs!$CZ$2:$CZ$18,Attributs!$AB$2:$AB$18)+SUMPRODUCT(Attributs!$DA$2:$DA$18,Attributs!$AC$2:$AC$18))/((SQRT(SUMSQ(Attributs!$CZ$2:$CZ$18)+SUMSQ(Attributs!$DA$2:$DA$18)))*(SQRT(SUMSQ(Attributs!$AB$2:$AB$18)+SUMSQ(Attributs!$AC$2:$AC$18)))),0)</f>
        <v/>
      </c>
      <c r="P53" s="2">
        <f>IFERROR((SUMPRODUCT(Attributs!$CZ$2:$CZ$18,Attributs!$AD$2:$AD$18)+SUMPRODUCT(Attributs!$DA$2:$DA$18,Attributs!$AE$2:$AE$18))/((SQRT(SUMSQ(Attributs!$CZ$2:$CZ$18)+SUMSQ(Attributs!$DA$2:$DA$18)))*(SQRT(SUMSQ(Attributs!$AD$2:$AD$18)+SUMSQ(Attributs!$AE$2:$AE$18)))),0)</f>
        <v/>
      </c>
      <c r="Q53" s="2">
        <f>IFERROR((SUMPRODUCT(Attributs!$CZ$2:$CZ$18,Attributs!$AF$2:$AF$18)+SUMPRODUCT(Attributs!$DA$2:$DA$18,Attributs!$AG$2:$AG$18))/((SQRT(SUMSQ(Attributs!$CZ$2:$CZ$18)+SUMSQ(Attributs!$DA$2:$DA$18)))*(SQRT(SUMSQ(Attributs!$AF$2:$AF$18)+SUMSQ(Attributs!$AG$2:$AG$18)))),0)</f>
        <v/>
      </c>
      <c r="R53" s="2">
        <f>IFERROR((SUMPRODUCT(Attributs!$CZ$2:$CZ$18,Attributs!$AH$2:$AH$18)+SUMPRODUCT(Attributs!$DA$2:$DA$18,Attributs!$AI$2:$AI$18))/((SQRT(SUMSQ(Attributs!$CZ$2:$CZ$18)+SUMSQ(Attributs!$DA$2:$DA$18)))*(SQRT(SUMSQ(Attributs!$AH$2:$AH$18)+SUMSQ(Attributs!$AI$2:$AI$18)))),0)</f>
        <v/>
      </c>
      <c r="S53" s="2">
        <f>IFERROR((SUMPRODUCT(Attributs!$CZ$2:$CZ$18,Attributs!$AJ$2:$AJ$18)+SUMPRODUCT(Attributs!$DA$2:$DA$18,Attributs!$AK$2:$AK$18))/((SQRT(SUMSQ(Attributs!$CZ$2:$CZ$18)+SUMSQ(Attributs!$DA$2:$DA$18)))*(SQRT(SUMSQ(Attributs!$AJ$2:$AJ$18)+SUMSQ(Attributs!$AK$2:$AK$18)))),0)</f>
        <v/>
      </c>
      <c r="T53" s="2">
        <f>IFERROR((SUMPRODUCT(Attributs!$CZ$2:$CZ$18,Attributs!$AL$2:$AL$18)+SUMPRODUCT(Attributs!$DA$2:$DA$18,Attributs!$AM$2:$AM$18))/((SQRT(SUMSQ(Attributs!$CZ$2:$CZ$18)+SUMSQ(Attributs!$DA$2:$DA$18)))*(SQRT(SUMSQ(Attributs!$AL$2:$AL$18)+SUMSQ(Attributs!$AM$2:$AM$18)))),0)</f>
        <v/>
      </c>
      <c r="U53" s="2">
        <f>IFERROR((SUMPRODUCT(Attributs!$CZ$2:$CZ$18,Attributs!$AN$2:$AN$18)+SUMPRODUCT(Attributs!$DA$2:$DA$18,Attributs!$AO$2:$AO$18))/((SQRT(SUMSQ(Attributs!$CZ$2:$CZ$18)+SUMSQ(Attributs!$DA$2:$DA$18)))*(SQRT(SUMSQ(Attributs!$AN$2:$AN$18)+SUMSQ(Attributs!$AO$2:$AO$18)))),0)</f>
        <v/>
      </c>
      <c r="V53" s="2">
        <f>IFERROR((SUMPRODUCT(Attributs!$CZ$2:$CZ$18,Attributs!$AP$2:$AP$18)+SUMPRODUCT(Attributs!$DA$2:$DA$18,Attributs!$AQ$2:$AQ$18))/((SQRT(SUMSQ(Attributs!$CZ$2:$CZ$18)+SUMSQ(Attributs!$DA$2:$DA$18)))*(SQRT(SUMSQ(Attributs!$AP$2:$AP$18)+SUMSQ(Attributs!$AQ$2:$AQ$18)))),0)</f>
        <v/>
      </c>
      <c r="W53" s="2">
        <f>IFERROR((SUMPRODUCT(Attributs!$CZ$2:$CZ$18,Attributs!$AR$2:$AR$18)+SUMPRODUCT(Attributs!$DA$2:$DA$18,Attributs!$AS$2:$AS$18))/((SQRT(SUMSQ(Attributs!$CZ$2:$CZ$18)+SUMSQ(Attributs!$DA$2:$DA$18)))*(SQRT(SUMSQ(Attributs!$AR$2:$AR$18)+SUMSQ(Attributs!$AS$2:$AS$18)))),0)</f>
        <v/>
      </c>
      <c r="X53" s="2">
        <f>IFERROR((SUMPRODUCT(Attributs!$CZ$2:$CZ$18,Attributs!$AT$2:$AT$18)+SUMPRODUCT(Attributs!$DA$2:$DA$18,Attributs!$AU$2:$AU$18))/((SQRT(SUMSQ(Attributs!$CZ$2:$CZ$18)+SUMSQ(Attributs!$DA$2:$DA$18)))*(SQRT(SUMSQ(Attributs!$AT$2:$AT$18)+SUMSQ(Attributs!$AU$2:$AU$18)))),0)</f>
        <v/>
      </c>
      <c r="Y53" s="2">
        <f>IFERROR((SUMPRODUCT(Attributs!$CZ$2:$CZ$18,Attributs!$AV$2:$AV$18)+SUMPRODUCT(Attributs!$DA$2:$DA$18,Attributs!$AW$2:$AW$18))/((SQRT(SUMSQ(Attributs!$CZ$2:$CZ$18)+SUMSQ(Attributs!$DA$2:$DA$18)))*(SQRT(SUMSQ(Attributs!$AV$2:$AV$18)+SUMSQ(Attributs!$AW$2:$AW$18)))),0)</f>
        <v/>
      </c>
      <c r="Z53" s="2">
        <f>IFERROR((SUMPRODUCT(Attributs!$CZ$2:$CZ$18,Attributs!$AX$2:$AX$18)+SUMPRODUCT(Attributs!$DA$2:$DA$18,Attributs!$AY$2:$AY$18))/((SQRT(SUMSQ(Attributs!$CZ$2:$CZ$18)+SUMSQ(Attributs!$DA$2:$DA$18)))*(SQRT(SUMSQ(Attributs!$AX$2:$AX$18)+SUMSQ(Attributs!$AY$2:$AY$18)))),0)</f>
        <v/>
      </c>
      <c r="AA53" s="2">
        <f>IFERROR((SUMPRODUCT(Attributs!$CZ$2:$CZ$18,Attributs!$AZ$2:$AZ$18)+SUMPRODUCT(Attributs!$DA$2:$DA$18,Attributs!$BA$2:$BA$18))/((SQRT(SUMSQ(Attributs!$CZ$2:$CZ$18)+SUMSQ(Attributs!$DA$2:$DA$18)))*(SQRT(SUMSQ(Attributs!$AZ$2:$AZ$18)+SUMSQ(Attributs!$BA$2:$BA$18)))),0)</f>
        <v/>
      </c>
      <c r="AB53" s="2">
        <f>IFERROR((SUMPRODUCT(Attributs!$CZ$2:$CZ$18,Attributs!$BB$2:$BB$18)+SUMPRODUCT(Attributs!$DA$2:$DA$18,Attributs!$BC$2:$BC$18))/((SQRT(SUMSQ(Attributs!$CZ$2:$CZ$18)+SUMSQ(Attributs!$DA$2:$DA$18)))*(SQRT(SUMSQ(Attributs!$BB$2:$BB$18)+SUMSQ(Attributs!$BC$2:$BC$18)))),0)</f>
        <v/>
      </c>
      <c r="AC53" s="2">
        <f>IFERROR((SUMPRODUCT(Attributs!$CZ$2:$CZ$18,Attributs!$BD$2:$BD$18)+SUMPRODUCT(Attributs!$DA$2:$DA$18,Attributs!$BE$2:$BE$18))/((SQRT(SUMSQ(Attributs!$CZ$2:$CZ$18)+SUMSQ(Attributs!$DA$2:$DA$18)))*(SQRT(SUMSQ(Attributs!$BD$2:$BD$18)+SUMSQ(Attributs!$BE$2:$BE$18)))),0)</f>
        <v/>
      </c>
      <c r="AD53" s="2">
        <f>IFERROR((SUMPRODUCT(Attributs!$CZ$2:$CZ$18,Attributs!$BF$2:$BF$18)+SUMPRODUCT(Attributs!$DA$2:$DA$18,Attributs!$BG$2:$BG$18))/((SQRT(SUMSQ(Attributs!$CZ$2:$CZ$18)+SUMSQ(Attributs!$DA$2:$DA$18)))*(SQRT(SUMSQ(Attributs!$BF$2:$BF$18)+SUMSQ(Attributs!$BG$2:$BG$18)))),0)</f>
        <v/>
      </c>
      <c r="AE53" s="2">
        <f>IFERROR((SUMPRODUCT(Attributs!$CZ$2:$CZ$18,Attributs!$BH$2:$BH$18)+SUMPRODUCT(Attributs!$DA$2:$DA$18,Attributs!$BI$2:$BI$18))/((SQRT(SUMSQ(Attributs!$CZ$2:$CZ$18)+SUMSQ(Attributs!$DA$2:$DA$18)))*(SQRT(SUMSQ(Attributs!$BH$2:$BH$18)+SUMSQ(Attributs!$BI$2:$BI$18)))),0)</f>
        <v/>
      </c>
      <c r="AF53" s="2">
        <f>IFERROR((SUMPRODUCT(Attributs!$CZ$2:$CZ$18,Attributs!$BJ$2:$BJ$18)+SUMPRODUCT(Attributs!$DA$2:$DA$18,Attributs!$BK$2:$BK$18))/((SQRT(SUMSQ(Attributs!$CZ$2:$CZ$18)+SUMSQ(Attributs!$DA$2:$DA$18)))*(SQRT(SUMSQ(Attributs!$BJ$2:$BJ$18)+SUMSQ(Attributs!$BK$2:$BK$18)))),0)</f>
        <v/>
      </c>
      <c r="AG53" s="2">
        <f>IFERROR((SUMPRODUCT(Attributs!$CZ$2:$CZ$18,Attributs!$BL$2:$BL$18)+SUMPRODUCT(Attributs!$DA$2:$DA$18,Attributs!$BM$2:$BM$18))/((SQRT(SUMSQ(Attributs!$CZ$2:$CZ$18)+SUMSQ(Attributs!$DA$2:$DA$18)))*(SQRT(SUMSQ(Attributs!$BL$2:$BL$18)+SUMSQ(Attributs!$BM$2:$BM$18)))),0)</f>
        <v/>
      </c>
      <c r="AH53" s="2">
        <f>IFERROR((SUMPRODUCT(Attributs!$CZ$2:$CZ$18,Attributs!$BN$2:$BN$18)+SUMPRODUCT(Attributs!$DA$2:$DA$18,Attributs!$BO$2:$BO$18))/((SQRT(SUMSQ(Attributs!$CZ$2:$CZ$18)+SUMSQ(Attributs!$DA$2:$DA$18)))*(SQRT(SUMSQ(Attributs!$BN$2:$BN$18)+SUMSQ(Attributs!$BO$2:$BO$18)))),0)</f>
        <v/>
      </c>
      <c r="AI53" s="2">
        <f>IFERROR((SUMPRODUCT(Attributs!$CZ$2:$CZ$18,Attributs!$BP$2:$BP$18)+SUMPRODUCT(Attributs!$DA$2:$DA$18,Attributs!$BQ$2:$BQ$18))/((SQRT(SUMSQ(Attributs!$CZ$2:$CZ$18)+SUMSQ(Attributs!$DA$2:$DA$18)))*(SQRT(SUMSQ(Attributs!$BP$2:$BP$18)+SUMSQ(Attributs!$BQ$2:$BQ$18)))),0)</f>
        <v/>
      </c>
      <c r="AJ53" s="2">
        <f>IFERROR((SUMPRODUCT(Attributs!$CZ$2:$CZ$18,Attributs!$BR$2:$BR$18)+SUMPRODUCT(Attributs!$DA$2:$DA$18,Attributs!$BS$2:$BS$18))/((SQRT(SUMSQ(Attributs!$CZ$2:$CZ$18)+SUMSQ(Attributs!$DA$2:$DA$18)))*(SQRT(SUMSQ(Attributs!$BR$2:$BR$18)+SUMSQ(Attributs!$BS$2:$BS$18)))),0)</f>
        <v/>
      </c>
      <c r="AK53" s="2">
        <f>IFERROR((SUMPRODUCT(Attributs!$CZ$2:$CZ$18,Attributs!$BT$2:$BT$18)+SUMPRODUCT(Attributs!$DA$2:$DA$18,Attributs!$BU$2:$BU$18))/((SQRT(SUMSQ(Attributs!$CZ$2:$CZ$18)+SUMSQ(Attributs!$DA$2:$DA$18)))*(SQRT(SUMSQ(Attributs!$BT$2:$BT$18)+SUMSQ(Attributs!$BU$2:$BU$18)))),0)</f>
        <v/>
      </c>
      <c r="AL53" s="2">
        <f>IFERROR((SUMPRODUCT(Attributs!$CZ$2:$CZ$18,Attributs!$BV$2:$BV$18)+SUMPRODUCT(Attributs!$DA$2:$DA$18,Attributs!$BW$2:$BW$18))/((SQRT(SUMSQ(Attributs!$CZ$2:$CZ$18)+SUMSQ(Attributs!$DA$2:$DA$18)))*(SQRT(SUMSQ(Attributs!$BV$2:$BV$18)+SUMSQ(Attributs!$BW$2:$BW$18)))),0)</f>
        <v/>
      </c>
      <c r="AM53" s="2">
        <f>IFERROR((SUMPRODUCT(Attributs!$CZ$2:$CZ$18,Attributs!$BX$2:$BX$18)+SUMPRODUCT(Attributs!$DA$2:$DA$18,Attributs!$BY$2:$BY$18))/((SQRT(SUMSQ(Attributs!$CZ$2:$CZ$18)+SUMSQ(Attributs!$DA$2:$DA$18)))*(SQRT(SUMSQ(Attributs!$BX$2:$BX$18)+SUMSQ(Attributs!$BY$2:$BY$18)))),0)</f>
        <v/>
      </c>
      <c r="AN53" s="2">
        <f>IFERROR((SUMPRODUCT(Attributs!$CZ$2:$CZ$18,Attributs!$BZ$2:$BZ$18)+SUMPRODUCT(Attributs!$DA$2:$DA$18,Attributs!$CA$2:$CA$18))/((SQRT(SUMSQ(Attributs!$CZ$2:$CZ$18)+SUMSQ(Attributs!$DA$2:$DA$18)))*(SQRT(SUMSQ(Attributs!$BZ$2:$BZ$18)+SUMSQ(Attributs!$CA$2:$CA$18)))),0)</f>
        <v/>
      </c>
      <c r="AO53" s="2">
        <f>IFERROR((SUMPRODUCT(Attributs!$CZ$2:$CZ$18,Attributs!$CB$2:$CB$18)+SUMPRODUCT(Attributs!$DA$2:$DA$18,Attributs!$CC$2:$CC$18))/((SQRT(SUMSQ(Attributs!$CZ$2:$CZ$18)+SUMSQ(Attributs!$DA$2:$DA$18)))*(SQRT(SUMSQ(Attributs!$CB$2:$CB$18)+SUMSQ(Attributs!$CC$2:$CC$18)))),0)</f>
        <v/>
      </c>
      <c r="AP53" s="2">
        <f>IFERROR((SUMPRODUCT(Attributs!$CZ$2:$CZ$18,Attributs!$CD$2:$CD$18)+SUMPRODUCT(Attributs!$DA$2:$DA$18,Attributs!$CE$2:$CE$18))/((SQRT(SUMSQ(Attributs!$CZ$2:$CZ$18)+SUMSQ(Attributs!$DA$2:$DA$18)))*(SQRT(SUMSQ(Attributs!$CD$2:$CD$18)+SUMSQ(Attributs!$CE$2:$CE$18)))),0)</f>
        <v/>
      </c>
      <c r="AQ53" s="2">
        <f>IFERROR((SUMPRODUCT(Attributs!$CZ$2:$CZ$18,Attributs!$CF$2:$CF$18)+SUMPRODUCT(Attributs!$DA$2:$DA$18,Attributs!$CG$2:$CG$18))/((SQRT(SUMSQ(Attributs!$CZ$2:$CZ$18)+SUMSQ(Attributs!$DA$2:$DA$18)))*(SQRT(SUMSQ(Attributs!$CF$2:$CF$18)+SUMSQ(Attributs!$CG$2:$CG$18)))),0)</f>
        <v/>
      </c>
      <c r="AR53" s="2">
        <f>IFERROR((SUMPRODUCT(Attributs!$CZ$2:$CZ$18,Attributs!$CH$2:$CH$18)+SUMPRODUCT(Attributs!$DA$2:$DA$18,Attributs!$CI$2:$CI$18))/((SQRT(SUMSQ(Attributs!$CZ$2:$CZ$18)+SUMSQ(Attributs!$DA$2:$DA$18)))*(SQRT(SUMSQ(Attributs!$CH$2:$CH$18)+SUMSQ(Attributs!$CI$2:$CI$18)))),0)</f>
        <v/>
      </c>
      <c r="AS53" s="2">
        <f>IFERROR((SUMPRODUCT(Attributs!$CZ$2:$CZ$18,Attributs!$CJ$2:$CJ$18)+SUMPRODUCT(Attributs!$DA$2:$DA$18,Attributs!$CK$2:$CK$18))/((SQRT(SUMSQ(Attributs!$CZ$2:$CZ$18)+SUMSQ(Attributs!$DA$2:$DA$18)))*(SQRT(SUMSQ(Attributs!$CJ$2:$CJ$18)+SUMSQ(Attributs!$CK$2:$CK$18)))),0)</f>
        <v/>
      </c>
      <c r="AT53" s="2">
        <f>IFERROR((SUMPRODUCT(Attributs!$CZ$2:$CZ$18,Attributs!$CL$2:$CL$18)+SUMPRODUCT(Attributs!$DA$2:$DA$18,Attributs!$CM$2:$CM$18))/((SQRT(SUMSQ(Attributs!$CZ$2:$CZ$18)+SUMSQ(Attributs!$DA$2:$DA$18)))*(SQRT(SUMSQ(Attributs!$CL$2:$CL$18)+SUMSQ(Attributs!$CM$2:$CM$18)))),0)</f>
        <v/>
      </c>
      <c r="AU53" s="2">
        <f>IFERROR((SUMPRODUCT(Attributs!$CZ$2:$CZ$18,Attributs!$CN$2:$CN$18)+SUMPRODUCT(Attributs!$DA$2:$DA$18,Attributs!$CO$2:$CO$18))/((SQRT(SUMSQ(Attributs!$CZ$2:$CZ$18)+SUMSQ(Attributs!$DA$2:$DA$18)))*(SQRT(SUMSQ(Attributs!$CN$2:$CN$18)+SUMSQ(Attributs!$CO$2:$CO$18)))),0)</f>
        <v/>
      </c>
      <c r="AV53" s="2">
        <f>IFERROR((SUMPRODUCT(Attributs!$CZ$2:$CZ$18,Attributs!$CP$2:$CP$18)+SUMPRODUCT(Attributs!$DA$2:$DA$18,Attributs!$CQ$2:$CQ$18))/((SQRT(SUMSQ(Attributs!$CZ$2:$CZ$18)+SUMSQ(Attributs!$DA$2:$DA$18)))*(SQRT(SUMSQ(Attributs!$CP$2:$CP$18)+SUMSQ(Attributs!$CQ$2:$CQ$18)))),0)</f>
        <v/>
      </c>
      <c r="AW53" s="2">
        <f>IFERROR((SUMPRODUCT(Attributs!$CZ$2:$CZ$18,Attributs!$CR$2:$CR$18)+SUMPRODUCT(Attributs!$DA$2:$DA$18,Attributs!$CS$2:$CS$18))/((SQRT(SUMSQ(Attributs!$CZ$2:$CZ$18)+SUMSQ(Attributs!$DA$2:$DA$18)))*(SQRT(SUMSQ(Attributs!$CR$2:$CR$18)+SUMSQ(Attributs!$CS$2:$CS$18)))),0)</f>
        <v/>
      </c>
      <c r="AX53" s="2">
        <f>IFERROR((SUMPRODUCT(Attributs!$CZ$2:$CZ$18,Attributs!$CT$2:$CT$18)+SUMPRODUCT(Attributs!$DA$2:$DA$18,Attributs!$CU$2:$CU$18))/((SQRT(SUMSQ(Attributs!$CZ$2:$CZ$18)+SUMSQ(Attributs!$DA$2:$DA$18)))*(SQRT(SUMSQ(Attributs!$CT$2:$CT$18)+SUMSQ(Attributs!$CU$2:$CU$18)))),0)</f>
        <v/>
      </c>
      <c r="AY53" s="2">
        <f>IFERROR((SUMPRODUCT(Attributs!$CZ$2:$CZ$18,Attributs!$CV$2:$CV$18)+SUMPRODUCT(Attributs!$DA$2:$DA$18,Attributs!$CW$2:$CW$18))/((SQRT(SUMSQ(Attributs!$CZ$2:$CZ$18)+SUMSQ(Attributs!$DA$2:$DA$18)))*(SQRT(SUMSQ(Attributs!$CV$2:$CV$18)+SUMSQ(Attributs!$CW$2:$CW$18)))),0)</f>
        <v/>
      </c>
      <c r="AZ53" s="2">
        <f>IFERROR((SUMPRODUCT(Attributs!$CZ$2:$CZ$18,Attributs!$CX$2:$CX$18)+SUMPRODUCT(Attributs!$DA$2:$DA$18,Attributs!$CY$2:$CY$18))/((SQRT(SUMSQ(Attributs!$CZ$2:$CZ$18)+SUMSQ(Attributs!$DA$2:$DA$18)))*(SQRT(SUMSQ(Attributs!$CX$2:$CX$18)+SUMSQ(Attributs!$CY$2:$CY$18)))),0)</f>
        <v/>
      </c>
      <c r="BA53" s="2">
        <f>IFERROR((SUMPRODUCT(Attributs!$CZ$2:$CZ$18,Attributs!$CZ$2:$CZ$18)+SUMPRODUCT(Attributs!$DA$2:$DA$18,Attributs!$DA$2:$DA$18))/((SQRT(SUMSQ(Attributs!$CZ$2:$CZ$18)+SUMSQ(Attributs!$DA$2:$DA$18)))*(SQRT(SUMSQ(Attributs!$CZ$2:$CZ$18)+SUMSQ(Attributs!$DA$2:$DA$18)))),0)</f>
        <v/>
      </c>
      <c r="BB53" s="2">
        <f>IFERROR((SUMPRODUCT(Attributs!$CZ$2:$CZ$18,Attributs!$DB$2:$DB$18)+SUMPRODUCT(Attributs!$DA$2:$DA$18,Attributs!$DC$2:$DC$18))/((SQRT(SUMSQ(Attributs!$CZ$2:$CZ$18)+SUMSQ(Attributs!$DA$2:$DA$18)))*(SQRT(SUMSQ(Attributs!$DB$2:$DB$18)+SUMSQ(Attributs!$DC$2:$DC$18)))),0)</f>
        <v/>
      </c>
      <c r="BC53" s="2">
        <f>IFERROR((SUMPRODUCT(Attributs!$CZ$2:$CZ$18,Attributs!$DD$2:$DD$18)+SUMPRODUCT(Attributs!$DA$2:$DA$18,Attributs!$DE$2:$DE$18))/((SQRT(SUMSQ(Attributs!$CZ$2:$CZ$18)+SUMSQ(Attributs!$DA$2:$DA$18)))*(SQRT(SUMSQ(Attributs!$DD$2:$DD$18)+SUMSQ(Attributs!$DE$2:$DE$18)))),0)</f>
        <v/>
      </c>
      <c r="BD53" s="2">
        <f>IFERROR((SUMPRODUCT(Attributs!$CZ$2:$CZ$18,Attributs!$DF$2:$DF$18)+SUMPRODUCT(Attributs!$DA$2:$DA$18,Attributs!$DG$2:$DG$18))/((SQRT(SUMSQ(Attributs!$CZ$2:$CZ$18)+SUMSQ(Attributs!$DA$2:$DA$18)))*(SQRT(SUMSQ(Attributs!$DF$2:$DF$18)+SUMSQ(Attributs!$DG$2:$DG$18)))),0)</f>
        <v/>
      </c>
      <c r="BE53" s="2">
        <f>IFERROR((SUMPRODUCT(Attributs!$CZ$2:$CZ$18,Attributs!$DH$2:$DH$18)+SUMPRODUCT(Attributs!$DA$2:$DA$18,Attributs!$DI$2:$DI$18))/((SQRT(SUMSQ(Attributs!$CZ$2:$CZ$18)+SUMSQ(Attributs!$DA$2:$DA$18)))*(SQRT(SUMSQ(Attributs!$DH$2:$DH$18)+SUMSQ(Attributs!$DI$2:$DI$18)))),0)</f>
        <v/>
      </c>
      <c r="BF53" s="2">
        <f>IFERROR((SUMPRODUCT(Attributs!$CZ$2:$CZ$18,Attributs!$DJ$2:$DJ$18)+SUMPRODUCT(Attributs!$DA$2:$DA$18,Attributs!$DK$2:$DK$18))/((SQRT(SUMSQ(Attributs!$CZ$2:$CZ$18)+SUMSQ(Attributs!$DA$2:$DA$18)))*(SQRT(SUMSQ(Attributs!$DJ$2:$DJ$18)+SUMSQ(Attributs!$DK$2:$DK$18)))),0)</f>
        <v/>
      </c>
      <c r="BG53" s="2">
        <f>IFERROR((SUMPRODUCT(Attributs!$CZ$2:$CZ$18,Attributs!$DL$2:$DL$18)+SUMPRODUCT(Attributs!$DA$2:$DA$18,Attributs!$DM$2:$DM$18))/((SQRT(SUMSQ(Attributs!$CZ$2:$CZ$18)+SUMSQ(Attributs!$DA$2:$DA$18)))*(SQRT(SUMSQ(Attributs!$DL$2:$DL$18)+SUMSQ(Attributs!$DM$2:$DM$18)))),0)</f>
        <v/>
      </c>
      <c r="BH53" s="2">
        <f>IFERROR((SUMPRODUCT(Attributs!$CZ$2:$CZ$18,Attributs!$DN$2:$DN$18)+SUMPRODUCT(Attributs!$DA$2:$DA$18,Attributs!$DO$2:$DO$18))/((SQRT(SUMSQ(Attributs!$CZ$2:$CZ$18)+SUMSQ(Attributs!$DA$2:$DA$18)))*(SQRT(SUMSQ(Attributs!$DN$2:$DN$18)+SUMSQ(Attributs!$DO$2:$DO$18)))),0)</f>
        <v/>
      </c>
      <c r="BI53" s="2">
        <f>IFERROR((SUMPRODUCT(Attributs!$CZ$2:$CZ$18,Attributs!$DP$2:$DP$18)+SUMPRODUCT(Attributs!$DA$2:$DA$18,Attributs!$DQ$2:$DQ$18))/((SQRT(SUMSQ(Attributs!$CZ$2:$CZ$18)+SUMSQ(Attributs!$DA$2:$DA$18)))*(SQRT(SUMSQ(Attributs!$DP$2:$DP$18)+SUMSQ(Attributs!$DQ$2:$DQ$18)))),0)</f>
        <v/>
      </c>
      <c r="BJ53" s="2">
        <f>IFERROR((SUMPRODUCT(Attributs!$CZ$2:$CZ$18,Attributs!$DR$2:$DR$18)+SUMPRODUCT(Attributs!$DA$2:$DA$18,Attributs!$DS$2:$DS$18))/((SQRT(SUMSQ(Attributs!$CZ$2:$CZ$18)+SUMSQ(Attributs!$DA$2:$DA$18)))*(SQRT(SUMSQ(Attributs!$DR$2:$DR$18)+SUMSQ(Attributs!$DS$2:$DS$18)))),0)</f>
        <v/>
      </c>
      <c r="BK53" s="2">
        <f>IFERROR((SUMPRODUCT(Attributs!$CZ$2:$CZ$18,Attributs!$DT$2:$DT$18)+SUMPRODUCT(Attributs!$DA$2:$DA$18,Attributs!$DU$2:$DU$18))/((SQRT(SUMSQ(Attributs!$CZ$2:$CZ$18)+SUMSQ(Attributs!$DA$2:$DA$18)))*(SQRT(SUMSQ(Attributs!$DT$2:$DT$18)+SUMSQ(Attributs!$DU$2:$DU$18)))),0)</f>
        <v/>
      </c>
      <c r="BL53" s="2">
        <f>IFERROR((SUMPRODUCT(Attributs!$CZ$2:$CZ$18,Attributs!$DV$2:$DV$18)+SUMPRODUCT(Attributs!$DA$2:$DA$18,Attributs!$DW$2:$DW$18))/((SQRT(SUMSQ(Attributs!$CZ$2:$CZ$18)+SUMSQ(Attributs!$DA$2:$DA$18)))*(SQRT(SUMSQ(Attributs!$DV$2:$DV$18)+SUMSQ(Attributs!$DW$2:$DW$18)))),0)</f>
        <v/>
      </c>
    </row>
    <row r="54">
      <c r="A54" s="3" t="inlineStr">
        <is>
          <t>SE_neo4j.Comments.creationdate</t>
        </is>
      </c>
      <c r="B54" s="2">
        <f>IFERROR((SUMPRODUCT(Attributs!$DB$2:$DB$18,Attributs!$B$2:$B$18)+SUMPRODUCT(Attributs!$DC$2:$DC$18,Attributs!$C$2:$C$18))/((SQRT(SUMSQ(Attributs!$DB$2:$DB$18)+SUMSQ(Attributs!$DC$2:$DC$18)))*(SQRT(SUMSQ(Attributs!$B$2:$B$18)+SUMSQ(Attributs!$C$2:$C$18)))),0)</f>
        <v/>
      </c>
      <c r="C54" s="2">
        <f>IFERROR((SUMPRODUCT(Attributs!$DB$2:$DB$18,Attributs!$D$2:$D$18)+SUMPRODUCT(Attributs!$DC$2:$DC$18,Attributs!$E$2:$E$18))/((SQRT(SUMSQ(Attributs!$DB$2:$DB$18)+SUMSQ(Attributs!$DC$2:$DC$18)))*(SQRT(SUMSQ(Attributs!$D$2:$D$18)+SUMSQ(Attributs!$E$2:$E$18)))),0)</f>
        <v/>
      </c>
      <c r="D54" s="2">
        <f>IFERROR((SUMPRODUCT(Attributs!$DB$2:$DB$18,Attributs!$F$2:$F$18)+SUMPRODUCT(Attributs!$DC$2:$DC$18,Attributs!$G$2:$G$18))/((SQRT(SUMSQ(Attributs!$DB$2:$DB$18)+SUMSQ(Attributs!$DC$2:$DC$18)))*(SQRT(SUMSQ(Attributs!$F$2:$F$18)+SUMSQ(Attributs!$G$2:$G$18)))),0)</f>
        <v/>
      </c>
      <c r="E54" s="2">
        <f>IFERROR((SUMPRODUCT(Attributs!$DB$2:$DB$18,Attributs!$H$2:$H$18)+SUMPRODUCT(Attributs!$DC$2:$DC$18,Attributs!$I$2:$I$18))/((SQRT(SUMSQ(Attributs!$DB$2:$DB$18)+SUMSQ(Attributs!$DC$2:$DC$18)))*(SQRT(SUMSQ(Attributs!$H$2:$H$18)+SUMSQ(Attributs!$I$2:$I$18)))),0)</f>
        <v/>
      </c>
      <c r="F54" s="2">
        <f>IFERROR((SUMPRODUCT(Attributs!$DB$2:$DB$18,Attributs!$J$2:$J$18)+SUMPRODUCT(Attributs!$DC$2:$DC$18,Attributs!$K$2:$K$18))/((SQRT(SUMSQ(Attributs!$DB$2:$DB$18)+SUMSQ(Attributs!$DC$2:$DC$18)))*(SQRT(SUMSQ(Attributs!$J$2:$J$18)+SUMSQ(Attributs!$K$2:$K$18)))),0)</f>
        <v/>
      </c>
      <c r="G54" s="2">
        <f>IFERROR((SUMPRODUCT(Attributs!$DB$2:$DB$18,Attributs!$L$2:$L$18)+SUMPRODUCT(Attributs!$DC$2:$DC$18,Attributs!$M$2:$M$18))/((SQRT(SUMSQ(Attributs!$DB$2:$DB$18)+SUMSQ(Attributs!$DC$2:$DC$18)))*(SQRT(SUMSQ(Attributs!$L$2:$L$18)+SUMSQ(Attributs!$M$2:$M$18)))),0)</f>
        <v/>
      </c>
      <c r="H54" s="2">
        <f>IFERROR((SUMPRODUCT(Attributs!$DB$2:$DB$18,Attributs!$N$2:$N$18)+SUMPRODUCT(Attributs!$DC$2:$DC$18,Attributs!$O$2:$O$18))/((SQRT(SUMSQ(Attributs!$DB$2:$DB$18)+SUMSQ(Attributs!$DC$2:$DC$18)))*(SQRT(SUMSQ(Attributs!$N$2:$N$18)+SUMSQ(Attributs!$O$2:$O$18)))),0)</f>
        <v/>
      </c>
      <c r="I54" s="2">
        <f>IFERROR((SUMPRODUCT(Attributs!$DB$2:$DB$18,Attributs!$P$2:$P$18)+SUMPRODUCT(Attributs!$DC$2:$DC$18,Attributs!$Q$2:$Q$18))/((SQRT(SUMSQ(Attributs!$DB$2:$DB$18)+SUMSQ(Attributs!$DC$2:$DC$18)))*(SQRT(SUMSQ(Attributs!$P$2:$P$18)+SUMSQ(Attributs!$Q$2:$Q$18)))),0)</f>
        <v/>
      </c>
      <c r="J54" s="2">
        <f>IFERROR((SUMPRODUCT(Attributs!$DB$2:$DB$18,Attributs!$R$2:$R$18)+SUMPRODUCT(Attributs!$DC$2:$DC$18,Attributs!$S$2:$S$18))/((SQRT(SUMSQ(Attributs!$DB$2:$DB$18)+SUMSQ(Attributs!$DC$2:$DC$18)))*(SQRT(SUMSQ(Attributs!$R$2:$R$18)+SUMSQ(Attributs!$S$2:$S$18)))),0)</f>
        <v/>
      </c>
      <c r="K54" s="2">
        <f>IFERROR((SUMPRODUCT(Attributs!$DB$2:$DB$18,Attributs!$T$2:$T$18)+SUMPRODUCT(Attributs!$DC$2:$DC$18,Attributs!$U$2:$U$18))/((SQRT(SUMSQ(Attributs!$DB$2:$DB$18)+SUMSQ(Attributs!$DC$2:$DC$18)))*(SQRT(SUMSQ(Attributs!$T$2:$T$18)+SUMSQ(Attributs!$U$2:$U$18)))),0)</f>
        <v/>
      </c>
      <c r="L54" s="2">
        <f>IFERROR((SUMPRODUCT(Attributs!$DB$2:$DB$18,Attributs!$V$2:$V$18)+SUMPRODUCT(Attributs!$DC$2:$DC$18,Attributs!$W$2:$W$18))/((SQRT(SUMSQ(Attributs!$DB$2:$DB$18)+SUMSQ(Attributs!$DC$2:$DC$18)))*(SQRT(SUMSQ(Attributs!$V$2:$V$18)+SUMSQ(Attributs!$W$2:$W$18)))),0)</f>
        <v/>
      </c>
      <c r="M54" s="2">
        <f>IFERROR((SUMPRODUCT(Attributs!$DB$2:$DB$18,Attributs!$X$2:$X$18)+SUMPRODUCT(Attributs!$DC$2:$DC$18,Attributs!$Y$2:$Y$18))/((SQRT(SUMSQ(Attributs!$DB$2:$DB$18)+SUMSQ(Attributs!$DC$2:$DC$18)))*(SQRT(SUMSQ(Attributs!$X$2:$X$18)+SUMSQ(Attributs!$Y$2:$Y$18)))),0)</f>
        <v/>
      </c>
      <c r="N54" s="2">
        <f>IFERROR((SUMPRODUCT(Attributs!$DB$2:$DB$18,Attributs!$Z$2:$Z$18)+SUMPRODUCT(Attributs!$DC$2:$DC$18,Attributs!$AA$2:$AA$18))/((SQRT(SUMSQ(Attributs!$DB$2:$DB$18)+SUMSQ(Attributs!$DC$2:$DC$18)))*(SQRT(SUMSQ(Attributs!$Z$2:$Z$18)+SUMSQ(Attributs!$AA$2:$AA$18)))),0)</f>
        <v/>
      </c>
      <c r="O54" s="2">
        <f>IFERROR((SUMPRODUCT(Attributs!$DB$2:$DB$18,Attributs!$AB$2:$AB$18)+SUMPRODUCT(Attributs!$DC$2:$DC$18,Attributs!$AC$2:$AC$18))/((SQRT(SUMSQ(Attributs!$DB$2:$DB$18)+SUMSQ(Attributs!$DC$2:$DC$18)))*(SQRT(SUMSQ(Attributs!$AB$2:$AB$18)+SUMSQ(Attributs!$AC$2:$AC$18)))),0)</f>
        <v/>
      </c>
      <c r="P54" s="2">
        <f>IFERROR((SUMPRODUCT(Attributs!$DB$2:$DB$18,Attributs!$AD$2:$AD$18)+SUMPRODUCT(Attributs!$DC$2:$DC$18,Attributs!$AE$2:$AE$18))/((SQRT(SUMSQ(Attributs!$DB$2:$DB$18)+SUMSQ(Attributs!$DC$2:$DC$18)))*(SQRT(SUMSQ(Attributs!$AD$2:$AD$18)+SUMSQ(Attributs!$AE$2:$AE$18)))),0)</f>
        <v/>
      </c>
      <c r="Q54" s="2">
        <f>IFERROR((SUMPRODUCT(Attributs!$DB$2:$DB$18,Attributs!$AF$2:$AF$18)+SUMPRODUCT(Attributs!$DC$2:$DC$18,Attributs!$AG$2:$AG$18))/((SQRT(SUMSQ(Attributs!$DB$2:$DB$18)+SUMSQ(Attributs!$DC$2:$DC$18)))*(SQRT(SUMSQ(Attributs!$AF$2:$AF$18)+SUMSQ(Attributs!$AG$2:$AG$18)))),0)</f>
        <v/>
      </c>
      <c r="R54" s="2">
        <f>IFERROR((SUMPRODUCT(Attributs!$DB$2:$DB$18,Attributs!$AH$2:$AH$18)+SUMPRODUCT(Attributs!$DC$2:$DC$18,Attributs!$AI$2:$AI$18))/((SQRT(SUMSQ(Attributs!$DB$2:$DB$18)+SUMSQ(Attributs!$DC$2:$DC$18)))*(SQRT(SUMSQ(Attributs!$AH$2:$AH$18)+SUMSQ(Attributs!$AI$2:$AI$18)))),0)</f>
        <v/>
      </c>
      <c r="S54" s="2">
        <f>IFERROR((SUMPRODUCT(Attributs!$DB$2:$DB$18,Attributs!$AJ$2:$AJ$18)+SUMPRODUCT(Attributs!$DC$2:$DC$18,Attributs!$AK$2:$AK$18))/((SQRT(SUMSQ(Attributs!$DB$2:$DB$18)+SUMSQ(Attributs!$DC$2:$DC$18)))*(SQRT(SUMSQ(Attributs!$AJ$2:$AJ$18)+SUMSQ(Attributs!$AK$2:$AK$18)))),0)</f>
        <v/>
      </c>
      <c r="T54" s="2">
        <f>IFERROR((SUMPRODUCT(Attributs!$DB$2:$DB$18,Attributs!$AL$2:$AL$18)+SUMPRODUCT(Attributs!$DC$2:$DC$18,Attributs!$AM$2:$AM$18))/((SQRT(SUMSQ(Attributs!$DB$2:$DB$18)+SUMSQ(Attributs!$DC$2:$DC$18)))*(SQRT(SUMSQ(Attributs!$AL$2:$AL$18)+SUMSQ(Attributs!$AM$2:$AM$18)))),0)</f>
        <v/>
      </c>
      <c r="U54" s="2">
        <f>IFERROR((SUMPRODUCT(Attributs!$DB$2:$DB$18,Attributs!$AN$2:$AN$18)+SUMPRODUCT(Attributs!$DC$2:$DC$18,Attributs!$AO$2:$AO$18))/((SQRT(SUMSQ(Attributs!$DB$2:$DB$18)+SUMSQ(Attributs!$DC$2:$DC$18)))*(SQRT(SUMSQ(Attributs!$AN$2:$AN$18)+SUMSQ(Attributs!$AO$2:$AO$18)))),0)</f>
        <v/>
      </c>
      <c r="V54" s="2">
        <f>IFERROR((SUMPRODUCT(Attributs!$DB$2:$DB$18,Attributs!$AP$2:$AP$18)+SUMPRODUCT(Attributs!$DC$2:$DC$18,Attributs!$AQ$2:$AQ$18))/((SQRT(SUMSQ(Attributs!$DB$2:$DB$18)+SUMSQ(Attributs!$DC$2:$DC$18)))*(SQRT(SUMSQ(Attributs!$AP$2:$AP$18)+SUMSQ(Attributs!$AQ$2:$AQ$18)))),0)</f>
        <v/>
      </c>
      <c r="W54" s="2">
        <f>IFERROR((SUMPRODUCT(Attributs!$DB$2:$DB$18,Attributs!$AR$2:$AR$18)+SUMPRODUCT(Attributs!$DC$2:$DC$18,Attributs!$AS$2:$AS$18))/((SQRT(SUMSQ(Attributs!$DB$2:$DB$18)+SUMSQ(Attributs!$DC$2:$DC$18)))*(SQRT(SUMSQ(Attributs!$AR$2:$AR$18)+SUMSQ(Attributs!$AS$2:$AS$18)))),0)</f>
        <v/>
      </c>
      <c r="X54" s="2">
        <f>IFERROR((SUMPRODUCT(Attributs!$DB$2:$DB$18,Attributs!$AT$2:$AT$18)+SUMPRODUCT(Attributs!$DC$2:$DC$18,Attributs!$AU$2:$AU$18))/((SQRT(SUMSQ(Attributs!$DB$2:$DB$18)+SUMSQ(Attributs!$DC$2:$DC$18)))*(SQRT(SUMSQ(Attributs!$AT$2:$AT$18)+SUMSQ(Attributs!$AU$2:$AU$18)))),0)</f>
        <v/>
      </c>
      <c r="Y54" s="2">
        <f>IFERROR((SUMPRODUCT(Attributs!$DB$2:$DB$18,Attributs!$AV$2:$AV$18)+SUMPRODUCT(Attributs!$DC$2:$DC$18,Attributs!$AW$2:$AW$18))/((SQRT(SUMSQ(Attributs!$DB$2:$DB$18)+SUMSQ(Attributs!$DC$2:$DC$18)))*(SQRT(SUMSQ(Attributs!$AV$2:$AV$18)+SUMSQ(Attributs!$AW$2:$AW$18)))),0)</f>
        <v/>
      </c>
      <c r="Z54" s="2">
        <f>IFERROR((SUMPRODUCT(Attributs!$DB$2:$DB$18,Attributs!$AX$2:$AX$18)+SUMPRODUCT(Attributs!$DC$2:$DC$18,Attributs!$AY$2:$AY$18))/((SQRT(SUMSQ(Attributs!$DB$2:$DB$18)+SUMSQ(Attributs!$DC$2:$DC$18)))*(SQRT(SUMSQ(Attributs!$AX$2:$AX$18)+SUMSQ(Attributs!$AY$2:$AY$18)))),0)</f>
        <v/>
      </c>
      <c r="AA54" s="2">
        <f>IFERROR((SUMPRODUCT(Attributs!$DB$2:$DB$18,Attributs!$AZ$2:$AZ$18)+SUMPRODUCT(Attributs!$DC$2:$DC$18,Attributs!$BA$2:$BA$18))/((SQRT(SUMSQ(Attributs!$DB$2:$DB$18)+SUMSQ(Attributs!$DC$2:$DC$18)))*(SQRT(SUMSQ(Attributs!$AZ$2:$AZ$18)+SUMSQ(Attributs!$BA$2:$BA$18)))),0)</f>
        <v/>
      </c>
      <c r="AB54" s="2">
        <f>IFERROR((SUMPRODUCT(Attributs!$DB$2:$DB$18,Attributs!$BB$2:$BB$18)+SUMPRODUCT(Attributs!$DC$2:$DC$18,Attributs!$BC$2:$BC$18))/((SQRT(SUMSQ(Attributs!$DB$2:$DB$18)+SUMSQ(Attributs!$DC$2:$DC$18)))*(SQRT(SUMSQ(Attributs!$BB$2:$BB$18)+SUMSQ(Attributs!$BC$2:$BC$18)))),0)</f>
        <v/>
      </c>
      <c r="AC54" s="2">
        <f>IFERROR((SUMPRODUCT(Attributs!$DB$2:$DB$18,Attributs!$BD$2:$BD$18)+SUMPRODUCT(Attributs!$DC$2:$DC$18,Attributs!$BE$2:$BE$18))/((SQRT(SUMSQ(Attributs!$DB$2:$DB$18)+SUMSQ(Attributs!$DC$2:$DC$18)))*(SQRT(SUMSQ(Attributs!$BD$2:$BD$18)+SUMSQ(Attributs!$BE$2:$BE$18)))),0)</f>
        <v/>
      </c>
      <c r="AD54" s="2">
        <f>IFERROR((SUMPRODUCT(Attributs!$DB$2:$DB$18,Attributs!$BF$2:$BF$18)+SUMPRODUCT(Attributs!$DC$2:$DC$18,Attributs!$BG$2:$BG$18))/((SQRT(SUMSQ(Attributs!$DB$2:$DB$18)+SUMSQ(Attributs!$DC$2:$DC$18)))*(SQRT(SUMSQ(Attributs!$BF$2:$BF$18)+SUMSQ(Attributs!$BG$2:$BG$18)))),0)</f>
        <v/>
      </c>
      <c r="AE54" s="2">
        <f>IFERROR((SUMPRODUCT(Attributs!$DB$2:$DB$18,Attributs!$BH$2:$BH$18)+SUMPRODUCT(Attributs!$DC$2:$DC$18,Attributs!$BI$2:$BI$18))/((SQRT(SUMSQ(Attributs!$DB$2:$DB$18)+SUMSQ(Attributs!$DC$2:$DC$18)))*(SQRT(SUMSQ(Attributs!$BH$2:$BH$18)+SUMSQ(Attributs!$BI$2:$BI$18)))),0)</f>
        <v/>
      </c>
      <c r="AF54" s="2">
        <f>IFERROR((SUMPRODUCT(Attributs!$DB$2:$DB$18,Attributs!$BJ$2:$BJ$18)+SUMPRODUCT(Attributs!$DC$2:$DC$18,Attributs!$BK$2:$BK$18))/((SQRT(SUMSQ(Attributs!$DB$2:$DB$18)+SUMSQ(Attributs!$DC$2:$DC$18)))*(SQRT(SUMSQ(Attributs!$BJ$2:$BJ$18)+SUMSQ(Attributs!$BK$2:$BK$18)))),0)</f>
        <v/>
      </c>
      <c r="AG54" s="2">
        <f>IFERROR((SUMPRODUCT(Attributs!$DB$2:$DB$18,Attributs!$BL$2:$BL$18)+SUMPRODUCT(Attributs!$DC$2:$DC$18,Attributs!$BM$2:$BM$18))/((SQRT(SUMSQ(Attributs!$DB$2:$DB$18)+SUMSQ(Attributs!$DC$2:$DC$18)))*(SQRT(SUMSQ(Attributs!$BL$2:$BL$18)+SUMSQ(Attributs!$BM$2:$BM$18)))),0)</f>
        <v/>
      </c>
      <c r="AH54" s="2">
        <f>IFERROR((SUMPRODUCT(Attributs!$DB$2:$DB$18,Attributs!$BN$2:$BN$18)+SUMPRODUCT(Attributs!$DC$2:$DC$18,Attributs!$BO$2:$BO$18))/((SQRT(SUMSQ(Attributs!$DB$2:$DB$18)+SUMSQ(Attributs!$DC$2:$DC$18)))*(SQRT(SUMSQ(Attributs!$BN$2:$BN$18)+SUMSQ(Attributs!$BO$2:$BO$18)))),0)</f>
        <v/>
      </c>
      <c r="AI54" s="2">
        <f>IFERROR((SUMPRODUCT(Attributs!$DB$2:$DB$18,Attributs!$BP$2:$BP$18)+SUMPRODUCT(Attributs!$DC$2:$DC$18,Attributs!$BQ$2:$BQ$18))/((SQRT(SUMSQ(Attributs!$DB$2:$DB$18)+SUMSQ(Attributs!$DC$2:$DC$18)))*(SQRT(SUMSQ(Attributs!$BP$2:$BP$18)+SUMSQ(Attributs!$BQ$2:$BQ$18)))),0)</f>
        <v/>
      </c>
      <c r="AJ54" s="2">
        <f>IFERROR((SUMPRODUCT(Attributs!$DB$2:$DB$18,Attributs!$BR$2:$BR$18)+SUMPRODUCT(Attributs!$DC$2:$DC$18,Attributs!$BS$2:$BS$18))/((SQRT(SUMSQ(Attributs!$DB$2:$DB$18)+SUMSQ(Attributs!$DC$2:$DC$18)))*(SQRT(SUMSQ(Attributs!$BR$2:$BR$18)+SUMSQ(Attributs!$BS$2:$BS$18)))),0)</f>
        <v/>
      </c>
      <c r="AK54" s="2">
        <f>IFERROR((SUMPRODUCT(Attributs!$DB$2:$DB$18,Attributs!$BT$2:$BT$18)+SUMPRODUCT(Attributs!$DC$2:$DC$18,Attributs!$BU$2:$BU$18))/((SQRT(SUMSQ(Attributs!$DB$2:$DB$18)+SUMSQ(Attributs!$DC$2:$DC$18)))*(SQRT(SUMSQ(Attributs!$BT$2:$BT$18)+SUMSQ(Attributs!$BU$2:$BU$18)))),0)</f>
        <v/>
      </c>
      <c r="AL54" s="2">
        <f>IFERROR((SUMPRODUCT(Attributs!$DB$2:$DB$18,Attributs!$BV$2:$BV$18)+SUMPRODUCT(Attributs!$DC$2:$DC$18,Attributs!$BW$2:$BW$18))/((SQRT(SUMSQ(Attributs!$DB$2:$DB$18)+SUMSQ(Attributs!$DC$2:$DC$18)))*(SQRT(SUMSQ(Attributs!$BV$2:$BV$18)+SUMSQ(Attributs!$BW$2:$BW$18)))),0)</f>
        <v/>
      </c>
      <c r="AM54" s="2">
        <f>IFERROR((SUMPRODUCT(Attributs!$DB$2:$DB$18,Attributs!$BX$2:$BX$18)+SUMPRODUCT(Attributs!$DC$2:$DC$18,Attributs!$BY$2:$BY$18))/((SQRT(SUMSQ(Attributs!$DB$2:$DB$18)+SUMSQ(Attributs!$DC$2:$DC$18)))*(SQRT(SUMSQ(Attributs!$BX$2:$BX$18)+SUMSQ(Attributs!$BY$2:$BY$18)))),0)</f>
        <v/>
      </c>
      <c r="AN54" s="2">
        <f>IFERROR((SUMPRODUCT(Attributs!$DB$2:$DB$18,Attributs!$BZ$2:$BZ$18)+SUMPRODUCT(Attributs!$DC$2:$DC$18,Attributs!$CA$2:$CA$18))/((SQRT(SUMSQ(Attributs!$DB$2:$DB$18)+SUMSQ(Attributs!$DC$2:$DC$18)))*(SQRT(SUMSQ(Attributs!$BZ$2:$BZ$18)+SUMSQ(Attributs!$CA$2:$CA$18)))),0)</f>
        <v/>
      </c>
      <c r="AO54" s="2">
        <f>IFERROR((SUMPRODUCT(Attributs!$DB$2:$DB$18,Attributs!$CB$2:$CB$18)+SUMPRODUCT(Attributs!$DC$2:$DC$18,Attributs!$CC$2:$CC$18))/((SQRT(SUMSQ(Attributs!$DB$2:$DB$18)+SUMSQ(Attributs!$DC$2:$DC$18)))*(SQRT(SUMSQ(Attributs!$CB$2:$CB$18)+SUMSQ(Attributs!$CC$2:$CC$18)))),0)</f>
        <v/>
      </c>
      <c r="AP54" s="2">
        <f>IFERROR((SUMPRODUCT(Attributs!$DB$2:$DB$18,Attributs!$CD$2:$CD$18)+SUMPRODUCT(Attributs!$DC$2:$DC$18,Attributs!$CE$2:$CE$18))/((SQRT(SUMSQ(Attributs!$DB$2:$DB$18)+SUMSQ(Attributs!$DC$2:$DC$18)))*(SQRT(SUMSQ(Attributs!$CD$2:$CD$18)+SUMSQ(Attributs!$CE$2:$CE$18)))),0)</f>
        <v/>
      </c>
      <c r="AQ54" s="2">
        <f>IFERROR((SUMPRODUCT(Attributs!$DB$2:$DB$18,Attributs!$CF$2:$CF$18)+SUMPRODUCT(Attributs!$DC$2:$DC$18,Attributs!$CG$2:$CG$18))/((SQRT(SUMSQ(Attributs!$DB$2:$DB$18)+SUMSQ(Attributs!$DC$2:$DC$18)))*(SQRT(SUMSQ(Attributs!$CF$2:$CF$18)+SUMSQ(Attributs!$CG$2:$CG$18)))),0)</f>
        <v/>
      </c>
      <c r="AR54" s="2">
        <f>IFERROR((SUMPRODUCT(Attributs!$DB$2:$DB$18,Attributs!$CH$2:$CH$18)+SUMPRODUCT(Attributs!$DC$2:$DC$18,Attributs!$CI$2:$CI$18))/((SQRT(SUMSQ(Attributs!$DB$2:$DB$18)+SUMSQ(Attributs!$DC$2:$DC$18)))*(SQRT(SUMSQ(Attributs!$CH$2:$CH$18)+SUMSQ(Attributs!$CI$2:$CI$18)))),0)</f>
        <v/>
      </c>
      <c r="AS54" s="2">
        <f>IFERROR((SUMPRODUCT(Attributs!$DB$2:$DB$18,Attributs!$CJ$2:$CJ$18)+SUMPRODUCT(Attributs!$DC$2:$DC$18,Attributs!$CK$2:$CK$18))/((SQRT(SUMSQ(Attributs!$DB$2:$DB$18)+SUMSQ(Attributs!$DC$2:$DC$18)))*(SQRT(SUMSQ(Attributs!$CJ$2:$CJ$18)+SUMSQ(Attributs!$CK$2:$CK$18)))),0)</f>
        <v/>
      </c>
      <c r="AT54" s="2">
        <f>IFERROR((SUMPRODUCT(Attributs!$DB$2:$DB$18,Attributs!$CL$2:$CL$18)+SUMPRODUCT(Attributs!$DC$2:$DC$18,Attributs!$CM$2:$CM$18))/((SQRT(SUMSQ(Attributs!$DB$2:$DB$18)+SUMSQ(Attributs!$DC$2:$DC$18)))*(SQRT(SUMSQ(Attributs!$CL$2:$CL$18)+SUMSQ(Attributs!$CM$2:$CM$18)))),0)</f>
        <v/>
      </c>
      <c r="AU54" s="2">
        <f>IFERROR((SUMPRODUCT(Attributs!$DB$2:$DB$18,Attributs!$CN$2:$CN$18)+SUMPRODUCT(Attributs!$DC$2:$DC$18,Attributs!$CO$2:$CO$18))/((SQRT(SUMSQ(Attributs!$DB$2:$DB$18)+SUMSQ(Attributs!$DC$2:$DC$18)))*(SQRT(SUMSQ(Attributs!$CN$2:$CN$18)+SUMSQ(Attributs!$CO$2:$CO$18)))),0)</f>
        <v/>
      </c>
      <c r="AV54" s="2">
        <f>IFERROR((SUMPRODUCT(Attributs!$DB$2:$DB$18,Attributs!$CP$2:$CP$18)+SUMPRODUCT(Attributs!$DC$2:$DC$18,Attributs!$CQ$2:$CQ$18))/((SQRT(SUMSQ(Attributs!$DB$2:$DB$18)+SUMSQ(Attributs!$DC$2:$DC$18)))*(SQRT(SUMSQ(Attributs!$CP$2:$CP$18)+SUMSQ(Attributs!$CQ$2:$CQ$18)))),0)</f>
        <v/>
      </c>
      <c r="AW54" s="2">
        <f>IFERROR((SUMPRODUCT(Attributs!$DB$2:$DB$18,Attributs!$CR$2:$CR$18)+SUMPRODUCT(Attributs!$DC$2:$DC$18,Attributs!$CS$2:$CS$18))/((SQRT(SUMSQ(Attributs!$DB$2:$DB$18)+SUMSQ(Attributs!$DC$2:$DC$18)))*(SQRT(SUMSQ(Attributs!$CR$2:$CR$18)+SUMSQ(Attributs!$CS$2:$CS$18)))),0)</f>
        <v/>
      </c>
      <c r="AX54" s="2">
        <f>IFERROR((SUMPRODUCT(Attributs!$DB$2:$DB$18,Attributs!$CT$2:$CT$18)+SUMPRODUCT(Attributs!$DC$2:$DC$18,Attributs!$CU$2:$CU$18))/((SQRT(SUMSQ(Attributs!$DB$2:$DB$18)+SUMSQ(Attributs!$DC$2:$DC$18)))*(SQRT(SUMSQ(Attributs!$CT$2:$CT$18)+SUMSQ(Attributs!$CU$2:$CU$18)))),0)</f>
        <v/>
      </c>
      <c r="AY54" s="2">
        <f>IFERROR((SUMPRODUCT(Attributs!$DB$2:$DB$18,Attributs!$CV$2:$CV$18)+SUMPRODUCT(Attributs!$DC$2:$DC$18,Attributs!$CW$2:$CW$18))/((SQRT(SUMSQ(Attributs!$DB$2:$DB$18)+SUMSQ(Attributs!$DC$2:$DC$18)))*(SQRT(SUMSQ(Attributs!$CV$2:$CV$18)+SUMSQ(Attributs!$CW$2:$CW$18)))),0)</f>
        <v/>
      </c>
      <c r="AZ54" s="2">
        <f>IFERROR((SUMPRODUCT(Attributs!$DB$2:$DB$18,Attributs!$CX$2:$CX$18)+SUMPRODUCT(Attributs!$DC$2:$DC$18,Attributs!$CY$2:$CY$18))/((SQRT(SUMSQ(Attributs!$DB$2:$DB$18)+SUMSQ(Attributs!$DC$2:$DC$18)))*(SQRT(SUMSQ(Attributs!$CX$2:$CX$18)+SUMSQ(Attributs!$CY$2:$CY$18)))),0)</f>
        <v/>
      </c>
      <c r="BA54" s="2">
        <f>IFERROR((SUMPRODUCT(Attributs!$DB$2:$DB$18,Attributs!$CZ$2:$CZ$18)+SUMPRODUCT(Attributs!$DC$2:$DC$18,Attributs!$DA$2:$DA$18))/((SQRT(SUMSQ(Attributs!$DB$2:$DB$18)+SUMSQ(Attributs!$DC$2:$DC$18)))*(SQRT(SUMSQ(Attributs!$CZ$2:$CZ$18)+SUMSQ(Attributs!$DA$2:$DA$18)))),0)</f>
        <v/>
      </c>
      <c r="BB54" s="2">
        <f>IFERROR((SUMPRODUCT(Attributs!$DB$2:$DB$18,Attributs!$DB$2:$DB$18)+SUMPRODUCT(Attributs!$DC$2:$DC$18,Attributs!$DC$2:$DC$18))/((SQRT(SUMSQ(Attributs!$DB$2:$DB$18)+SUMSQ(Attributs!$DC$2:$DC$18)))*(SQRT(SUMSQ(Attributs!$DB$2:$DB$18)+SUMSQ(Attributs!$DC$2:$DC$18)))),0)</f>
        <v/>
      </c>
      <c r="BC54" s="2">
        <f>IFERROR((SUMPRODUCT(Attributs!$DB$2:$DB$18,Attributs!$DD$2:$DD$18)+SUMPRODUCT(Attributs!$DC$2:$DC$18,Attributs!$DE$2:$DE$18))/((SQRT(SUMSQ(Attributs!$DB$2:$DB$18)+SUMSQ(Attributs!$DC$2:$DC$18)))*(SQRT(SUMSQ(Attributs!$DD$2:$DD$18)+SUMSQ(Attributs!$DE$2:$DE$18)))),0)</f>
        <v/>
      </c>
      <c r="BD54" s="2">
        <f>IFERROR((SUMPRODUCT(Attributs!$DB$2:$DB$18,Attributs!$DF$2:$DF$18)+SUMPRODUCT(Attributs!$DC$2:$DC$18,Attributs!$DG$2:$DG$18))/((SQRT(SUMSQ(Attributs!$DB$2:$DB$18)+SUMSQ(Attributs!$DC$2:$DC$18)))*(SQRT(SUMSQ(Attributs!$DF$2:$DF$18)+SUMSQ(Attributs!$DG$2:$DG$18)))),0)</f>
        <v/>
      </c>
      <c r="BE54" s="2">
        <f>IFERROR((SUMPRODUCT(Attributs!$DB$2:$DB$18,Attributs!$DH$2:$DH$18)+SUMPRODUCT(Attributs!$DC$2:$DC$18,Attributs!$DI$2:$DI$18))/((SQRT(SUMSQ(Attributs!$DB$2:$DB$18)+SUMSQ(Attributs!$DC$2:$DC$18)))*(SQRT(SUMSQ(Attributs!$DH$2:$DH$18)+SUMSQ(Attributs!$DI$2:$DI$18)))),0)</f>
        <v/>
      </c>
      <c r="BF54" s="2">
        <f>IFERROR((SUMPRODUCT(Attributs!$DB$2:$DB$18,Attributs!$DJ$2:$DJ$18)+SUMPRODUCT(Attributs!$DC$2:$DC$18,Attributs!$DK$2:$DK$18))/((SQRT(SUMSQ(Attributs!$DB$2:$DB$18)+SUMSQ(Attributs!$DC$2:$DC$18)))*(SQRT(SUMSQ(Attributs!$DJ$2:$DJ$18)+SUMSQ(Attributs!$DK$2:$DK$18)))),0)</f>
        <v/>
      </c>
      <c r="BG54" s="2">
        <f>IFERROR((SUMPRODUCT(Attributs!$DB$2:$DB$18,Attributs!$DL$2:$DL$18)+SUMPRODUCT(Attributs!$DC$2:$DC$18,Attributs!$DM$2:$DM$18))/((SQRT(SUMSQ(Attributs!$DB$2:$DB$18)+SUMSQ(Attributs!$DC$2:$DC$18)))*(SQRT(SUMSQ(Attributs!$DL$2:$DL$18)+SUMSQ(Attributs!$DM$2:$DM$18)))),0)</f>
        <v/>
      </c>
      <c r="BH54" s="2">
        <f>IFERROR((SUMPRODUCT(Attributs!$DB$2:$DB$18,Attributs!$DN$2:$DN$18)+SUMPRODUCT(Attributs!$DC$2:$DC$18,Attributs!$DO$2:$DO$18))/((SQRT(SUMSQ(Attributs!$DB$2:$DB$18)+SUMSQ(Attributs!$DC$2:$DC$18)))*(SQRT(SUMSQ(Attributs!$DN$2:$DN$18)+SUMSQ(Attributs!$DO$2:$DO$18)))),0)</f>
        <v/>
      </c>
      <c r="BI54" s="2">
        <f>IFERROR((SUMPRODUCT(Attributs!$DB$2:$DB$18,Attributs!$DP$2:$DP$18)+SUMPRODUCT(Attributs!$DC$2:$DC$18,Attributs!$DQ$2:$DQ$18))/((SQRT(SUMSQ(Attributs!$DB$2:$DB$18)+SUMSQ(Attributs!$DC$2:$DC$18)))*(SQRT(SUMSQ(Attributs!$DP$2:$DP$18)+SUMSQ(Attributs!$DQ$2:$DQ$18)))),0)</f>
        <v/>
      </c>
      <c r="BJ54" s="2">
        <f>IFERROR((SUMPRODUCT(Attributs!$DB$2:$DB$18,Attributs!$DR$2:$DR$18)+SUMPRODUCT(Attributs!$DC$2:$DC$18,Attributs!$DS$2:$DS$18))/((SQRT(SUMSQ(Attributs!$DB$2:$DB$18)+SUMSQ(Attributs!$DC$2:$DC$18)))*(SQRT(SUMSQ(Attributs!$DR$2:$DR$18)+SUMSQ(Attributs!$DS$2:$DS$18)))),0)</f>
        <v/>
      </c>
      <c r="BK54" s="2">
        <f>IFERROR((SUMPRODUCT(Attributs!$DB$2:$DB$18,Attributs!$DT$2:$DT$18)+SUMPRODUCT(Attributs!$DC$2:$DC$18,Attributs!$DU$2:$DU$18))/((SQRT(SUMSQ(Attributs!$DB$2:$DB$18)+SUMSQ(Attributs!$DC$2:$DC$18)))*(SQRT(SUMSQ(Attributs!$DT$2:$DT$18)+SUMSQ(Attributs!$DU$2:$DU$18)))),0)</f>
        <v/>
      </c>
      <c r="BL54" s="2">
        <f>IFERROR((SUMPRODUCT(Attributs!$DB$2:$DB$18,Attributs!$DV$2:$DV$18)+SUMPRODUCT(Attributs!$DC$2:$DC$18,Attributs!$DW$2:$DW$18))/((SQRT(SUMSQ(Attributs!$DB$2:$DB$18)+SUMSQ(Attributs!$DC$2:$DC$18)))*(SQRT(SUMSQ(Attributs!$DV$2:$DV$18)+SUMSQ(Attributs!$DW$2:$DW$18)))),0)</f>
        <v/>
      </c>
    </row>
    <row r="55">
      <c r="A55" s="3" t="inlineStr">
        <is>
          <t>SE_neo4j.Comments.score</t>
        </is>
      </c>
      <c r="B55" s="2">
        <f>IFERROR((SUMPRODUCT(Attributs!$DD$2:$DD$18,Attributs!$B$2:$B$18)+SUMPRODUCT(Attributs!$DE$2:$DE$18,Attributs!$C$2:$C$18))/((SQRT(SUMSQ(Attributs!$DD$2:$DD$18)+SUMSQ(Attributs!$DE$2:$DE$18)))*(SQRT(SUMSQ(Attributs!$B$2:$B$18)+SUMSQ(Attributs!$C$2:$C$18)))),0)</f>
        <v/>
      </c>
      <c r="C55" s="2">
        <f>IFERROR((SUMPRODUCT(Attributs!$DD$2:$DD$18,Attributs!$D$2:$D$18)+SUMPRODUCT(Attributs!$DE$2:$DE$18,Attributs!$E$2:$E$18))/((SQRT(SUMSQ(Attributs!$DD$2:$DD$18)+SUMSQ(Attributs!$DE$2:$DE$18)))*(SQRT(SUMSQ(Attributs!$D$2:$D$18)+SUMSQ(Attributs!$E$2:$E$18)))),0)</f>
        <v/>
      </c>
      <c r="D55" s="2">
        <f>IFERROR((SUMPRODUCT(Attributs!$DD$2:$DD$18,Attributs!$F$2:$F$18)+SUMPRODUCT(Attributs!$DE$2:$DE$18,Attributs!$G$2:$G$18))/((SQRT(SUMSQ(Attributs!$DD$2:$DD$18)+SUMSQ(Attributs!$DE$2:$DE$18)))*(SQRT(SUMSQ(Attributs!$F$2:$F$18)+SUMSQ(Attributs!$G$2:$G$18)))),0)</f>
        <v/>
      </c>
      <c r="E55" s="2">
        <f>IFERROR((SUMPRODUCT(Attributs!$DD$2:$DD$18,Attributs!$H$2:$H$18)+SUMPRODUCT(Attributs!$DE$2:$DE$18,Attributs!$I$2:$I$18))/((SQRT(SUMSQ(Attributs!$DD$2:$DD$18)+SUMSQ(Attributs!$DE$2:$DE$18)))*(SQRT(SUMSQ(Attributs!$H$2:$H$18)+SUMSQ(Attributs!$I$2:$I$18)))),0)</f>
        <v/>
      </c>
      <c r="F55" s="2">
        <f>IFERROR((SUMPRODUCT(Attributs!$DD$2:$DD$18,Attributs!$J$2:$J$18)+SUMPRODUCT(Attributs!$DE$2:$DE$18,Attributs!$K$2:$K$18))/((SQRT(SUMSQ(Attributs!$DD$2:$DD$18)+SUMSQ(Attributs!$DE$2:$DE$18)))*(SQRT(SUMSQ(Attributs!$J$2:$J$18)+SUMSQ(Attributs!$K$2:$K$18)))),0)</f>
        <v/>
      </c>
      <c r="G55" s="2">
        <f>IFERROR((SUMPRODUCT(Attributs!$DD$2:$DD$18,Attributs!$L$2:$L$18)+SUMPRODUCT(Attributs!$DE$2:$DE$18,Attributs!$M$2:$M$18))/((SQRT(SUMSQ(Attributs!$DD$2:$DD$18)+SUMSQ(Attributs!$DE$2:$DE$18)))*(SQRT(SUMSQ(Attributs!$L$2:$L$18)+SUMSQ(Attributs!$M$2:$M$18)))),0)</f>
        <v/>
      </c>
      <c r="H55" s="2">
        <f>IFERROR((SUMPRODUCT(Attributs!$DD$2:$DD$18,Attributs!$N$2:$N$18)+SUMPRODUCT(Attributs!$DE$2:$DE$18,Attributs!$O$2:$O$18))/((SQRT(SUMSQ(Attributs!$DD$2:$DD$18)+SUMSQ(Attributs!$DE$2:$DE$18)))*(SQRT(SUMSQ(Attributs!$N$2:$N$18)+SUMSQ(Attributs!$O$2:$O$18)))),0)</f>
        <v/>
      </c>
      <c r="I55" s="2">
        <f>IFERROR((SUMPRODUCT(Attributs!$DD$2:$DD$18,Attributs!$P$2:$P$18)+SUMPRODUCT(Attributs!$DE$2:$DE$18,Attributs!$Q$2:$Q$18))/((SQRT(SUMSQ(Attributs!$DD$2:$DD$18)+SUMSQ(Attributs!$DE$2:$DE$18)))*(SQRT(SUMSQ(Attributs!$P$2:$P$18)+SUMSQ(Attributs!$Q$2:$Q$18)))),0)</f>
        <v/>
      </c>
      <c r="J55" s="2">
        <f>IFERROR((SUMPRODUCT(Attributs!$DD$2:$DD$18,Attributs!$R$2:$R$18)+SUMPRODUCT(Attributs!$DE$2:$DE$18,Attributs!$S$2:$S$18))/((SQRT(SUMSQ(Attributs!$DD$2:$DD$18)+SUMSQ(Attributs!$DE$2:$DE$18)))*(SQRT(SUMSQ(Attributs!$R$2:$R$18)+SUMSQ(Attributs!$S$2:$S$18)))),0)</f>
        <v/>
      </c>
      <c r="K55" s="2">
        <f>IFERROR((SUMPRODUCT(Attributs!$DD$2:$DD$18,Attributs!$T$2:$T$18)+SUMPRODUCT(Attributs!$DE$2:$DE$18,Attributs!$U$2:$U$18))/((SQRT(SUMSQ(Attributs!$DD$2:$DD$18)+SUMSQ(Attributs!$DE$2:$DE$18)))*(SQRT(SUMSQ(Attributs!$T$2:$T$18)+SUMSQ(Attributs!$U$2:$U$18)))),0)</f>
        <v/>
      </c>
      <c r="L55" s="2">
        <f>IFERROR((SUMPRODUCT(Attributs!$DD$2:$DD$18,Attributs!$V$2:$V$18)+SUMPRODUCT(Attributs!$DE$2:$DE$18,Attributs!$W$2:$W$18))/((SQRT(SUMSQ(Attributs!$DD$2:$DD$18)+SUMSQ(Attributs!$DE$2:$DE$18)))*(SQRT(SUMSQ(Attributs!$V$2:$V$18)+SUMSQ(Attributs!$W$2:$W$18)))),0)</f>
        <v/>
      </c>
      <c r="M55" s="2">
        <f>IFERROR((SUMPRODUCT(Attributs!$DD$2:$DD$18,Attributs!$X$2:$X$18)+SUMPRODUCT(Attributs!$DE$2:$DE$18,Attributs!$Y$2:$Y$18))/((SQRT(SUMSQ(Attributs!$DD$2:$DD$18)+SUMSQ(Attributs!$DE$2:$DE$18)))*(SQRT(SUMSQ(Attributs!$X$2:$X$18)+SUMSQ(Attributs!$Y$2:$Y$18)))),0)</f>
        <v/>
      </c>
      <c r="N55" s="2">
        <f>IFERROR((SUMPRODUCT(Attributs!$DD$2:$DD$18,Attributs!$Z$2:$Z$18)+SUMPRODUCT(Attributs!$DE$2:$DE$18,Attributs!$AA$2:$AA$18))/((SQRT(SUMSQ(Attributs!$DD$2:$DD$18)+SUMSQ(Attributs!$DE$2:$DE$18)))*(SQRT(SUMSQ(Attributs!$Z$2:$Z$18)+SUMSQ(Attributs!$AA$2:$AA$18)))),0)</f>
        <v/>
      </c>
      <c r="O55" s="2">
        <f>IFERROR((SUMPRODUCT(Attributs!$DD$2:$DD$18,Attributs!$AB$2:$AB$18)+SUMPRODUCT(Attributs!$DE$2:$DE$18,Attributs!$AC$2:$AC$18))/((SQRT(SUMSQ(Attributs!$DD$2:$DD$18)+SUMSQ(Attributs!$DE$2:$DE$18)))*(SQRT(SUMSQ(Attributs!$AB$2:$AB$18)+SUMSQ(Attributs!$AC$2:$AC$18)))),0)</f>
        <v/>
      </c>
      <c r="P55" s="2">
        <f>IFERROR((SUMPRODUCT(Attributs!$DD$2:$DD$18,Attributs!$AD$2:$AD$18)+SUMPRODUCT(Attributs!$DE$2:$DE$18,Attributs!$AE$2:$AE$18))/((SQRT(SUMSQ(Attributs!$DD$2:$DD$18)+SUMSQ(Attributs!$DE$2:$DE$18)))*(SQRT(SUMSQ(Attributs!$AD$2:$AD$18)+SUMSQ(Attributs!$AE$2:$AE$18)))),0)</f>
        <v/>
      </c>
      <c r="Q55" s="2">
        <f>IFERROR((SUMPRODUCT(Attributs!$DD$2:$DD$18,Attributs!$AF$2:$AF$18)+SUMPRODUCT(Attributs!$DE$2:$DE$18,Attributs!$AG$2:$AG$18))/((SQRT(SUMSQ(Attributs!$DD$2:$DD$18)+SUMSQ(Attributs!$DE$2:$DE$18)))*(SQRT(SUMSQ(Attributs!$AF$2:$AF$18)+SUMSQ(Attributs!$AG$2:$AG$18)))),0)</f>
        <v/>
      </c>
      <c r="R55" s="2">
        <f>IFERROR((SUMPRODUCT(Attributs!$DD$2:$DD$18,Attributs!$AH$2:$AH$18)+SUMPRODUCT(Attributs!$DE$2:$DE$18,Attributs!$AI$2:$AI$18))/((SQRT(SUMSQ(Attributs!$DD$2:$DD$18)+SUMSQ(Attributs!$DE$2:$DE$18)))*(SQRT(SUMSQ(Attributs!$AH$2:$AH$18)+SUMSQ(Attributs!$AI$2:$AI$18)))),0)</f>
        <v/>
      </c>
      <c r="S55" s="2">
        <f>IFERROR((SUMPRODUCT(Attributs!$DD$2:$DD$18,Attributs!$AJ$2:$AJ$18)+SUMPRODUCT(Attributs!$DE$2:$DE$18,Attributs!$AK$2:$AK$18))/((SQRT(SUMSQ(Attributs!$DD$2:$DD$18)+SUMSQ(Attributs!$DE$2:$DE$18)))*(SQRT(SUMSQ(Attributs!$AJ$2:$AJ$18)+SUMSQ(Attributs!$AK$2:$AK$18)))),0)</f>
        <v/>
      </c>
      <c r="T55" s="2">
        <f>IFERROR((SUMPRODUCT(Attributs!$DD$2:$DD$18,Attributs!$AL$2:$AL$18)+SUMPRODUCT(Attributs!$DE$2:$DE$18,Attributs!$AM$2:$AM$18))/((SQRT(SUMSQ(Attributs!$DD$2:$DD$18)+SUMSQ(Attributs!$DE$2:$DE$18)))*(SQRT(SUMSQ(Attributs!$AL$2:$AL$18)+SUMSQ(Attributs!$AM$2:$AM$18)))),0)</f>
        <v/>
      </c>
      <c r="U55" s="2">
        <f>IFERROR((SUMPRODUCT(Attributs!$DD$2:$DD$18,Attributs!$AN$2:$AN$18)+SUMPRODUCT(Attributs!$DE$2:$DE$18,Attributs!$AO$2:$AO$18))/((SQRT(SUMSQ(Attributs!$DD$2:$DD$18)+SUMSQ(Attributs!$DE$2:$DE$18)))*(SQRT(SUMSQ(Attributs!$AN$2:$AN$18)+SUMSQ(Attributs!$AO$2:$AO$18)))),0)</f>
        <v/>
      </c>
      <c r="V55" s="2">
        <f>IFERROR((SUMPRODUCT(Attributs!$DD$2:$DD$18,Attributs!$AP$2:$AP$18)+SUMPRODUCT(Attributs!$DE$2:$DE$18,Attributs!$AQ$2:$AQ$18))/((SQRT(SUMSQ(Attributs!$DD$2:$DD$18)+SUMSQ(Attributs!$DE$2:$DE$18)))*(SQRT(SUMSQ(Attributs!$AP$2:$AP$18)+SUMSQ(Attributs!$AQ$2:$AQ$18)))),0)</f>
        <v/>
      </c>
      <c r="W55" s="2">
        <f>IFERROR((SUMPRODUCT(Attributs!$DD$2:$DD$18,Attributs!$AR$2:$AR$18)+SUMPRODUCT(Attributs!$DE$2:$DE$18,Attributs!$AS$2:$AS$18))/((SQRT(SUMSQ(Attributs!$DD$2:$DD$18)+SUMSQ(Attributs!$DE$2:$DE$18)))*(SQRT(SUMSQ(Attributs!$AR$2:$AR$18)+SUMSQ(Attributs!$AS$2:$AS$18)))),0)</f>
        <v/>
      </c>
      <c r="X55" s="2">
        <f>IFERROR((SUMPRODUCT(Attributs!$DD$2:$DD$18,Attributs!$AT$2:$AT$18)+SUMPRODUCT(Attributs!$DE$2:$DE$18,Attributs!$AU$2:$AU$18))/((SQRT(SUMSQ(Attributs!$DD$2:$DD$18)+SUMSQ(Attributs!$DE$2:$DE$18)))*(SQRT(SUMSQ(Attributs!$AT$2:$AT$18)+SUMSQ(Attributs!$AU$2:$AU$18)))),0)</f>
        <v/>
      </c>
      <c r="Y55" s="2">
        <f>IFERROR((SUMPRODUCT(Attributs!$DD$2:$DD$18,Attributs!$AV$2:$AV$18)+SUMPRODUCT(Attributs!$DE$2:$DE$18,Attributs!$AW$2:$AW$18))/((SQRT(SUMSQ(Attributs!$DD$2:$DD$18)+SUMSQ(Attributs!$DE$2:$DE$18)))*(SQRT(SUMSQ(Attributs!$AV$2:$AV$18)+SUMSQ(Attributs!$AW$2:$AW$18)))),0)</f>
        <v/>
      </c>
      <c r="Z55" s="2">
        <f>IFERROR((SUMPRODUCT(Attributs!$DD$2:$DD$18,Attributs!$AX$2:$AX$18)+SUMPRODUCT(Attributs!$DE$2:$DE$18,Attributs!$AY$2:$AY$18))/((SQRT(SUMSQ(Attributs!$DD$2:$DD$18)+SUMSQ(Attributs!$DE$2:$DE$18)))*(SQRT(SUMSQ(Attributs!$AX$2:$AX$18)+SUMSQ(Attributs!$AY$2:$AY$18)))),0)</f>
        <v/>
      </c>
      <c r="AA55" s="2">
        <f>IFERROR((SUMPRODUCT(Attributs!$DD$2:$DD$18,Attributs!$AZ$2:$AZ$18)+SUMPRODUCT(Attributs!$DE$2:$DE$18,Attributs!$BA$2:$BA$18))/((SQRT(SUMSQ(Attributs!$DD$2:$DD$18)+SUMSQ(Attributs!$DE$2:$DE$18)))*(SQRT(SUMSQ(Attributs!$AZ$2:$AZ$18)+SUMSQ(Attributs!$BA$2:$BA$18)))),0)</f>
        <v/>
      </c>
      <c r="AB55" s="2">
        <f>IFERROR((SUMPRODUCT(Attributs!$DD$2:$DD$18,Attributs!$BB$2:$BB$18)+SUMPRODUCT(Attributs!$DE$2:$DE$18,Attributs!$BC$2:$BC$18))/((SQRT(SUMSQ(Attributs!$DD$2:$DD$18)+SUMSQ(Attributs!$DE$2:$DE$18)))*(SQRT(SUMSQ(Attributs!$BB$2:$BB$18)+SUMSQ(Attributs!$BC$2:$BC$18)))),0)</f>
        <v/>
      </c>
      <c r="AC55" s="2">
        <f>IFERROR((SUMPRODUCT(Attributs!$DD$2:$DD$18,Attributs!$BD$2:$BD$18)+SUMPRODUCT(Attributs!$DE$2:$DE$18,Attributs!$BE$2:$BE$18))/((SQRT(SUMSQ(Attributs!$DD$2:$DD$18)+SUMSQ(Attributs!$DE$2:$DE$18)))*(SQRT(SUMSQ(Attributs!$BD$2:$BD$18)+SUMSQ(Attributs!$BE$2:$BE$18)))),0)</f>
        <v/>
      </c>
      <c r="AD55" s="2">
        <f>IFERROR((SUMPRODUCT(Attributs!$DD$2:$DD$18,Attributs!$BF$2:$BF$18)+SUMPRODUCT(Attributs!$DE$2:$DE$18,Attributs!$BG$2:$BG$18))/((SQRT(SUMSQ(Attributs!$DD$2:$DD$18)+SUMSQ(Attributs!$DE$2:$DE$18)))*(SQRT(SUMSQ(Attributs!$BF$2:$BF$18)+SUMSQ(Attributs!$BG$2:$BG$18)))),0)</f>
        <v/>
      </c>
      <c r="AE55" s="2">
        <f>IFERROR((SUMPRODUCT(Attributs!$DD$2:$DD$18,Attributs!$BH$2:$BH$18)+SUMPRODUCT(Attributs!$DE$2:$DE$18,Attributs!$BI$2:$BI$18))/((SQRT(SUMSQ(Attributs!$DD$2:$DD$18)+SUMSQ(Attributs!$DE$2:$DE$18)))*(SQRT(SUMSQ(Attributs!$BH$2:$BH$18)+SUMSQ(Attributs!$BI$2:$BI$18)))),0)</f>
        <v/>
      </c>
      <c r="AF55" s="2">
        <f>IFERROR((SUMPRODUCT(Attributs!$DD$2:$DD$18,Attributs!$BJ$2:$BJ$18)+SUMPRODUCT(Attributs!$DE$2:$DE$18,Attributs!$BK$2:$BK$18))/((SQRT(SUMSQ(Attributs!$DD$2:$DD$18)+SUMSQ(Attributs!$DE$2:$DE$18)))*(SQRT(SUMSQ(Attributs!$BJ$2:$BJ$18)+SUMSQ(Attributs!$BK$2:$BK$18)))),0)</f>
        <v/>
      </c>
      <c r="AG55" s="2">
        <f>IFERROR((SUMPRODUCT(Attributs!$DD$2:$DD$18,Attributs!$BL$2:$BL$18)+SUMPRODUCT(Attributs!$DE$2:$DE$18,Attributs!$BM$2:$BM$18))/((SQRT(SUMSQ(Attributs!$DD$2:$DD$18)+SUMSQ(Attributs!$DE$2:$DE$18)))*(SQRT(SUMSQ(Attributs!$BL$2:$BL$18)+SUMSQ(Attributs!$BM$2:$BM$18)))),0)</f>
        <v/>
      </c>
      <c r="AH55" s="2">
        <f>IFERROR((SUMPRODUCT(Attributs!$DD$2:$DD$18,Attributs!$BN$2:$BN$18)+SUMPRODUCT(Attributs!$DE$2:$DE$18,Attributs!$BO$2:$BO$18))/((SQRT(SUMSQ(Attributs!$DD$2:$DD$18)+SUMSQ(Attributs!$DE$2:$DE$18)))*(SQRT(SUMSQ(Attributs!$BN$2:$BN$18)+SUMSQ(Attributs!$BO$2:$BO$18)))),0)</f>
        <v/>
      </c>
      <c r="AI55" s="2">
        <f>IFERROR((SUMPRODUCT(Attributs!$DD$2:$DD$18,Attributs!$BP$2:$BP$18)+SUMPRODUCT(Attributs!$DE$2:$DE$18,Attributs!$BQ$2:$BQ$18))/((SQRT(SUMSQ(Attributs!$DD$2:$DD$18)+SUMSQ(Attributs!$DE$2:$DE$18)))*(SQRT(SUMSQ(Attributs!$BP$2:$BP$18)+SUMSQ(Attributs!$BQ$2:$BQ$18)))),0)</f>
        <v/>
      </c>
      <c r="AJ55" s="2">
        <f>IFERROR((SUMPRODUCT(Attributs!$DD$2:$DD$18,Attributs!$BR$2:$BR$18)+SUMPRODUCT(Attributs!$DE$2:$DE$18,Attributs!$BS$2:$BS$18))/((SQRT(SUMSQ(Attributs!$DD$2:$DD$18)+SUMSQ(Attributs!$DE$2:$DE$18)))*(SQRT(SUMSQ(Attributs!$BR$2:$BR$18)+SUMSQ(Attributs!$BS$2:$BS$18)))),0)</f>
        <v/>
      </c>
      <c r="AK55" s="2">
        <f>IFERROR((SUMPRODUCT(Attributs!$DD$2:$DD$18,Attributs!$BT$2:$BT$18)+SUMPRODUCT(Attributs!$DE$2:$DE$18,Attributs!$BU$2:$BU$18))/((SQRT(SUMSQ(Attributs!$DD$2:$DD$18)+SUMSQ(Attributs!$DE$2:$DE$18)))*(SQRT(SUMSQ(Attributs!$BT$2:$BT$18)+SUMSQ(Attributs!$BU$2:$BU$18)))),0)</f>
        <v/>
      </c>
      <c r="AL55" s="2">
        <f>IFERROR((SUMPRODUCT(Attributs!$DD$2:$DD$18,Attributs!$BV$2:$BV$18)+SUMPRODUCT(Attributs!$DE$2:$DE$18,Attributs!$BW$2:$BW$18))/((SQRT(SUMSQ(Attributs!$DD$2:$DD$18)+SUMSQ(Attributs!$DE$2:$DE$18)))*(SQRT(SUMSQ(Attributs!$BV$2:$BV$18)+SUMSQ(Attributs!$BW$2:$BW$18)))),0)</f>
        <v/>
      </c>
      <c r="AM55" s="2">
        <f>IFERROR((SUMPRODUCT(Attributs!$DD$2:$DD$18,Attributs!$BX$2:$BX$18)+SUMPRODUCT(Attributs!$DE$2:$DE$18,Attributs!$BY$2:$BY$18))/((SQRT(SUMSQ(Attributs!$DD$2:$DD$18)+SUMSQ(Attributs!$DE$2:$DE$18)))*(SQRT(SUMSQ(Attributs!$BX$2:$BX$18)+SUMSQ(Attributs!$BY$2:$BY$18)))),0)</f>
        <v/>
      </c>
      <c r="AN55" s="2">
        <f>IFERROR((SUMPRODUCT(Attributs!$DD$2:$DD$18,Attributs!$BZ$2:$BZ$18)+SUMPRODUCT(Attributs!$DE$2:$DE$18,Attributs!$CA$2:$CA$18))/((SQRT(SUMSQ(Attributs!$DD$2:$DD$18)+SUMSQ(Attributs!$DE$2:$DE$18)))*(SQRT(SUMSQ(Attributs!$BZ$2:$BZ$18)+SUMSQ(Attributs!$CA$2:$CA$18)))),0)</f>
        <v/>
      </c>
      <c r="AO55" s="2">
        <f>IFERROR((SUMPRODUCT(Attributs!$DD$2:$DD$18,Attributs!$CB$2:$CB$18)+SUMPRODUCT(Attributs!$DE$2:$DE$18,Attributs!$CC$2:$CC$18))/((SQRT(SUMSQ(Attributs!$DD$2:$DD$18)+SUMSQ(Attributs!$DE$2:$DE$18)))*(SQRT(SUMSQ(Attributs!$CB$2:$CB$18)+SUMSQ(Attributs!$CC$2:$CC$18)))),0)</f>
        <v/>
      </c>
      <c r="AP55" s="2">
        <f>IFERROR((SUMPRODUCT(Attributs!$DD$2:$DD$18,Attributs!$CD$2:$CD$18)+SUMPRODUCT(Attributs!$DE$2:$DE$18,Attributs!$CE$2:$CE$18))/((SQRT(SUMSQ(Attributs!$DD$2:$DD$18)+SUMSQ(Attributs!$DE$2:$DE$18)))*(SQRT(SUMSQ(Attributs!$CD$2:$CD$18)+SUMSQ(Attributs!$CE$2:$CE$18)))),0)</f>
        <v/>
      </c>
      <c r="AQ55" s="2">
        <f>IFERROR((SUMPRODUCT(Attributs!$DD$2:$DD$18,Attributs!$CF$2:$CF$18)+SUMPRODUCT(Attributs!$DE$2:$DE$18,Attributs!$CG$2:$CG$18))/((SQRT(SUMSQ(Attributs!$DD$2:$DD$18)+SUMSQ(Attributs!$DE$2:$DE$18)))*(SQRT(SUMSQ(Attributs!$CF$2:$CF$18)+SUMSQ(Attributs!$CG$2:$CG$18)))),0)</f>
        <v/>
      </c>
      <c r="AR55" s="2">
        <f>IFERROR((SUMPRODUCT(Attributs!$DD$2:$DD$18,Attributs!$CH$2:$CH$18)+SUMPRODUCT(Attributs!$DE$2:$DE$18,Attributs!$CI$2:$CI$18))/((SQRT(SUMSQ(Attributs!$DD$2:$DD$18)+SUMSQ(Attributs!$DE$2:$DE$18)))*(SQRT(SUMSQ(Attributs!$CH$2:$CH$18)+SUMSQ(Attributs!$CI$2:$CI$18)))),0)</f>
        <v/>
      </c>
      <c r="AS55" s="2">
        <f>IFERROR((SUMPRODUCT(Attributs!$DD$2:$DD$18,Attributs!$CJ$2:$CJ$18)+SUMPRODUCT(Attributs!$DE$2:$DE$18,Attributs!$CK$2:$CK$18))/((SQRT(SUMSQ(Attributs!$DD$2:$DD$18)+SUMSQ(Attributs!$DE$2:$DE$18)))*(SQRT(SUMSQ(Attributs!$CJ$2:$CJ$18)+SUMSQ(Attributs!$CK$2:$CK$18)))),0)</f>
        <v/>
      </c>
      <c r="AT55" s="2">
        <f>IFERROR((SUMPRODUCT(Attributs!$DD$2:$DD$18,Attributs!$CL$2:$CL$18)+SUMPRODUCT(Attributs!$DE$2:$DE$18,Attributs!$CM$2:$CM$18))/((SQRT(SUMSQ(Attributs!$DD$2:$DD$18)+SUMSQ(Attributs!$DE$2:$DE$18)))*(SQRT(SUMSQ(Attributs!$CL$2:$CL$18)+SUMSQ(Attributs!$CM$2:$CM$18)))),0)</f>
        <v/>
      </c>
      <c r="AU55" s="2">
        <f>IFERROR((SUMPRODUCT(Attributs!$DD$2:$DD$18,Attributs!$CN$2:$CN$18)+SUMPRODUCT(Attributs!$DE$2:$DE$18,Attributs!$CO$2:$CO$18))/((SQRT(SUMSQ(Attributs!$DD$2:$DD$18)+SUMSQ(Attributs!$DE$2:$DE$18)))*(SQRT(SUMSQ(Attributs!$CN$2:$CN$18)+SUMSQ(Attributs!$CO$2:$CO$18)))),0)</f>
        <v/>
      </c>
      <c r="AV55" s="2">
        <f>IFERROR((SUMPRODUCT(Attributs!$DD$2:$DD$18,Attributs!$CP$2:$CP$18)+SUMPRODUCT(Attributs!$DE$2:$DE$18,Attributs!$CQ$2:$CQ$18))/((SQRT(SUMSQ(Attributs!$DD$2:$DD$18)+SUMSQ(Attributs!$DE$2:$DE$18)))*(SQRT(SUMSQ(Attributs!$CP$2:$CP$18)+SUMSQ(Attributs!$CQ$2:$CQ$18)))),0)</f>
        <v/>
      </c>
      <c r="AW55" s="2">
        <f>IFERROR((SUMPRODUCT(Attributs!$DD$2:$DD$18,Attributs!$CR$2:$CR$18)+SUMPRODUCT(Attributs!$DE$2:$DE$18,Attributs!$CS$2:$CS$18))/((SQRT(SUMSQ(Attributs!$DD$2:$DD$18)+SUMSQ(Attributs!$DE$2:$DE$18)))*(SQRT(SUMSQ(Attributs!$CR$2:$CR$18)+SUMSQ(Attributs!$CS$2:$CS$18)))),0)</f>
        <v/>
      </c>
      <c r="AX55" s="2">
        <f>IFERROR((SUMPRODUCT(Attributs!$DD$2:$DD$18,Attributs!$CT$2:$CT$18)+SUMPRODUCT(Attributs!$DE$2:$DE$18,Attributs!$CU$2:$CU$18))/((SQRT(SUMSQ(Attributs!$DD$2:$DD$18)+SUMSQ(Attributs!$DE$2:$DE$18)))*(SQRT(SUMSQ(Attributs!$CT$2:$CT$18)+SUMSQ(Attributs!$CU$2:$CU$18)))),0)</f>
        <v/>
      </c>
      <c r="AY55" s="2">
        <f>IFERROR((SUMPRODUCT(Attributs!$DD$2:$DD$18,Attributs!$CV$2:$CV$18)+SUMPRODUCT(Attributs!$DE$2:$DE$18,Attributs!$CW$2:$CW$18))/((SQRT(SUMSQ(Attributs!$DD$2:$DD$18)+SUMSQ(Attributs!$DE$2:$DE$18)))*(SQRT(SUMSQ(Attributs!$CV$2:$CV$18)+SUMSQ(Attributs!$CW$2:$CW$18)))),0)</f>
        <v/>
      </c>
      <c r="AZ55" s="2">
        <f>IFERROR((SUMPRODUCT(Attributs!$DD$2:$DD$18,Attributs!$CX$2:$CX$18)+SUMPRODUCT(Attributs!$DE$2:$DE$18,Attributs!$CY$2:$CY$18))/((SQRT(SUMSQ(Attributs!$DD$2:$DD$18)+SUMSQ(Attributs!$DE$2:$DE$18)))*(SQRT(SUMSQ(Attributs!$CX$2:$CX$18)+SUMSQ(Attributs!$CY$2:$CY$18)))),0)</f>
        <v/>
      </c>
      <c r="BA55" s="2">
        <f>IFERROR((SUMPRODUCT(Attributs!$DD$2:$DD$18,Attributs!$CZ$2:$CZ$18)+SUMPRODUCT(Attributs!$DE$2:$DE$18,Attributs!$DA$2:$DA$18))/((SQRT(SUMSQ(Attributs!$DD$2:$DD$18)+SUMSQ(Attributs!$DE$2:$DE$18)))*(SQRT(SUMSQ(Attributs!$CZ$2:$CZ$18)+SUMSQ(Attributs!$DA$2:$DA$18)))),0)</f>
        <v/>
      </c>
      <c r="BB55" s="2">
        <f>IFERROR((SUMPRODUCT(Attributs!$DD$2:$DD$18,Attributs!$DB$2:$DB$18)+SUMPRODUCT(Attributs!$DE$2:$DE$18,Attributs!$DC$2:$DC$18))/((SQRT(SUMSQ(Attributs!$DD$2:$DD$18)+SUMSQ(Attributs!$DE$2:$DE$18)))*(SQRT(SUMSQ(Attributs!$DB$2:$DB$18)+SUMSQ(Attributs!$DC$2:$DC$18)))),0)</f>
        <v/>
      </c>
      <c r="BC55" s="2">
        <f>IFERROR((SUMPRODUCT(Attributs!$DD$2:$DD$18,Attributs!$DD$2:$DD$18)+SUMPRODUCT(Attributs!$DE$2:$DE$18,Attributs!$DE$2:$DE$18))/((SQRT(SUMSQ(Attributs!$DD$2:$DD$18)+SUMSQ(Attributs!$DE$2:$DE$18)))*(SQRT(SUMSQ(Attributs!$DD$2:$DD$18)+SUMSQ(Attributs!$DE$2:$DE$18)))),0)</f>
        <v/>
      </c>
      <c r="BD55" s="2">
        <f>IFERROR((SUMPRODUCT(Attributs!$DD$2:$DD$18,Attributs!$DF$2:$DF$18)+SUMPRODUCT(Attributs!$DE$2:$DE$18,Attributs!$DG$2:$DG$18))/((SQRT(SUMSQ(Attributs!$DD$2:$DD$18)+SUMSQ(Attributs!$DE$2:$DE$18)))*(SQRT(SUMSQ(Attributs!$DF$2:$DF$18)+SUMSQ(Attributs!$DG$2:$DG$18)))),0)</f>
        <v/>
      </c>
      <c r="BE55" s="2">
        <f>IFERROR((SUMPRODUCT(Attributs!$DD$2:$DD$18,Attributs!$DH$2:$DH$18)+SUMPRODUCT(Attributs!$DE$2:$DE$18,Attributs!$DI$2:$DI$18))/((SQRT(SUMSQ(Attributs!$DD$2:$DD$18)+SUMSQ(Attributs!$DE$2:$DE$18)))*(SQRT(SUMSQ(Attributs!$DH$2:$DH$18)+SUMSQ(Attributs!$DI$2:$DI$18)))),0)</f>
        <v/>
      </c>
      <c r="BF55" s="2">
        <f>IFERROR((SUMPRODUCT(Attributs!$DD$2:$DD$18,Attributs!$DJ$2:$DJ$18)+SUMPRODUCT(Attributs!$DE$2:$DE$18,Attributs!$DK$2:$DK$18))/((SQRT(SUMSQ(Attributs!$DD$2:$DD$18)+SUMSQ(Attributs!$DE$2:$DE$18)))*(SQRT(SUMSQ(Attributs!$DJ$2:$DJ$18)+SUMSQ(Attributs!$DK$2:$DK$18)))),0)</f>
        <v/>
      </c>
      <c r="BG55" s="2">
        <f>IFERROR((SUMPRODUCT(Attributs!$DD$2:$DD$18,Attributs!$DL$2:$DL$18)+SUMPRODUCT(Attributs!$DE$2:$DE$18,Attributs!$DM$2:$DM$18))/((SQRT(SUMSQ(Attributs!$DD$2:$DD$18)+SUMSQ(Attributs!$DE$2:$DE$18)))*(SQRT(SUMSQ(Attributs!$DL$2:$DL$18)+SUMSQ(Attributs!$DM$2:$DM$18)))),0)</f>
        <v/>
      </c>
      <c r="BH55" s="2">
        <f>IFERROR((SUMPRODUCT(Attributs!$DD$2:$DD$18,Attributs!$DN$2:$DN$18)+SUMPRODUCT(Attributs!$DE$2:$DE$18,Attributs!$DO$2:$DO$18))/((SQRT(SUMSQ(Attributs!$DD$2:$DD$18)+SUMSQ(Attributs!$DE$2:$DE$18)))*(SQRT(SUMSQ(Attributs!$DN$2:$DN$18)+SUMSQ(Attributs!$DO$2:$DO$18)))),0)</f>
        <v/>
      </c>
      <c r="BI55" s="2">
        <f>IFERROR((SUMPRODUCT(Attributs!$DD$2:$DD$18,Attributs!$DP$2:$DP$18)+SUMPRODUCT(Attributs!$DE$2:$DE$18,Attributs!$DQ$2:$DQ$18))/((SQRT(SUMSQ(Attributs!$DD$2:$DD$18)+SUMSQ(Attributs!$DE$2:$DE$18)))*(SQRT(SUMSQ(Attributs!$DP$2:$DP$18)+SUMSQ(Attributs!$DQ$2:$DQ$18)))),0)</f>
        <v/>
      </c>
      <c r="BJ55" s="2">
        <f>IFERROR((SUMPRODUCT(Attributs!$DD$2:$DD$18,Attributs!$DR$2:$DR$18)+SUMPRODUCT(Attributs!$DE$2:$DE$18,Attributs!$DS$2:$DS$18))/((SQRT(SUMSQ(Attributs!$DD$2:$DD$18)+SUMSQ(Attributs!$DE$2:$DE$18)))*(SQRT(SUMSQ(Attributs!$DR$2:$DR$18)+SUMSQ(Attributs!$DS$2:$DS$18)))),0)</f>
        <v/>
      </c>
      <c r="BK55" s="2">
        <f>IFERROR((SUMPRODUCT(Attributs!$DD$2:$DD$18,Attributs!$DT$2:$DT$18)+SUMPRODUCT(Attributs!$DE$2:$DE$18,Attributs!$DU$2:$DU$18))/((SQRT(SUMSQ(Attributs!$DD$2:$DD$18)+SUMSQ(Attributs!$DE$2:$DE$18)))*(SQRT(SUMSQ(Attributs!$DT$2:$DT$18)+SUMSQ(Attributs!$DU$2:$DU$18)))),0)</f>
        <v/>
      </c>
      <c r="BL55" s="2">
        <f>IFERROR((SUMPRODUCT(Attributs!$DD$2:$DD$18,Attributs!$DV$2:$DV$18)+SUMPRODUCT(Attributs!$DE$2:$DE$18,Attributs!$DW$2:$DW$18))/((SQRT(SUMSQ(Attributs!$DD$2:$DD$18)+SUMSQ(Attributs!$DE$2:$DE$18)))*(SQRT(SUMSQ(Attributs!$DV$2:$DV$18)+SUMSQ(Attributs!$DW$2:$DW$18)))),0)</f>
        <v/>
      </c>
    </row>
    <row r="56">
      <c r="A56" s="3" t="inlineStr">
        <is>
          <t>SE_neo4j.Users.id</t>
        </is>
      </c>
      <c r="B56" s="2">
        <f>IFERROR((SUMPRODUCT(Attributs!$DF$2:$DF$18,Attributs!$B$2:$B$18)+SUMPRODUCT(Attributs!$DG$2:$DG$18,Attributs!$C$2:$C$18))/((SQRT(SUMSQ(Attributs!$DF$2:$DF$18)+SUMSQ(Attributs!$DG$2:$DG$18)))*(SQRT(SUMSQ(Attributs!$B$2:$B$18)+SUMSQ(Attributs!$C$2:$C$18)))),0)</f>
        <v/>
      </c>
      <c r="C56" s="2">
        <f>IFERROR((SUMPRODUCT(Attributs!$DF$2:$DF$18,Attributs!$D$2:$D$18)+SUMPRODUCT(Attributs!$DG$2:$DG$18,Attributs!$E$2:$E$18))/((SQRT(SUMSQ(Attributs!$DF$2:$DF$18)+SUMSQ(Attributs!$DG$2:$DG$18)))*(SQRT(SUMSQ(Attributs!$D$2:$D$18)+SUMSQ(Attributs!$E$2:$E$18)))),0)</f>
        <v/>
      </c>
      <c r="D56" s="2">
        <f>IFERROR((SUMPRODUCT(Attributs!$DF$2:$DF$18,Attributs!$F$2:$F$18)+SUMPRODUCT(Attributs!$DG$2:$DG$18,Attributs!$G$2:$G$18))/((SQRT(SUMSQ(Attributs!$DF$2:$DF$18)+SUMSQ(Attributs!$DG$2:$DG$18)))*(SQRT(SUMSQ(Attributs!$F$2:$F$18)+SUMSQ(Attributs!$G$2:$G$18)))),0)</f>
        <v/>
      </c>
      <c r="E56" s="2">
        <f>IFERROR((SUMPRODUCT(Attributs!$DF$2:$DF$18,Attributs!$H$2:$H$18)+SUMPRODUCT(Attributs!$DG$2:$DG$18,Attributs!$I$2:$I$18))/((SQRT(SUMSQ(Attributs!$DF$2:$DF$18)+SUMSQ(Attributs!$DG$2:$DG$18)))*(SQRT(SUMSQ(Attributs!$H$2:$H$18)+SUMSQ(Attributs!$I$2:$I$18)))),0)</f>
        <v/>
      </c>
      <c r="F56" s="2">
        <f>IFERROR((SUMPRODUCT(Attributs!$DF$2:$DF$18,Attributs!$J$2:$J$18)+SUMPRODUCT(Attributs!$DG$2:$DG$18,Attributs!$K$2:$K$18))/((SQRT(SUMSQ(Attributs!$DF$2:$DF$18)+SUMSQ(Attributs!$DG$2:$DG$18)))*(SQRT(SUMSQ(Attributs!$J$2:$J$18)+SUMSQ(Attributs!$K$2:$K$18)))),0)</f>
        <v/>
      </c>
      <c r="G56" s="2">
        <f>IFERROR((SUMPRODUCT(Attributs!$DF$2:$DF$18,Attributs!$L$2:$L$18)+SUMPRODUCT(Attributs!$DG$2:$DG$18,Attributs!$M$2:$M$18))/((SQRT(SUMSQ(Attributs!$DF$2:$DF$18)+SUMSQ(Attributs!$DG$2:$DG$18)))*(SQRT(SUMSQ(Attributs!$L$2:$L$18)+SUMSQ(Attributs!$M$2:$M$18)))),0)</f>
        <v/>
      </c>
      <c r="H56" s="2">
        <f>IFERROR((SUMPRODUCT(Attributs!$DF$2:$DF$18,Attributs!$N$2:$N$18)+SUMPRODUCT(Attributs!$DG$2:$DG$18,Attributs!$O$2:$O$18))/((SQRT(SUMSQ(Attributs!$DF$2:$DF$18)+SUMSQ(Attributs!$DG$2:$DG$18)))*(SQRT(SUMSQ(Attributs!$N$2:$N$18)+SUMSQ(Attributs!$O$2:$O$18)))),0)</f>
        <v/>
      </c>
      <c r="I56" s="2">
        <f>IFERROR((SUMPRODUCT(Attributs!$DF$2:$DF$18,Attributs!$P$2:$P$18)+SUMPRODUCT(Attributs!$DG$2:$DG$18,Attributs!$Q$2:$Q$18))/((SQRT(SUMSQ(Attributs!$DF$2:$DF$18)+SUMSQ(Attributs!$DG$2:$DG$18)))*(SQRT(SUMSQ(Attributs!$P$2:$P$18)+SUMSQ(Attributs!$Q$2:$Q$18)))),0)</f>
        <v/>
      </c>
      <c r="J56" s="2">
        <f>IFERROR((SUMPRODUCT(Attributs!$DF$2:$DF$18,Attributs!$R$2:$R$18)+SUMPRODUCT(Attributs!$DG$2:$DG$18,Attributs!$S$2:$S$18))/((SQRT(SUMSQ(Attributs!$DF$2:$DF$18)+SUMSQ(Attributs!$DG$2:$DG$18)))*(SQRT(SUMSQ(Attributs!$R$2:$R$18)+SUMSQ(Attributs!$S$2:$S$18)))),0)</f>
        <v/>
      </c>
      <c r="K56" s="2">
        <f>IFERROR((SUMPRODUCT(Attributs!$DF$2:$DF$18,Attributs!$T$2:$T$18)+SUMPRODUCT(Attributs!$DG$2:$DG$18,Attributs!$U$2:$U$18))/((SQRT(SUMSQ(Attributs!$DF$2:$DF$18)+SUMSQ(Attributs!$DG$2:$DG$18)))*(SQRT(SUMSQ(Attributs!$T$2:$T$18)+SUMSQ(Attributs!$U$2:$U$18)))),0)</f>
        <v/>
      </c>
      <c r="L56" s="2">
        <f>IFERROR((SUMPRODUCT(Attributs!$DF$2:$DF$18,Attributs!$V$2:$V$18)+SUMPRODUCT(Attributs!$DG$2:$DG$18,Attributs!$W$2:$W$18))/((SQRT(SUMSQ(Attributs!$DF$2:$DF$18)+SUMSQ(Attributs!$DG$2:$DG$18)))*(SQRT(SUMSQ(Attributs!$V$2:$V$18)+SUMSQ(Attributs!$W$2:$W$18)))),0)</f>
        <v/>
      </c>
      <c r="M56" s="2">
        <f>IFERROR((SUMPRODUCT(Attributs!$DF$2:$DF$18,Attributs!$X$2:$X$18)+SUMPRODUCT(Attributs!$DG$2:$DG$18,Attributs!$Y$2:$Y$18))/((SQRT(SUMSQ(Attributs!$DF$2:$DF$18)+SUMSQ(Attributs!$DG$2:$DG$18)))*(SQRT(SUMSQ(Attributs!$X$2:$X$18)+SUMSQ(Attributs!$Y$2:$Y$18)))),0)</f>
        <v/>
      </c>
      <c r="N56" s="2">
        <f>IFERROR((SUMPRODUCT(Attributs!$DF$2:$DF$18,Attributs!$Z$2:$Z$18)+SUMPRODUCT(Attributs!$DG$2:$DG$18,Attributs!$AA$2:$AA$18))/((SQRT(SUMSQ(Attributs!$DF$2:$DF$18)+SUMSQ(Attributs!$DG$2:$DG$18)))*(SQRT(SUMSQ(Attributs!$Z$2:$Z$18)+SUMSQ(Attributs!$AA$2:$AA$18)))),0)</f>
        <v/>
      </c>
      <c r="O56" s="2">
        <f>IFERROR((SUMPRODUCT(Attributs!$DF$2:$DF$18,Attributs!$AB$2:$AB$18)+SUMPRODUCT(Attributs!$DG$2:$DG$18,Attributs!$AC$2:$AC$18))/((SQRT(SUMSQ(Attributs!$DF$2:$DF$18)+SUMSQ(Attributs!$DG$2:$DG$18)))*(SQRT(SUMSQ(Attributs!$AB$2:$AB$18)+SUMSQ(Attributs!$AC$2:$AC$18)))),0)</f>
        <v/>
      </c>
      <c r="P56" s="2">
        <f>IFERROR((SUMPRODUCT(Attributs!$DF$2:$DF$18,Attributs!$AD$2:$AD$18)+SUMPRODUCT(Attributs!$DG$2:$DG$18,Attributs!$AE$2:$AE$18))/((SQRT(SUMSQ(Attributs!$DF$2:$DF$18)+SUMSQ(Attributs!$DG$2:$DG$18)))*(SQRT(SUMSQ(Attributs!$AD$2:$AD$18)+SUMSQ(Attributs!$AE$2:$AE$18)))),0)</f>
        <v/>
      </c>
      <c r="Q56" s="2">
        <f>IFERROR((SUMPRODUCT(Attributs!$DF$2:$DF$18,Attributs!$AF$2:$AF$18)+SUMPRODUCT(Attributs!$DG$2:$DG$18,Attributs!$AG$2:$AG$18))/((SQRT(SUMSQ(Attributs!$DF$2:$DF$18)+SUMSQ(Attributs!$DG$2:$DG$18)))*(SQRT(SUMSQ(Attributs!$AF$2:$AF$18)+SUMSQ(Attributs!$AG$2:$AG$18)))),0)</f>
        <v/>
      </c>
      <c r="R56" s="2">
        <f>IFERROR((SUMPRODUCT(Attributs!$DF$2:$DF$18,Attributs!$AH$2:$AH$18)+SUMPRODUCT(Attributs!$DG$2:$DG$18,Attributs!$AI$2:$AI$18))/((SQRT(SUMSQ(Attributs!$DF$2:$DF$18)+SUMSQ(Attributs!$DG$2:$DG$18)))*(SQRT(SUMSQ(Attributs!$AH$2:$AH$18)+SUMSQ(Attributs!$AI$2:$AI$18)))),0)</f>
        <v/>
      </c>
      <c r="S56" s="2">
        <f>IFERROR((SUMPRODUCT(Attributs!$DF$2:$DF$18,Attributs!$AJ$2:$AJ$18)+SUMPRODUCT(Attributs!$DG$2:$DG$18,Attributs!$AK$2:$AK$18))/((SQRT(SUMSQ(Attributs!$DF$2:$DF$18)+SUMSQ(Attributs!$DG$2:$DG$18)))*(SQRT(SUMSQ(Attributs!$AJ$2:$AJ$18)+SUMSQ(Attributs!$AK$2:$AK$18)))),0)</f>
        <v/>
      </c>
      <c r="T56" s="2">
        <f>IFERROR((SUMPRODUCT(Attributs!$DF$2:$DF$18,Attributs!$AL$2:$AL$18)+SUMPRODUCT(Attributs!$DG$2:$DG$18,Attributs!$AM$2:$AM$18))/((SQRT(SUMSQ(Attributs!$DF$2:$DF$18)+SUMSQ(Attributs!$DG$2:$DG$18)))*(SQRT(SUMSQ(Attributs!$AL$2:$AL$18)+SUMSQ(Attributs!$AM$2:$AM$18)))),0)</f>
        <v/>
      </c>
      <c r="U56" s="2">
        <f>IFERROR((SUMPRODUCT(Attributs!$DF$2:$DF$18,Attributs!$AN$2:$AN$18)+SUMPRODUCT(Attributs!$DG$2:$DG$18,Attributs!$AO$2:$AO$18))/((SQRT(SUMSQ(Attributs!$DF$2:$DF$18)+SUMSQ(Attributs!$DG$2:$DG$18)))*(SQRT(SUMSQ(Attributs!$AN$2:$AN$18)+SUMSQ(Attributs!$AO$2:$AO$18)))),0)</f>
        <v/>
      </c>
      <c r="V56" s="2">
        <f>IFERROR((SUMPRODUCT(Attributs!$DF$2:$DF$18,Attributs!$AP$2:$AP$18)+SUMPRODUCT(Attributs!$DG$2:$DG$18,Attributs!$AQ$2:$AQ$18))/((SQRT(SUMSQ(Attributs!$DF$2:$DF$18)+SUMSQ(Attributs!$DG$2:$DG$18)))*(SQRT(SUMSQ(Attributs!$AP$2:$AP$18)+SUMSQ(Attributs!$AQ$2:$AQ$18)))),0)</f>
        <v/>
      </c>
      <c r="W56" s="2">
        <f>IFERROR((SUMPRODUCT(Attributs!$DF$2:$DF$18,Attributs!$AR$2:$AR$18)+SUMPRODUCT(Attributs!$DG$2:$DG$18,Attributs!$AS$2:$AS$18))/((SQRT(SUMSQ(Attributs!$DF$2:$DF$18)+SUMSQ(Attributs!$DG$2:$DG$18)))*(SQRT(SUMSQ(Attributs!$AR$2:$AR$18)+SUMSQ(Attributs!$AS$2:$AS$18)))),0)</f>
        <v/>
      </c>
      <c r="X56" s="2">
        <f>IFERROR((SUMPRODUCT(Attributs!$DF$2:$DF$18,Attributs!$AT$2:$AT$18)+SUMPRODUCT(Attributs!$DG$2:$DG$18,Attributs!$AU$2:$AU$18))/((SQRT(SUMSQ(Attributs!$DF$2:$DF$18)+SUMSQ(Attributs!$DG$2:$DG$18)))*(SQRT(SUMSQ(Attributs!$AT$2:$AT$18)+SUMSQ(Attributs!$AU$2:$AU$18)))),0)</f>
        <v/>
      </c>
      <c r="Y56" s="2">
        <f>IFERROR((SUMPRODUCT(Attributs!$DF$2:$DF$18,Attributs!$AV$2:$AV$18)+SUMPRODUCT(Attributs!$DG$2:$DG$18,Attributs!$AW$2:$AW$18))/((SQRT(SUMSQ(Attributs!$DF$2:$DF$18)+SUMSQ(Attributs!$DG$2:$DG$18)))*(SQRT(SUMSQ(Attributs!$AV$2:$AV$18)+SUMSQ(Attributs!$AW$2:$AW$18)))),0)</f>
        <v/>
      </c>
      <c r="Z56" s="2">
        <f>IFERROR((SUMPRODUCT(Attributs!$DF$2:$DF$18,Attributs!$AX$2:$AX$18)+SUMPRODUCT(Attributs!$DG$2:$DG$18,Attributs!$AY$2:$AY$18))/((SQRT(SUMSQ(Attributs!$DF$2:$DF$18)+SUMSQ(Attributs!$DG$2:$DG$18)))*(SQRT(SUMSQ(Attributs!$AX$2:$AX$18)+SUMSQ(Attributs!$AY$2:$AY$18)))),0)</f>
        <v/>
      </c>
      <c r="AA56" s="2">
        <f>IFERROR((SUMPRODUCT(Attributs!$DF$2:$DF$18,Attributs!$AZ$2:$AZ$18)+SUMPRODUCT(Attributs!$DG$2:$DG$18,Attributs!$BA$2:$BA$18))/((SQRT(SUMSQ(Attributs!$DF$2:$DF$18)+SUMSQ(Attributs!$DG$2:$DG$18)))*(SQRT(SUMSQ(Attributs!$AZ$2:$AZ$18)+SUMSQ(Attributs!$BA$2:$BA$18)))),0)</f>
        <v/>
      </c>
      <c r="AB56" s="2">
        <f>IFERROR((SUMPRODUCT(Attributs!$DF$2:$DF$18,Attributs!$BB$2:$BB$18)+SUMPRODUCT(Attributs!$DG$2:$DG$18,Attributs!$BC$2:$BC$18))/((SQRT(SUMSQ(Attributs!$DF$2:$DF$18)+SUMSQ(Attributs!$DG$2:$DG$18)))*(SQRT(SUMSQ(Attributs!$BB$2:$BB$18)+SUMSQ(Attributs!$BC$2:$BC$18)))),0)</f>
        <v/>
      </c>
      <c r="AC56" s="2">
        <f>IFERROR((SUMPRODUCT(Attributs!$DF$2:$DF$18,Attributs!$BD$2:$BD$18)+SUMPRODUCT(Attributs!$DG$2:$DG$18,Attributs!$BE$2:$BE$18))/((SQRT(SUMSQ(Attributs!$DF$2:$DF$18)+SUMSQ(Attributs!$DG$2:$DG$18)))*(SQRT(SUMSQ(Attributs!$BD$2:$BD$18)+SUMSQ(Attributs!$BE$2:$BE$18)))),0)</f>
        <v/>
      </c>
      <c r="AD56" s="2">
        <f>IFERROR((SUMPRODUCT(Attributs!$DF$2:$DF$18,Attributs!$BF$2:$BF$18)+SUMPRODUCT(Attributs!$DG$2:$DG$18,Attributs!$BG$2:$BG$18))/((SQRT(SUMSQ(Attributs!$DF$2:$DF$18)+SUMSQ(Attributs!$DG$2:$DG$18)))*(SQRT(SUMSQ(Attributs!$BF$2:$BF$18)+SUMSQ(Attributs!$BG$2:$BG$18)))),0)</f>
        <v/>
      </c>
      <c r="AE56" s="2">
        <f>IFERROR((SUMPRODUCT(Attributs!$DF$2:$DF$18,Attributs!$BH$2:$BH$18)+SUMPRODUCT(Attributs!$DG$2:$DG$18,Attributs!$BI$2:$BI$18))/((SQRT(SUMSQ(Attributs!$DF$2:$DF$18)+SUMSQ(Attributs!$DG$2:$DG$18)))*(SQRT(SUMSQ(Attributs!$BH$2:$BH$18)+SUMSQ(Attributs!$BI$2:$BI$18)))),0)</f>
        <v/>
      </c>
      <c r="AF56" s="2">
        <f>IFERROR((SUMPRODUCT(Attributs!$DF$2:$DF$18,Attributs!$BJ$2:$BJ$18)+SUMPRODUCT(Attributs!$DG$2:$DG$18,Attributs!$BK$2:$BK$18))/((SQRT(SUMSQ(Attributs!$DF$2:$DF$18)+SUMSQ(Attributs!$DG$2:$DG$18)))*(SQRT(SUMSQ(Attributs!$BJ$2:$BJ$18)+SUMSQ(Attributs!$BK$2:$BK$18)))),0)</f>
        <v/>
      </c>
      <c r="AG56" s="2">
        <f>IFERROR((SUMPRODUCT(Attributs!$DF$2:$DF$18,Attributs!$BL$2:$BL$18)+SUMPRODUCT(Attributs!$DG$2:$DG$18,Attributs!$BM$2:$BM$18))/((SQRT(SUMSQ(Attributs!$DF$2:$DF$18)+SUMSQ(Attributs!$DG$2:$DG$18)))*(SQRT(SUMSQ(Attributs!$BL$2:$BL$18)+SUMSQ(Attributs!$BM$2:$BM$18)))),0)</f>
        <v/>
      </c>
      <c r="AH56" s="2">
        <f>IFERROR((SUMPRODUCT(Attributs!$DF$2:$DF$18,Attributs!$BN$2:$BN$18)+SUMPRODUCT(Attributs!$DG$2:$DG$18,Attributs!$BO$2:$BO$18))/((SQRT(SUMSQ(Attributs!$DF$2:$DF$18)+SUMSQ(Attributs!$DG$2:$DG$18)))*(SQRT(SUMSQ(Attributs!$BN$2:$BN$18)+SUMSQ(Attributs!$BO$2:$BO$18)))),0)</f>
        <v/>
      </c>
      <c r="AI56" s="2">
        <f>IFERROR((SUMPRODUCT(Attributs!$DF$2:$DF$18,Attributs!$BP$2:$BP$18)+SUMPRODUCT(Attributs!$DG$2:$DG$18,Attributs!$BQ$2:$BQ$18))/((SQRT(SUMSQ(Attributs!$DF$2:$DF$18)+SUMSQ(Attributs!$DG$2:$DG$18)))*(SQRT(SUMSQ(Attributs!$BP$2:$BP$18)+SUMSQ(Attributs!$BQ$2:$BQ$18)))),0)</f>
        <v/>
      </c>
      <c r="AJ56" s="2">
        <f>IFERROR((SUMPRODUCT(Attributs!$DF$2:$DF$18,Attributs!$BR$2:$BR$18)+SUMPRODUCT(Attributs!$DG$2:$DG$18,Attributs!$BS$2:$BS$18))/((SQRT(SUMSQ(Attributs!$DF$2:$DF$18)+SUMSQ(Attributs!$DG$2:$DG$18)))*(SQRT(SUMSQ(Attributs!$BR$2:$BR$18)+SUMSQ(Attributs!$BS$2:$BS$18)))),0)</f>
        <v/>
      </c>
      <c r="AK56" s="2">
        <f>IFERROR((SUMPRODUCT(Attributs!$DF$2:$DF$18,Attributs!$BT$2:$BT$18)+SUMPRODUCT(Attributs!$DG$2:$DG$18,Attributs!$BU$2:$BU$18))/((SQRT(SUMSQ(Attributs!$DF$2:$DF$18)+SUMSQ(Attributs!$DG$2:$DG$18)))*(SQRT(SUMSQ(Attributs!$BT$2:$BT$18)+SUMSQ(Attributs!$BU$2:$BU$18)))),0)</f>
        <v/>
      </c>
      <c r="AL56" s="2">
        <f>IFERROR((SUMPRODUCT(Attributs!$DF$2:$DF$18,Attributs!$BV$2:$BV$18)+SUMPRODUCT(Attributs!$DG$2:$DG$18,Attributs!$BW$2:$BW$18))/((SQRT(SUMSQ(Attributs!$DF$2:$DF$18)+SUMSQ(Attributs!$DG$2:$DG$18)))*(SQRT(SUMSQ(Attributs!$BV$2:$BV$18)+SUMSQ(Attributs!$BW$2:$BW$18)))),0)</f>
        <v/>
      </c>
      <c r="AM56" s="2">
        <f>IFERROR((SUMPRODUCT(Attributs!$DF$2:$DF$18,Attributs!$BX$2:$BX$18)+SUMPRODUCT(Attributs!$DG$2:$DG$18,Attributs!$BY$2:$BY$18))/((SQRT(SUMSQ(Attributs!$DF$2:$DF$18)+SUMSQ(Attributs!$DG$2:$DG$18)))*(SQRT(SUMSQ(Attributs!$BX$2:$BX$18)+SUMSQ(Attributs!$BY$2:$BY$18)))),0)</f>
        <v/>
      </c>
      <c r="AN56" s="2">
        <f>IFERROR((SUMPRODUCT(Attributs!$DF$2:$DF$18,Attributs!$BZ$2:$BZ$18)+SUMPRODUCT(Attributs!$DG$2:$DG$18,Attributs!$CA$2:$CA$18))/((SQRT(SUMSQ(Attributs!$DF$2:$DF$18)+SUMSQ(Attributs!$DG$2:$DG$18)))*(SQRT(SUMSQ(Attributs!$BZ$2:$BZ$18)+SUMSQ(Attributs!$CA$2:$CA$18)))),0)</f>
        <v/>
      </c>
      <c r="AO56" s="2">
        <f>IFERROR((SUMPRODUCT(Attributs!$DF$2:$DF$18,Attributs!$CB$2:$CB$18)+SUMPRODUCT(Attributs!$DG$2:$DG$18,Attributs!$CC$2:$CC$18))/((SQRT(SUMSQ(Attributs!$DF$2:$DF$18)+SUMSQ(Attributs!$DG$2:$DG$18)))*(SQRT(SUMSQ(Attributs!$CB$2:$CB$18)+SUMSQ(Attributs!$CC$2:$CC$18)))),0)</f>
        <v/>
      </c>
      <c r="AP56" s="2">
        <f>IFERROR((SUMPRODUCT(Attributs!$DF$2:$DF$18,Attributs!$CD$2:$CD$18)+SUMPRODUCT(Attributs!$DG$2:$DG$18,Attributs!$CE$2:$CE$18))/((SQRT(SUMSQ(Attributs!$DF$2:$DF$18)+SUMSQ(Attributs!$DG$2:$DG$18)))*(SQRT(SUMSQ(Attributs!$CD$2:$CD$18)+SUMSQ(Attributs!$CE$2:$CE$18)))),0)</f>
        <v/>
      </c>
      <c r="AQ56" s="2">
        <f>IFERROR((SUMPRODUCT(Attributs!$DF$2:$DF$18,Attributs!$CF$2:$CF$18)+SUMPRODUCT(Attributs!$DG$2:$DG$18,Attributs!$CG$2:$CG$18))/((SQRT(SUMSQ(Attributs!$DF$2:$DF$18)+SUMSQ(Attributs!$DG$2:$DG$18)))*(SQRT(SUMSQ(Attributs!$CF$2:$CF$18)+SUMSQ(Attributs!$CG$2:$CG$18)))),0)</f>
        <v/>
      </c>
      <c r="AR56" s="2">
        <f>IFERROR((SUMPRODUCT(Attributs!$DF$2:$DF$18,Attributs!$CH$2:$CH$18)+SUMPRODUCT(Attributs!$DG$2:$DG$18,Attributs!$CI$2:$CI$18))/((SQRT(SUMSQ(Attributs!$DF$2:$DF$18)+SUMSQ(Attributs!$DG$2:$DG$18)))*(SQRT(SUMSQ(Attributs!$CH$2:$CH$18)+SUMSQ(Attributs!$CI$2:$CI$18)))),0)</f>
        <v/>
      </c>
      <c r="AS56" s="2">
        <f>IFERROR((SUMPRODUCT(Attributs!$DF$2:$DF$18,Attributs!$CJ$2:$CJ$18)+SUMPRODUCT(Attributs!$DG$2:$DG$18,Attributs!$CK$2:$CK$18))/((SQRT(SUMSQ(Attributs!$DF$2:$DF$18)+SUMSQ(Attributs!$DG$2:$DG$18)))*(SQRT(SUMSQ(Attributs!$CJ$2:$CJ$18)+SUMSQ(Attributs!$CK$2:$CK$18)))),0)</f>
        <v/>
      </c>
      <c r="AT56" s="2">
        <f>IFERROR((SUMPRODUCT(Attributs!$DF$2:$DF$18,Attributs!$CL$2:$CL$18)+SUMPRODUCT(Attributs!$DG$2:$DG$18,Attributs!$CM$2:$CM$18))/((SQRT(SUMSQ(Attributs!$DF$2:$DF$18)+SUMSQ(Attributs!$DG$2:$DG$18)))*(SQRT(SUMSQ(Attributs!$CL$2:$CL$18)+SUMSQ(Attributs!$CM$2:$CM$18)))),0)</f>
        <v/>
      </c>
      <c r="AU56" s="2">
        <f>IFERROR((SUMPRODUCT(Attributs!$DF$2:$DF$18,Attributs!$CN$2:$CN$18)+SUMPRODUCT(Attributs!$DG$2:$DG$18,Attributs!$CO$2:$CO$18))/((SQRT(SUMSQ(Attributs!$DF$2:$DF$18)+SUMSQ(Attributs!$DG$2:$DG$18)))*(SQRT(SUMSQ(Attributs!$CN$2:$CN$18)+SUMSQ(Attributs!$CO$2:$CO$18)))),0)</f>
        <v/>
      </c>
      <c r="AV56" s="2">
        <f>IFERROR((SUMPRODUCT(Attributs!$DF$2:$DF$18,Attributs!$CP$2:$CP$18)+SUMPRODUCT(Attributs!$DG$2:$DG$18,Attributs!$CQ$2:$CQ$18))/((SQRT(SUMSQ(Attributs!$DF$2:$DF$18)+SUMSQ(Attributs!$DG$2:$DG$18)))*(SQRT(SUMSQ(Attributs!$CP$2:$CP$18)+SUMSQ(Attributs!$CQ$2:$CQ$18)))),0)</f>
        <v/>
      </c>
      <c r="AW56" s="2">
        <f>IFERROR((SUMPRODUCT(Attributs!$DF$2:$DF$18,Attributs!$CR$2:$CR$18)+SUMPRODUCT(Attributs!$DG$2:$DG$18,Attributs!$CS$2:$CS$18))/((SQRT(SUMSQ(Attributs!$DF$2:$DF$18)+SUMSQ(Attributs!$DG$2:$DG$18)))*(SQRT(SUMSQ(Attributs!$CR$2:$CR$18)+SUMSQ(Attributs!$CS$2:$CS$18)))),0)</f>
        <v/>
      </c>
      <c r="AX56" s="2">
        <f>IFERROR((SUMPRODUCT(Attributs!$DF$2:$DF$18,Attributs!$CT$2:$CT$18)+SUMPRODUCT(Attributs!$DG$2:$DG$18,Attributs!$CU$2:$CU$18))/((SQRT(SUMSQ(Attributs!$DF$2:$DF$18)+SUMSQ(Attributs!$DG$2:$DG$18)))*(SQRT(SUMSQ(Attributs!$CT$2:$CT$18)+SUMSQ(Attributs!$CU$2:$CU$18)))),0)</f>
        <v/>
      </c>
      <c r="AY56" s="2">
        <f>IFERROR((SUMPRODUCT(Attributs!$DF$2:$DF$18,Attributs!$CV$2:$CV$18)+SUMPRODUCT(Attributs!$DG$2:$DG$18,Attributs!$CW$2:$CW$18))/((SQRT(SUMSQ(Attributs!$DF$2:$DF$18)+SUMSQ(Attributs!$DG$2:$DG$18)))*(SQRT(SUMSQ(Attributs!$CV$2:$CV$18)+SUMSQ(Attributs!$CW$2:$CW$18)))),0)</f>
        <v/>
      </c>
      <c r="AZ56" s="2">
        <f>IFERROR((SUMPRODUCT(Attributs!$DF$2:$DF$18,Attributs!$CX$2:$CX$18)+SUMPRODUCT(Attributs!$DG$2:$DG$18,Attributs!$CY$2:$CY$18))/((SQRT(SUMSQ(Attributs!$DF$2:$DF$18)+SUMSQ(Attributs!$DG$2:$DG$18)))*(SQRT(SUMSQ(Attributs!$CX$2:$CX$18)+SUMSQ(Attributs!$CY$2:$CY$18)))),0)</f>
        <v/>
      </c>
      <c r="BA56" s="2">
        <f>IFERROR((SUMPRODUCT(Attributs!$DF$2:$DF$18,Attributs!$CZ$2:$CZ$18)+SUMPRODUCT(Attributs!$DG$2:$DG$18,Attributs!$DA$2:$DA$18))/((SQRT(SUMSQ(Attributs!$DF$2:$DF$18)+SUMSQ(Attributs!$DG$2:$DG$18)))*(SQRT(SUMSQ(Attributs!$CZ$2:$CZ$18)+SUMSQ(Attributs!$DA$2:$DA$18)))),0)</f>
        <v/>
      </c>
      <c r="BB56" s="2">
        <f>IFERROR((SUMPRODUCT(Attributs!$DF$2:$DF$18,Attributs!$DB$2:$DB$18)+SUMPRODUCT(Attributs!$DG$2:$DG$18,Attributs!$DC$2:$DC$18))/((SQRT(SUMSQ(Attributs!$DF$2:$DF$18)+SUMSQ(Attributs!$DG$2:$DG$18)))*(SQRT(SUMSQ(Attributs!$DB$2:$DB$18)+SUMSQ(Attributs!$DC$2:$DC$18)))),0)</f>
        <v/>
      </c>
      <c r="BC56" s="2">
        <f>IFERROR((SUMPRODUCT(Attributs!$DF$2:$DF$18,Attributs!$DD$2:$DD$18)+SUMPRODUCT(Attributs!$DG$2:$DG$18,Attributs!$DE$2:$DE$18))/((SQRT(SUMSQ(Attributs!$DF$2:$DF$18)+SUMSQ(Attributs!$DG$2:$DG$18)))*(SQRT(SUMSQ(Attributs!$DD$2:$DD$18)+SUMSQ(Attributs!$DE$2:$DE$18)))),0)</f>
        <v/>
      </c>
      <c r="BD56" s="2">
        <f>IFERROR((SUMPRODUCT(Attributs!$DF$2:$DF$18,Attributs!$DF$2:$DF$18)+SUMPRODUCT(Attributs!$DG$2:$DG$18,Attributs!$DG$2:$DG$18))/((SQRT(SUMSQ(Attributs!$DF$2:$DF$18)+SUMSQ(Attributs!$DG$2:$DG$18)))*(SQRT(SUMSQ(Attributs!$DF$2:$DF$18)+SUMSQ(Attributs!$DG$2:$DG$18)))),0)</f>
        <v/>
      </c>
      <c r="BE56" s="2">
        <f>IFERROR((SUMPRODUCT(Attributs!$DF$2:$DF$18,Attributs!$DH$2:$DH$18)+SUMPRODUCT(Attributs!$DG$2:$DG$18,Attributs!$DI$2:$DI$18))/((SQRT(SUMSQ(Attributs!$DF$2:$DF$18)+SUMSQ(Attributs!$DG$2:$DG$18)))*(SQRT(SUMSQ(Attributs!$DH$2:$DH$18)+SUMSQ(Attributs!$DI$2:$DI$18)))),0)</f>
        <v/>
      </c>
      <c r="BF56" s="2">
        <f>IFERROR((SUMPRODUCT(Attributs!$DF$2:$DF$18,Attributs!$DJ$2:$DJ$18)+SUMPRODUCT(Attributs!$DG$2:$DG$18,Attributs!$DK$2:$DK$18))/((SQRT(SUMSQ(Attributs!$DF$2:$DF$18)+SUMSQ(Attributs!$DG$2:$DG$18)))*(SQRT(SUMSQ(Attributs!$DJ$2:$DJ$18)+SUMSQ(Attributs!$DK$2:$DK$18)))),0)</f>
        <v/>
      </c>
      <c r="BG56" s="2">
        <f>IFERROR((SUMPRODUCT(Attributs!$DF$2:$DF$18,Attributs!$DL$2:$DL$18)+SUMPRODUCT(Attributs!$DG$2:$DG$18,Attributs!$DM$2:$DM$18))/((SQRT(SUMSQ(Attributs!$DF$2:$DF$18)+SUMSQ(Attributs!$DG$2:$DG$18)))*(SQRT(SUMSQ(Attributs!$DL$2:$DL$18)+SUMSQ(Attributs!$DM$2:$DM$18)))),0)</f>
        <v/>
      </c>
      <c r="BH56" s="2">
        <f>IFERROR((SUMPRODUCT(Attributs!$DF$2:$DF$18,Attributs!$DN$2:$DN$18)+SUMPRODUCT(Attributs!$DG$2:$DG$18,Attributs!$DO$2:$DO$18))/((SQRT(SUMSQ(Attributs!$DF$2:$DF$18)+SUMSQ(Attributs!$DG$2:$DG$18)))*(SQRT(SUMSQ(Attributs!$DN$2:$DN$18)+SUMSQ(Attributs!$DO$2:$DO$18)))),0)</f>
        <v/>
      </c>
      <c r="BI56" s="2">
        <f>IFERROR((SUMPRODUCT(Attributs!$DF$2:$DF$18,Attributs!$DP$2:$DP$18)+SUMPRODUCT(Attributs!$DG$2:$DG$18,Attributs!$DQ$2:$DQ$18))/((SQRT(SUMSQ(Attributs!$DF$2:$DF$18)+SUMSQ(Attributs!$DG$2:$DG$18)))*(SQRT(SUMSQ(Attributs!$DP$2:$DP$18)+SUMSQ(Attributs!$DQ$2:$DQ$18)))),0)</f>
        <v/>
      </c>
      <c r="BJ56" s="2">
        <f>IFERROR((SUMPRODUCT(Attributs!$DF$2:$DF$18,Attributs!$DR$2:$DR$18)+SUMPRODUCT(Attributs!$DG$2:$DG$18,Attributs!$DS$2:$DS$18))/((SQRT(SUMSQ(Attributs!$DF$2:$DF$18)+SUMSQ(Attributs!$DG$2:$DG$18)))*(SQRT(SUMSQ(Attributs!$DR$2:$DR$18)+SUMSQ(Attributs!$DS$2:$DS$18)))),0)</f>
        <v/>
      </c>
      <c r="BK56" s="2">
        <f>IFERROR((SUMPRODUCT(Attributs!$DF$2:$DF$18,Attributs!$DT$2:$DT$18)+SUMPRODUCT(Attributs!$DG$2:$DG$18,Attributs!$DU$2:$DU$18))/((SQRT(SUMSQ(Attributs!$DF$2:$DF$18)+SUMSQ(Attributs!$DG$2:$DG$18)))*(SQRT(SUMSQ(Attributs!$DT$2:$DT$18)+SUMSQ(Attributs!$DU$2:$DU$18)))),0)</f>
        <v/>
      </c>
      <c r="BL56" s="2">
        <f>IFERROR((SUMPRODUCT(Attributs!$DF$2:$DF$18,Attributs!$DV$2:$DV$18)+SUMPRODUCT(Attributs!$DG$2:$DG$18,Attributs!$DW$2:$DW$18))/((SQRT(SUMSQ(Attributs!$DF$2:$DF$18)+SUMSQ(Attributs!$DG$2:$DG$18)))*(SQRT(SUMSQ(Attributs!$DV$2:$DV$18)+SUMSQ(Attributs!$DW$2:$DW$18)))),0)</f>
        <v/>
      </c>
    </row>
    <row r="57">
      <c r="A57" s="3" t="inlineStr">
        <is>
          <t>SE_neo4j.Users.accountid</t>
        </is>
      </c>
      <c r="B57" s="2">
        <f>IFERROR((SUMPRODUCT(Attributs!$DH$2:$DH$18,Attributs!$B$2:$B$18)+SUMPRODUCT(Attributs!$DI$2:$DI$18,Attributs!$C$2:$C$18))/((SQRT(SUMSQ(Attributs!$DH$2:$DH$18)+SUMSQ(Attributs!$DI$2:$DI$18)))*(SQRT(SUMSQ(Attributs!$B$2:$B$18)+SUMSQ(Attributs!$C$2:$C$18)))),0)</f>
        <v/>
      </c>
      <c r="C57" s="2">
        <f>IFERROR((SUMPRODUCT(Attributs!$DH$2:$DH$18,Attributs!$D$2:$D$18)+SUMPRODUCT(Attributs!$DI$2:$DI$18,Attributs!$E$2:$E$18))/((SQRT(SUMSQ(Attributs!$DH$2:$DH$18)+SUMSQ(Attributs!$DI$2:$DI$18)))*(SQRT(SUMSQ(Attributs!$D$2:$D$18)+SUMSQ(Attributs!$E$2:$E$18)))),0)</f>
        <v/>
      </c>
      <c r="D57" s="2">
        <f>IFERROR((SUMPRODUCT(Attributs!$DH$2:$DH$18,Attributs!$F$2:$F$18)+SUMPRODUCT(Attributs!$DI$2:$DI$18,Attributs!$G$2:$G$18))/((SQRT(SUMSQ(Attributs!$DH$2:$DH$18)+SUMSQ(Attributs!$DI$2:$DI$18)))*(SQRT(SUMSQ(Attributs!$F$2:$F$18)+SUMSQ(Attributs!$G$2:$G$18)))),0)</f>
        <v/>
      </c>
      <c r="E57" s="2">
        <f>IFERROR((SUMPRODUCT(Attributs!$DH$2:$DH$18,Attributs!$H$2:$H$18)+SUMPRODUCT(Attributs!$DI$2:$DI$18,Attributs!$I$2:$I$18))/((SQRT(SUMSQ(Attributs!$DH$2:$DH$18)+SUMSQ(Attributs!$DI$2:$DI$18)))*(SQRT(SUMSQ(Attributs!$H$2:$H$18)+SUMSQ(Attributs!$I$2:$I$18)))),0)</f>
        <v/>
      </c>
      <c r="F57" s="2">
        <f>IFERROR((SUMPRODUCT(Attributs!$DH$2:$DH$18,Attributs!$J$2:$J$18)+SUMPRODUCT(Attributs!$DI$2:$DI$18,Attributs!$K$2:$K$18))/((SQRT(SUMSQ(Attributs!$DH$2:$DH$18)+SUMSQ(Attributs!$DI$2:$DI$18)))*(SQRT(SUMSQ(Attributs!$J$2:$J$18)+SUMSQ(Attributs!$K$2:$K$18)))),0)</f>
        <v/>
      </c>
      <c r="G57" s="2">
        <f>IFERROR((SUMPRODUCT(Attributs!$DH$2:$DH$18,Attributs!$L$2:$L$18)+SUMPRODUCT(Attributs!$DI$2:$DI$18,Attributs!$M$2:$M$18))/((SQRT(SUMSQ(Attributs!$DH$2:$DH$18)+SUMSQ(Attributs!$DI$2:$DI$18)))*(SQRT(SUMSQ(Attributs!$L$2:$L$18)+SUMSQ(Attributs!$M$2:$M$18)))),0)</f>
        <v/>
      </c>
      <c r="H57" s="2">
        <f>IFERROR((SUMPRODUCT(Attributs!$DH$2:$DH$18,Attributs!$N$2:$N$18)+SUMPRODUCT(Attributs!$DI$2:$DI$18,Attributs!$O$2:$O$18))/((SQRT(SUMSQ(Attributs!$DH$2:$DH$18)+SUMSQ(Attributs!$DI$2:$DI$18)))*(SQRT(SUMSQ(Attributs!$N$2:$N$18)+SUMSQ(Attributs!$O$2:$O$18)))),0)</f>
        <v/>
      </c>
      <c r="I57" s="2">
        <f>IFERROR((SUMPRODUCT(Attributs!$DH$2:$DH$18,Attributs!$P$2:$P$18)+SUMPRODUCT(Attributs!$DI$2:$DI$18,Attributs!$Q$2:$Q$18))/((SQRT(SUMSQ(Attributs!$DH$2:$DH$18)+SUMSQ(Attributs!$DI$2:$DI$18)))*(SQRT(SUMSQ(Attributs!$P$2:$P$18)+SUMSQ(Attributs!$Q$2:$Q$18)))),0)</f>
        <v/>
      </c>
      <c r="J57" s="2">
        <f>IFERROR((SUMPRODUCT(Attributs!$DH$2:$DH$18,Attributs!$R$2:$R$18)+SUMPRODUCT(Attributs!$DI$2:$DI$18,Attributs!$S$2:$S$18))/((SQRT(SUMSQ(Attributs!$DH$2:$DH$18)+SUMSQ(Attributs!$DI$2:$DI$18)))*(SQRT(SUMSQ(Attributs!$R$2:$R$18)+SUMSQ(Attributs!$S$2:$S$18)))),0)</f>
        <v/>
      </c>
      <c r="K57" s="2">
        <f>IFERROR((SUMPRODUCT(Attributs!$DH$2:$DH$18,Attributs!$T$2:$T$18)+SUMPRODUCT(Attributs!$DI$2:$DI$18,Attributs!$U$2:$U$18))/((SQRT(SUMSQ(Attributs!$DH$2:$DH$18)+SUMSQ(Attributs!$DI$2:$DI$18)))*(SQRT(SUMSQ(Attributs!$T$2:$T$18)+SUMSQ(Attributs!$U$2:$U$18)))),0)</f>
        <v/>
      </c>
      <c r="L57" s="2">
        <f>IFERROR((SUMPRODUCT(Attributs!$DH$2:$DH$18,Attributs!$V$2:$V$18)+SUMPRODUCT(Attributs!$DI$2:$DI$18,Attributs!$W$2:$W$18))/((SQRT(SUMSQ(Attributs!$DH$2:$DH$18)+SUMSQ(Attributs!$DI$2:$DI$18)))*(SQRT(SUMSQ(Attributs!$V$2:$V$18)+SUMSQ(Attributs!$W$2:$W$18)))),0)</f>
        <v/>
      </c>
      <c r="M57" s="2">
        <f>IFERROR((SUMPRODUCT(Attributs!$DH$2:$DH$18,Attributs!$X$2:$X$18)+SUMPRODUCT(Attributs!$DI$2:$DI$18,Attributs!$Y$2:$Y$18))/((SQRT(SUMSQ(Attributs!$DH$2:$DH$18)+SUMSQ(Attributs!$DI$2:$DI$18)))*(SQRT(SUMSQ(Attributs!$X$2:$X$18)+SUMSQ(Attributs!$Y$2:$Y$18)))),0)</f>
        <v/>
      </c>
      <c r="N57" s="2">
        <f>IFERROR((SUMPRODUCT(Attributs!$DH$2:$DH$18,Attributs!$Z$2:$Z$18)+SUMPRODUCT(Attributs!$DI$2:$DI$18,Attributs!$AA$2:$AA$18))/((SQRT(SUMSQ(Attributs!$DH$2:$DH$18)+SUMSQ(Attributs!$DI$2:$DI$18)))*(SQRT(SUMSQ(Attributs!$Z$2:$Z$18)+SUMSQ(Attributs!$AA$2:$AA$18)))),0)</f>
        <v/>
      </c>
      <c r="O57" s="2">
        <f>IFERROR((SUMPRODUCT(Attributs!$DH$2:$DH$18,Attributs!$AB$2:$AB$18)+SUMPRODUCT(Attributs!$DI$2:$DI$18,Attributs!$AC$2:$AC$18))/((SQRT(SUMSQ(Attributs!$DH$2:$DH$18)+SUMSQ(Attributs!$DI$2:$DI$18)))*(SQRT(SUMSQ(Attributs!$AB$2:$AB$18)+SUMSQ(Attributs!$AC$2:$AC$18)))),0)</f>
        <v/>
      </c>
      <c r="P57" s="2">
        <f>IFERROR((SUMPRODUCT(Attributs!$DH$2:$DH$18,Attributs!$AD$2:$AD$18)+SUMPRODUCT(Attributs!$DI$2:$DI$18,Attributs!$AE$2:$AE$18))/((SQRT(SUMSQ(Attributs!$DH$2:$DH$18)+SUMSQ(Attributs!$DI$2:$DI$18)))*(SQRT(SUMSQ(Attributs!$AD$2:$AD$18)+SUMSQ(Attributs!$AE$2:$AE$18)))),0)</f>
        <v/>
      </c>
      <c r="Q57" s="2">
        <f>IFERROR((SUMPRODUCT(Attributs!$DH$2:$DH$18,Attributs!$AF$2:$AF$18)+SUMPRODUCT(Attributs!$DI$2:$DI$18,Attributs!$AG$2:$AG$18))/((SQRT(SUMSQ(Attributs!$DH$2:$DH$18)+SUMSQ(Attributs!$DI$2:$DI$18)))*(SQRT(SUMSQ(Attributs!$AF$2:$AF$18)+SUMSQ(Attributs!$AG$2:$AG$18)))),0)</f>
        <v/>
      </c>
      <c r="R57" s="2">
        <f>IFERROR((SUMPRODUCT(Attributs!$DH$2:$DH$18,Attributs!$AH$2:$AH$18)+SUMPRODUCT(Attributs!$DI$2:$DI$18,Attributs!$AI$2:$AI$18))/((SQRT(SUMSQ(Attributs!$DH$2:$DH$18)+SUMSQ(Attributs!$DI$2:$DI$18)))*(SQRT(SUMSQ(Attributs!$AH$2:$AH$18)+SUMSQ(Attributs!$AI$2:$AI$18)))),0)</f>
        <v/>
      </c>
      <c r="S57" s="2">
        <f>IFERROR((SUMPRODUCT(Attributs!$DH$2:$DH$18,Attributs!$AJ$2:$AJ$18)+SUMPRODUCT(Attributs!$DI$2:$DI$18,Attributs!$AK$2:$AK$18))/((SQRT(SUMSQ(Attributs!$DH$2:$DH$18)+SUMSQ(Attributs!$DI$2:$DI$18)))*(SQRT(SUMSQ(Attributs!$AJ$2:$AJ$18)+SUMSQ(Attributs!$AK$2:$AK$18)))),0)</f>
        <v/>
      </c>
      <c r="T57" s="2">
        <f>IFERROR((SUMPRODUCT(Attributs!$DH$2:$DH$18,Attributs!$AL$2:$AL$18)+SUMPRODUCT(Attributs!$DI$2:$DI$18,Attributs!$AM$2:$AM$18))/((SQRT(SUMSQ(Attributs!$DH$2:$DH$18)+SUMSQ(Attributs!$DI$2:$DI$18)))*(SQRT(SUMSQ(Attributs!$AL$2:$AL$18)+SUMSQ(Attributs!$AM$2:$AM$18)))),0)</f>
        <v/>
      </c>
      <c r="U57" s="2">
        <f>IFERROR((SUMPRODUCT(Attributs!$DH$2:$DH$18,Attributs!$AN$2:$AN$18)+SUMPRODUCT(Attributs!$DI$2:$DI$18,Attributs!$AO$2:$AO$18))/((SQRT(SUMSQ(Attributs!$DH$2:$DH$18)+SUMSQ(Attributs!$DI$2:$DI$18)))*(SQRT(SUMSQ(Attributs!$AN$2:$AN$18)+SUMSQ(Attributs!$AO$2:$AO$18)))),0)</f>
        <v/>
      </c>
      <c r="V57" s="2">
        <f>IFERROR((SUMPRODUCT(Attributs!$DH$2:$DH$18,Attributs!$AP$2:$AP$18)+SUMPRODUCT(Attributs!$DI$2:$DI$18,Attributs!$AQ$2:$AQ$18))/((SQRT(SUMSQ(Attributs!$DH$2:$DH$18)+SUMSQ(Attributs!$DI$2:$DI$18)))*(SQRT(SUMSQ(Attributs!$AP$2:$AP$18)+SUMSQ(Attributs!$AQ$2:$AQ$18)))),0)</f>
        <v/>
      </c>
      <c r="W57" s="2">
        <f>IFERROR((SUMPRODUCT(Attributs!$DH$2:$DH$18,Attributs!$AR$2:$AR$18)+SUMPRODUCT(Attributs!$DI$2:$DI$18,Attributs!$AS$2:$AS$18))/((SQRT(SUMSQ(Attributs!$DH$2:$DH$18)+SUMSQ(Attributs!$DI$2:$DI$18)))*(SQRT(SUMSQ(Attributs!$AR$2:$AR$18)+SUMSQ(Attributs!$AS$2:$AS$18)))),0)</f>
        <v/>
      </c>
      <c r="X57" s="2">
        <f>IFERROR((SUMPRODUCT(Attributs!$DH$2:$DH$18,Attributs!$AT$2:$AT$18)+SUMPRODUCT(Attributs!$DI$2:$DI$18,Attributs!$AU$2:$AU$18))/((SQRT(SUMSQ(Attributs!$DH$2:$DH$18)+SUMSQ(Attributs!$DI$2:$DI$18)))*(SQRT(SUMSQ(Attributs!$AT$2:$AT$18)+SUMSQ(Attributs!$AU$2:$AU$18)))),0)</f>
        <v/>
      </c>
      <c r="Y57" s="2">
        <f>IFERROR((SUMPRODUCT(Attributs!$DH$2:$DH$18,Attributs!$AV$2:$AV$18)+SUMPRODUCT(Attributs!$DI$2:$DI$18,Attributs!$AW$2:$AW$18))/((SQRT(SUMSQ(Attributs!$DH$2:$DH$18)+SUMSQ(Attributs!$DI$2:$DI$18)))*(SQRT(SUMSQ(Attributs!$AV$2:$AV$18)+SUMSQ(Attributs!$AW$2:$AW$18)))),0)</f>
        <v/>
      </c>
      <c r="Z57" s="2">
        <f>IFERROR((SUMPRODUCT(Attributs!$DH$2:$DH$18,Attributs!$AX$2:$AX$18)+SUMPRODUCT(Attributs!$DI$2:$DI$18,Attributs!$AY$2:$AY$18))/((SQRT(SUMSQ(Attributs!$DH$2:$DH$18)+SUMSQ(Attributs!$DI$2:$DI$18)))*(SQRT(SUMSQ(Attributs!$AX$2:$AX$18)+SUMSQ(Attributs!$AY$2:$AY$18)))),0)</f>
        <v/>
      </c>
      <c r="AA57" s="2">
        <f>IFERROR((SUMPRODUCT(Attributs!$DH$2:$DH$18,Attributs!$AZ$2:$AZ$18)+SUMPRODUCT(Attributs!$DI$2:$DI$18,Attributs!$BA$2:$BA$18))/((SQRT(SUMSQ(Attributs!$DH$2:$DH$18)+SUMSQ(Attributs!$DI$2:$DI$18)))*(SQRT(SUMSQ(Attributs!$AZ$2:$AZ$18)+SUMSQ(Attributs!$BA$2:$BA$18)))),0)</f>
        <v/>
      </c>
      <c r="AB57" s="2">
        <f>IFERROR((SUMPRODUCT(Attributs!$DH$2:$DH$18,Attributs!$BB$2:$BB$18)+SUMPRODUCT(Attributs!$DI$2:$DI$18,Attributs!$BC$2:$BC$18))/((SQRT(SUMSQ(Attributs!$DH$2:$DH$18)+SUMSQ(Attributs!$DI$2:$DI$18)))*(SQRT(SUMSQ(Attributs!$BB$2:$BB$18)+SUMSQ(Attributs!$BC$2:$BC$18)))),0)</f>
        <v/>
      </c>
      <c r="AC57" s="2">
        <f>IFERROR((SUMPRODUCT(Attributs!$DH$2:$DH$18,Attributs!$BD$2:$BD$18)+SUMPRODUCT(Attributs!$DI$2:$DI$18,Attributs!$BE$2:$BE$18))/((SQRT(SUMSQ(Attributs!$DH$2:$DH$18)+SUMSQ(Attributs!$DI$2:$DI$18)))*(SQRT(SUMSQ(Attributs!$BD$2:$BD$18)+SUMSQ(Attributs!$BE$2:$BE$18)))),0)</f>
        <v/>
      </c>
      <c r="AD57" s="2">
        <f>IFERROR((SUMPRODUCT(Attributs!$DH$2:$DH$18,Attributs!$BF$2:$BF$18)+SUMPRODUCT(Attributs!$DI$2:$DI$18,Attributs!$BG$2:$BG$18))/((SQRT(SUMSQ(Attributs!$DH$2:$DH$18)+SUMSQ(Attributs!$DI$2:$DI$18)))*(SQRT(SUMSQ(Attributs!$BF$2:$BF$18)+SUMSQ(Attributs!$BG$2:$BG$18)))),0)</f>
        <v/>
      </c>
      <c r="AE57" s="2">
        <f>IFERROR((SUMPRODUCT(Attributs!$DH$2:$DH$18,Attributs!$BH$2:$BH$18)+SUMPRODUCT(Attributs!$DI$2:$DI$18,Attributs!$BI$2:$BI$18))/((SQRT(SUMSQ(Attributs!$DH$2:$DH$18)+SUMSQ(Attributs!$DI$2:$DI$18)))*(SQRT(SUMSQ(Attributs!$BH$2:$BH$18)+SUMSQ(Attributs!$BI$2:$BI$18)))),0)</f>
        <v/>
      </c>
      <c r="AF57" s="2">
        <f>IFERROR((SUMPRODUCT(Attributs!$DH$2:$DH$18,Attributs!$BJ$2:$BJ$18)+SUMPRODUCT(Attributs!$DI$2:$DI$18,Attributs!$BK$2:$BK$18))/((SQRT(SUMSQ(Attributs!$DH$2:$DH$18)+SUMSQ(Attributs!$DI$2:$DI$18)))*(SQRT(SUMSQ(Attributs!$BJ$2:$BJ$18)+SUMSQ(Attributs!$BK$2:$BK$18)))),0)</f>
        <v/>
      </c>
      <c r="AG57" s="2">
        <f>IFERROR((SUMPRODUCT(Attributs!$DH$2:$DH$18,Attributs!$BL$2:$BL$18)+SUMPRODUCT(Attributs!$DI$2:$DI$18,Attributs!$BM$2:$BM$18))/((SQRT(SUMSQ(Attributs!$DH$2:$DH$18)+SUMSQ(Attributs!$DI$2:$DI$18)))*(SQRT(SUMSQ(Attributs!$BL$2:$BL$18)+SUMSQ(Attributs!$BM$2:$BM$18)))),0)</f>
        <v/>
      </c>
      <c r="AH57" s="2">
        <f>IFERROR((SUMPRODUCT(Attributs!$DH$2:$DH$18,Attributs!$BN$2:$BN$18)+SUMPRODUCT(Attributs!$DI$2:$DI$18,Attributs!$BO$2:$BO$18))/((SQRT(SUMSQ(Attributs!$DH$2:$DH$18)+SUMSQ(Attributs!$DI$2:$DI$18)))*(SQRT(SUMSQ(Attributs!$BN$2:$BN$18)+SUMSQ(Attributs!$BO$2:$BO$18)))),0)</f>
        <v/>
      </c>
      <c r="AI57" s="2">
        <f>IFERROR((SUMPRODUCT(Attributs!$DH$2:$DH$18,Attributs!$BP$2:$BP$18)+SUMPRODUCT(Attributs!$DI$2:$DI$18,Attributs!$BQ$2:$BQ$18))/((SQRT(SUMSQ(Attributs!$DH$2:$DH$18)+SUMSQ(Attributs!$DI$2:$DI$18)))*(SQRT(SUMSQ(Attributs!$BP$2:$BP$18)+SUMSQ(Attributs!$BQ$2:$BQ$18)))),0)</f>
        <v/>
      </c>
      <c r="AJ57" s="2">
        <f>IFERROR((SUMPRODUCT(Attributs!$DH$2:$DH$18,Attributs!$BR$2:$BR$18)+SUMPRODUCT(Attributs!$DI$2:$DI$18,Attributs!$BS$2:$BS$18))/((SQRT(SUMSQ(Attributs!$DH$2:$DH$18)+SUMSQ(Attributs!$DI$2:$DI$18)))*(SQRT(SUMSQ(Attributs!$BR$2:$BR$18)+SUMSQ(Attributs!$BS$2:$BS$18)))),0)</f>
        <v/>
      </c>
      <c r="AK57" s="2">
        <f>IFERROR((SUMPRODUCT(Attributs!$DH$2:$DH$18,Attributs!$BT$2:$BT$18)+SUMPRODUCT(Attributs!$DI$2:$DI$18,Attributs!$BU$2:$BU$18))/((SQRT(SUMSQ(Attributs!$DH$2:$DH$18)+SUMSQ(Attributs!$DI$2:$DI$18)))*(SQRT(SUMSQ(Attributs!$BT$2:$BT$18)+SUMSQ(Attributs!$BU$2:$BU$18)))),0)</f>
        <v/>
      </c>
      <c r="AL57" s="2">
        <f>IFERROR((SUMPRODUCT(Attributs!$DH$2:$DH$18,Attributs!$BV$2:$BV$18)+SUMPRODUCT(Attributs!$DI$2:$DI$18,Attributs!$BW$2:$BW$18))/((SQRT(SUMSQ(Attributs!$DH$2:$DH$18)+SUMSQ(Attributs!$DI$2:$DI$18)))*(SQRT(SUMSQ(Attributs!$BV$2:$BV$18)+SUMSQ(Attributs!$BW$2:$BW$18)))),0)</f>
        <v/>
      </c>
      <c r="AM57" s="2">
        <f>IFERROR((SUMPRODUCT(Attributs!$DH$2:$DH$18,Attributs!$BX$2:$BX$18)+SUMPRODUCT(Attributs!$DI$2:$DI$18,Attributs!$BY$2:$BY$18))/((SQRT(SUMSQ(Attributs!$DH$2:$DH$18)+SUMSQ(Attributs!$DI$2:$DI$18)))*(SQRT(SUMSQ(Attributs!$BX$2:$BX$18)+SUMSQ(Attributs!$BY$2:$BY$18)))),0)</f>
        <v/>
      </c>
      <c r="AN57" s="2">
        <f>IFERROR((SUMPRODUCT(Attributs!$DH$2:$DH$18,Attributs!$BZ$2:$BZ$18)+SUMPRODUCT(Attributs!$DI$2:$DI$18,Attributs!$CA$2:$CA$18))/((SQRT(SUMSQ(Attributs!$DH$2:$DH$18)+SUMSQ(Attributs!$DI$2:$DI$18)))*(SQRT(SUMSQ(Attributs!$BZ$2:$BZ$18)+SUMSQ(Attributs!$CA$2:$CA$18)))),0)</f>
        <v/>
      </c>
      <c r="AO57" s="2">
        <f>IFERROR((SUMPRODUCT(Attributs!$DH$2:$DH$18,Attributs!$CB$2:$CB$18)+SUMPRODUCT(Attributs!$DI$2:$DI$18,Attributs!$CC$2:$CC$18))/((SQRT(SUMSQ(Attributs!$DH$2:$DH$18)+SUMSQ(Attributs!$DI$2:$DI$18)))*(SQRT(SUMSQ(Attributs!$CB$2:$CB$18)+SUMSQ(Attributs!$CC$2:$CC$18)))),0)</f>
        <v/>
      </c>
      <c r="AP57" s="2">
        <f>IFERROR((SUMPRODUCT(Attributs!$DH$2:$DH$18,Attributs!$CD$2:$CD$18)+SUMPRODUCT(Attributs!$DI$2:$DI$18,Attributs!$CE$2:$CE$18))/((SQRT(SUMSQ(Attributs!$DH$2:$DH$18)+SUMSQ(Attributs!$DI$2:$DI$18)))*(SQRT(SUMSQ(Attributs!$CD$2:$CD$18)+SUMSQ(Attributs!$CE$2:$CE$18)))),0)</f>
        <v/>
      </c>
      <c r="AQ57" s="2">
        <f>IFERROR((SUMPRODUCT(Attributs!$DH$2:$DH$18,Attributs!$CF$2:$CF$18)+SUMPRODUCT(Attributs!$DI$2:$DI$18,Attributs!$CG$2:$CG$18))/((SQRT(SUMSQ(Attributs!$DH$2:$DH$18)+SUMSQ(Attributs!$DI$2:$DI$18)))*(SQRT(SUMSQ(Attributs!$CF$2:$CF$18)+SUMSQ(Attributs!$CG$2:$CG$18)))),0)</f>
        <v/>
      </c>
      <c r="AR57" s="2">
        <f>IFERROR((SUMPRODUCT(Attributs!$DH$2:$DH$18,Attributs!$CH$2:$CH$18)+SUMPRODUCT(Attributs!$DI$2:$DI$18,Attributs!$CI$2:$CI$18))/((SQRT(SUMSQ(Attributs!$DH$2:$DH$18)+SUMSQ(Attributs!$DI$2:$DI$18)))*(SQRT(SUMSQ(Attributs!$CH$2:$CH$18)+SUMSQ(Attributs!$CI$2:$CI$18)))),0)</f>
        <v/>
      </c>
      <c r="AS57" s="2">
        <f>IFERROR((SUMPRODUCT(Attributs!$DH$2:$DH$18,Attributs!$CJ$2:$CJ$18)+SUMPRODUCT(Attributs!$DI$2:$DI$18,Attributs!$CK$2:$CK$18))/((SQRT(SUMSQ(Attributs!$DH$2:$DH$18)+SUMSQ(Attributs!$DI$2:$DI$18)))*(SQRT(SUMSQ(Attributs!$CJ$2:$CJ$18)+SUMSQ(Attributs!$CK$2:$CK$18)))),0)</f>
        <v/>
      </c>
      <c r="AT57" s="2">
        <f>IFERROR((SUMPRODUCT(Attributs!$DH$2:$DH$18,Attributs!$CL$2:$CL$18)+SUMPRODUCT(Attributs!$DI$2:$DI$18,Attributs!$CM$2:$CM$18))/((SQRT(SUMSQ(Attributs!$DH$2:$DH$18)+SUMSQ(Attributs!$DI$2:$DI$18)))*(SQRT(SUMSQ(Attributs!$CL$2:$CL$18)+SUMSQ(Attributs!$CM$2:$CM$18)))),0)</f>
        <v/>
      </c>
      <c r="AU57" s="2">
        <f>IFERROR((SUMPRODUCT(Attributs!$DH$2:$DH$18,Attributs!$CN$2:$CN$18)+SUMPRODUCT(Attributs!$DI$2:$DI$18,Attributs!$CO$2:$CO$18))/((SQRT(SUMSQ(Attributs!$DH$2:$DH$18)+SUMSQ(Attributs!$DI$2:$DI$18)))*(SQRT(SUMSQ(Attributs!$CN$2:$CN$18)+SUMSQ(Attributs!$CO$2:$CO$18)))),0)</f>
        <v/>
      </c>
      <c r="AV57" s="2">
        <f>IFERROR((SUMPRODUCT(Attributs!$DH$2:$DH$18,Attributs!$CP$2:$CP$18)+SUMPRODUCT(Attributs!$DI$2:$DI$18,Attributs!$CQ$2:$CQ$18))/((SQRT(SUMSQ(Attributs!$DH$2:$DH$18)+SUMSQ(Attributs!$DI$2:$DI$18)))*(SQRT(SUMSQ(Attributs!$CP$2:$CP$18)+SUMSQ(Attributs!$CQ$2:$CQ$18)))),0)</f>
        <v/>
      </c>
      <c r="AW57" s="2">
        <f>IFERROR((SUMPRODUCT(Attributs!$DH$2:$DH$18,Attributs!$CR$2:$CR$18)+SUMPRODUCT(Attributs!$DI$2:$DI$18,Attributs!$CS$2:$CS$18))/((SQRT(SUMSQ(Attributs!$DH$2:$DH$18)+SUMSQ(Attributs!$DI$2:$DI$18)))*(SQRT(SUMSQ(Attributs!$CR$2:$CR$18)+SUMSQ(Attributs!$CS$2:$CS$18)))),0)</f>
        <v/>
      </c>
      <c r="AX57" s="2">
        <f>IFERROR((SUMPRODUCT(Attributs!$DH$2:$DH$18,Attributs!$CT$2:$CT$18)+SUMPRODUCT(Attributs!$DI$2:$DI$18,Attributs!$CU$2:$CU$18))/((SQRT(SUMSQ(Attributs!$DH$2:$DH$18)+SUMSQ(Attributs!$DI$2:$DI$18)))*(SQRT(SUMSQ(Attributs!$CT$2:$CT$18)+SUMSQ(Attributs!$CU$2:$CU$18)))),0)</f>
        <v/>
      </c>
      <c r="AY57" s="2">
        <f>IFERROR((SUMPRODUCT(Attributs!$DH$2:$DH$18,Attributs!$CV$2:$CV$18)+SUMPRODUCT(Attributs!$DI$2:$DI$18,Attributs!$CW$2:$CW$18))/((SQRT(SUMSQ(Attributs!$DH$2:$DH$18)+SUMSQ(Attributs!$DI$2:$DI$18)))*(SQRT(SUMSQ(Attributs!$CV$2:$CV$18)+SUMSQ(Attributs!$CW$2:$CW$18)))),0)</f>
        <v/>
      </c>
      <c r="AZ57" s="2">
        <f>IFERROR((SUMPRODUCT(Attributs!$DH$2:$DH$18,Attributs!$CX$2:$CX$18)+SUMPRODUCT(Attributs!$DI$2:$DI$18,Attributs!$CY$2:$CY$18))/((SQRT(SUMSQ(Attributs!$DH$2:$DH$18)+SUMSQ(Attributs!$DI$2:$DI$18)))*(SQRT(SUMSQ(Attributs!$CX$2:$CX$18)+SUMSQ(Attributs!$CY$2:$CY$18)))),0)</f>
        <v/>
      </c>
      <c r="BA57" s="2">
        <f>IFERROR((SUMPRODUCT(Attributs!$DH$2:$DH$18,Attributs!$CZ$2:$CZ$18)+SUMPRODUCT(Attributs!$DI$2:$DI$18,Attributs!$DA$2:$DA$18))/((SQRT(SUMSQ(Attributs!$DH$2:$DH$18)+SUMSQ(Attributs!$DI$2:$DI$18)))*(SQRT(SUMSQ(Attributs!$CZ$2:$CZ$18)+SUMSQ(Attributs!$DA$2:$DA$18)))),0)</f>
        <v/>
      </c>
      <c r="BB57" s="2">
        <f>IFERROR((SUMPRODUCT(Attributs!$DH$2:$DH$18,Attributs!$DB$2:$DB$18)+SUMPRODUCT(Attributs!$DI$2:$DI$18,Attributs!$DC$2:$DC$18))/((SQRT(SUMSQ(Attributs!$DH$2:$DH$18)+SUMSQ(Attributs!$DI$2:$DI$18)))*(SQRT(SUMSQ(Attributs!$DB$2:$DB$18)+SUMSQ(Attributs!$DC$2:$DC$18)))),0)</f>
        <v/>
      </c>
      <c r="BC57" s="2">
        <f>IFERROR((SUMPRODUCT(Attributs!$DH$2:$DH$18,Attributs!$DD$2:$DD$18)+SUMPRODUCT(Attributs!$DI$2:$DI$18,Attributs!$DE$2:$DE$18))/((SQRT(SUMSQ(Attributs!$DH$2:$DH$18)+SUMSQ(Attributs!$DI$2:$DI$18)))*(SQRT(SUMSQ(Attributs!$DD$2:$DD$18)+SUMSQ(Attributs!$DE$2:$DE$18)))),0)</f>
        <v/>
      </c>
      <c r="BD57" s="2">
        <f>IFERROR((SUMPRODUCT(Attributs!$DH$2:$DH$18,Attributs!$DF$2:$DF$18)+SUMPRODUCT(Attributs!$DI$2:$DI$18,Attributs!$DG$2:$DG$18))/((SQRT(SUMSQ(Attributs!$DH$2:$DH$18)+SUMSQ(Attributs!$DI$2:$DI$18)))*(SQRT(SUMSQ(Attributs!$DF$2:$DF$18)+SUMSQ(Attributs!$DG$2:$DG$18)))),0)</f>
        <v/>
      </c>
      <c r="BE57" s="2">
        <f>IFERROR((SUMPRODUCT(Attributs!$DH$2:$DH$18,Attributs!$DH$2:$DH$18)+SUMPRODUCT(Attributs!$DI$2:$DI$18,Attributs!$DI$2:$DI$18))/((SQRT(SUMSQ(Attributs!$DH$2:$DH$18)+SUMSQ(Attributs!$DI$2:$DI$18)))*(SQRT(SUMSQ(Attributs!$DH$2:$DH$18)+SUMSQ(Attributs!$DI$2:$DI$18)))),0)</f>
        <v/>
      </c>
      <c r="BF57" s="2">
        <f>IFERROR((SUMPRODUCT(Attributs!$DH$2:$DH$18,Attributs!$DJ$2:$DJ$18)+SUMPRODUCT(Attributs!$DI$2:$DI$18,Attributs!$DK$2:$DK$18))/((SQRT(SUMSQ(Attributs!$DH$2:$DH$18)+SUMSQ(Attributs!$DI$2:$DI$18)))*(SQRT(SUMSQ(Attributs!$DJ$2:$DJ$18)+SUMSQ(Attributs!$DK$2:$DK$18)))),0)</f>
        <v/>
      </c>
      <c r="BG57" s="2">
        <f>IFERROR((SUMPRODUCT(Attributs!$DH$2:$DH$18,Attributs!$DL$2:$DL$18)+SUMPRODUCT(Attributs!$DI$2:$DI$18,Attributs!$DM$2:$DM$18))/((SQRT(SUMSQ(Attributs!$DH$2:$DH$18)+SUMSQ(Attributs!$DI$2:$DI$18)))*(SQRT(SUMSQ(Attributs!$DL$2:$DL$18)+SUMSQ(Attributs!$DM$2:$DM$18)))),0)</f>
        <v/>
      </c>
      <c r="BH57" s="2">
        <f>IFERROR((SUMPRODUCT(Attributs!$DH$2:$DH$18,Attributs!$DN$2:$DN$18)+SUMPRODUCT(Attributs!$DI$2:$DI$18,Attributs!$DO$2:$DO$18))/((SQRT(SUMSQ(Attributs!$DH$2:$DH$18)+SUMSQ(Attributs!$DI$2:$DI$18)))*(SQRT(SUMSQ(Attributs!$DN$2:$DN$18)+SUMSQ(Attributs!$DO$2:$DO$18)))),0)</f>
        <v/>
      </c>
      <c r="BI57" s="2">
        <f>IFERROR((SUMPRODUCT(Attributs!$DH$2:$DH$18,Attributs!$DP$2:$DP$18)+SUMPRODUCT(Attributs!$DI$2:$DI$18,Attributs!$DQ$2:$DQ$18))/((SQRT(SUMSQ(Attributs!$DH$2:$DH$18)+SUMSQ(Attributs!$DI$2:$DI$18)))*(SQRT(SUMSQ(Attributs!$DP$2:$DP$18)+SUMSQ(Attributs!$DQ$2:$DQ$18)))),0)</f>
        <v/>
      </c>
      <c r="BJ57" s="2">
        <f>IFERROR((SUMPRODUCT(Attributs!$DH$2:$DH$18,Attributs!$DR$2:$DR$18)+SUMPRODUCT(Attributs!$DI$2:$DI$18,Attributs!$DS$2:$DS$18))/((SQRT(SUMSQ(Attributs!$DH$2:$DH$18)+SUMSQ(Attributs!$DI$2:$DI$18)))*(SQRT(SUMSQ(Attributs!$DR$2:$DR$18)+SUMSQ(Attributs!$DS$2:$DS$18)))),0)</f>
        <v/>
      </c>
      <c r="BK57" s="2">
        <f>IFERROR((SUMPRODUCT(Attributs!$DH$2:$DH$18,Attributs!$DT$2:$DT$18)+SUMPRODUCT(Attributs!$DI$2:$DI$18,Attributs!$DU$2:$DU$18))/((SQRT(SUMSQ(Attributs!$DH$2:$DH$18)+SUMSQ(Attributs!$DI$2:$DI$18)))*(SQRT(SUMSQ(Attributs!$DT$2:$DT$18)+SUMSQ(Attributs!$DU$2:$DU$18)))),0)</f>
        <v/>
      </c>
      <c r="BL57" s="2">
        <f>IFERROR((SUMPRODUCT(Attributs!$DH$2:$DH$18,Attributs!$DV$2:$DV$18)+SUMPRODUCT(Attributs!$DI$2:$DI$18,Attributs!$DW$2:$DW$18))/((SQRT(SUMSQ(Attributs!$DH$2:$DH$18)+SUMSQ(Attributs!$DI$2:$DI$18)))*(SQRT(SUMSQ(Attributs!$DV$2:$DV$18)+SUMSQ(Attributs!$DW$2:$DW$18)))),0)</f>
        <v/>
      </c>
    </row>
    <row r="58">
      <c r="A58" s="3" t="inlineStr">
        <is>
          <t>SE_neo4j.Users.displayname</t>
        </is>
      </c>
      <c r="B58" s="2">
        <f>IFERROR((SUMPRODUCT(Attributs!$DJ$2:$DJ$18,Attributs!$B$2:$B$18)+SUMPRODUCT(Attributs!$DK$2:$DK$18,Attributs!$C$2:$C$18))/((SQRT(SUMSQ(Attributs!$DJ$2:$DJ$18)+SUMSQ(Attributs!$DK$2:$DK$18)))*(SQRT(SUMSQ(Attributs!$B$2:$B$18)+SUMSQ(Attributs!$C$2:$C$18)))),0)</f>
        <v/>
      </c>
      <c r="C58" s="2">
        <f>IFERROR((SUMPRODUCT(Attributs!$DJ$2:$DJ$18,Attributs!$D$2:$D$18)+SUMPRODUCT(Attributs!$DK$2:$DK$18,Attributs!$E$2:$E$18))/((SQRT(SUMSQ(Attributs!$DJ$2:$DJ$18)+SUMSQ(Attributs!$DK$2:$DK$18)))*(SQRT(SUMSQ(Attributs!$D$2:$D$18)+SUMSQ(Attributs!$E$2:$E$18)))),0)</f>
        <v/>
      </c>
      <c r="D58" s="2">
        <f>IFERROR((SUMPRODUCT(Attributs!$DJ$2:$DJ$18,Attributs!$F$2:$F$18)+SUMPRODUCT(Attributs!$DK$2:$DK$18,Attributs!$G$2:$G$18))/((SQRT(SUMSQ(Attributs!$DJ$2:$DJ$18)+SUMSQ(Attributs!$DK$2:$DK$18)))*(SQRT(SUMSQ(Attributs!$F$2:$F$18)+SUMSQ(Attributs!$G$2:$G$18)))),0)</f>
        <v/>
      </c>
      <c r="E58" s="2">
        <f>IFERROR((SUMPRODUCT(Attributs!$DJ$2:$DJ$18,Attributs!$H$2:$H$18)+SUMPRODUCT(Attributs!$DK$2:$DK$18,Attributs!$I$2:$I$18))/((SQRT(SUMSQ(Attributs!$DJ$2:$DJ$18)+SUMSQ(Attributs!$DK$2:$DK$18)))*(SQRT(SUMSQ(Attributs!$H$2:$H$18)+SUMSQ(Attributs!$I$2:$I$18)))),0)</f>
        <v/>
      </c>
      <c r="F58" s="2">
        <f>IFERROR((SUMPRODUCT(Attributs!$DJ$2:$DJ$18,Attributs!$J$2:$J$18)+SUMPRODUCT(Attributs!$DK$2:$DK$18,Attributs!$K$2:$K$18))/((SQRT(SUMSQ(Attributs!$DJ$2:$DJ$18)+SUMSQ(Attributs!$DK$2:$DK$18)))*(SQRT(SUMSQ(Attributs!$J$2:$J$18)+SUMSQ(Attributs!$K$2:$K$18)))),0)</f>
        <v/>
      </c>
      <c r="G58" s="2">
        <f>IFERROR((SUMPRODUCT(Attributs!$DJ$2:$DJ$18,Attributs!$L$2:$L$18)+SUMPRODUCT(Attributs!$DK$2:$DK$18,Attributs!$M$2:$M$18))/((SQRT(SUMSQ(Attributs!$DJ$2:$DJ$18)+SUMSQ(Attributs!$DK$2:$DK$18)))*(SQRT(SUMSQ(Attributs!$L$2:$L$18)+SUMSQ(Attributs!$M$2:$M$18)))),0)</f>
        <v/>
      </c>
      <c r="H58" s="2">
        <f>IFERROR((SUMPRODUCT(Attributs!$DJ$2:$DJ$18,Attributs!$N$2:$N$18)+SUMPRODUCT(Attributs!$DK$2:$DK$18,Attributs!$O$2:$O$18))/((SQRT(SUMSQ(Attributs!$DJ$2:$DJ$18)+SUMSQ(Attributs!$DK$2:$DK$18)))*(SQRT(SUMSQ(Attributs!$N$2:$N$18)+SUMSQ(Attributs!$O$2:$O$18)))),0)</f>
        <v/>
      </c>
      <c r="I58" s="2">
        <f>IFERROR((SUMPRODUCT(Attributs!$DJ$2:$DJ$18,Attributs!$P$2:$P$18)+SUMPRODUCT(Attributs!$DK$2:$DK$18,Attributs!$Q$2:$Q$18))/((SQRT(SUMSQ(Attributs!$DJ$2:$DJ$18)+SUMSQ(Attributs!$DK$2:$DK$18)))*(SQRT(SUMSQ(Attributs!$P$2:$P$18)+SUMSQ(Attributs!$Q$2:$Q$18)))),0)</f>
        <v/>
      </c>
      <c r="J58" s="2">
        <f>IFERROR((SUMPRODUCT(Attributs!$DJ$2:$DJ$18,Attributs!$R$2:$R$18)+SUMPRODUCT(Attributs!$DK$2:$DK$18,Attributs!$S$2:$S$18))/((SQRT(SUMSQ(Attributs!$DJ$2:$DJ$18)+SUMSQ(Attributs!$DK$2:$DK$18)))*(SQRT(SUMSQ(Attributs!$R$2:$R$18)+SUMSQ(Attributs!$S$2:$S$18)))),0)</f>
        <v/>
      </c>
      <c r="K58" s="2">
        <f>IFERROR((SUMPRODUCT(Attributs!$DJ$2:$DJ$18,Attributs!$T$2:$T$18)+SUMPRODUCT(Attributs!$DK$2:$DK$18,Attributs!$U$2:$U$18))/((SQRT(SUMSQ(Attributs!$DJ$2:$DJ$18)+SUMSQ(Attributs!$DK$2:$DK$18)))*(SQRT(SUMSQ(Attributs!$T$2:$T$18)+SUMSQ(Attributs!$U$2:$U$18)))),0)</f>
        <v/>
      </c>
      <c r="L58" s="2">
        <f>IFERROR((SUMPRODUCT(Attributs!$DJ$2:$DJ$18,Attributs!$V$2:$V$18)+SUMPRODUCT(Attributs!$DK$2:$DK$18,Attributs!$W$2:$W$18))/((SQRT(SUMSQ(Attributs!$DJ$2:$DJ$18)+SUMSQ(Attributs!$DK$2:$DK$18)))*(SQRT(SUMSQ(Attributs!$V$2:$V$18)+SUMSQ(Attributs!$W$2:$W$18)))),0)</f>
        <v/>
      </c>
      <c r="M58" s="2">
        <f>IFERROR((SUMPRODUCT(Attributs!$DJ$2:$DJ$18,Attributs!$X$2:$X$18)+SUMPRODUCT(Attributs!$DK$2:$DK$18,Attributs!$Y$2:$Y$18))/((SQRT(SUMSQ(Attributs!$DJ$2:$DJ$18)+SUMSQ(Attributs!$DK$2:$DK$18)))*(SQRT(SUMSQ(Attributs!$X$2:$X$18)+SUMSQ(Attributs!$Y$2:$Y$18)))),0)</f>
        <v/>
      </c>
      <c r="N58" s="2">
        <f>IFERROR((SUMPRODUCT(Attributs!$DJ$2:$DJ$18,Attributs!$Z$2:$Z$18)+SUMPRODUCT(Attributs!$DK$2:$DK$18,Attributs!$AA$2:$AA$18))/((SQRT(SUMSQ(Attributs!$DJ$2:$DJ$18)+SUMSQ(Attributs!$DK$2:$DK$18)))*(SQRT(SUMSQ(Attributs!$Z$2:$Z$18)+SUMSQ(Attributs!$AA$2:$AA$18)))),0)</f>
        <v/>
      </c>
      <c r="O58" s="2">
        <f>IFERROR((SUMPRODUCT(Attributs!$DJ$2:$DJ$18,Attributs!$AB$2:$AB$18)+SUMPRODUCT(Attributs!$DK$2:$DK$18,Attributs!$AC$2:$AC$18))/((SQRT(SUMSQ(Attributs!$DJ$2:$DJ$18)+SUMSQ(Attributs!$DK$2:$DK$18)))*(SQRT(SUMSQ(Attributs!$AB$2:$AB$18)+SUMSQ(Attributs!$AC$2:$AC$18)))),0)</f>
        <v/>
      </c>
      <c r="P58" s="2">
        <f>IFERROR((SUMPRODUCT(Attributs!$DJ$2:$DJ$18,Attributs!$AD$2:$AD$18)+SUMPRODUCT(Attributs!$DK$2:$DK$18,Attributs!$AE$2:$AE$18))/((SQRT(SUMSQ(Attributs!$DJ$2:$DJ$18)+SUMSQ(Attributs!$DK$2:$DK$18)))*(SQRT(SUMSQ(Attributs!$AD$2:$AD$18)+SUMSQ(Attributs!$AE$2:$AE$18)))),0)</f>
        <v/>
      </c>
      <c r="Q58" s="2">
        <f>IFERROR((SUMPRODUCT(Attributs!$DJ$2:$DJ$18,Attributs!$AF$2:$AF$18)+SUMPRODUCT(Attributs!$DK$2:$DK$18,Attributs!$AG$2:$AG$18))/((SQRT(SUMSQ(Attributs!$DJ$2:$DJ$18)+SUMSQ(Attributs!$DK$2:$DK$18)))*(SQRT(SUMSQ(Attributs!$AF$2:$AF$18)+SUMSQ(Attributs!$AG$2:$AG$18)))),0)</f>
        <v/>
      </c>
      <c r="R58" s="2">
        <f>IFERROR((SUMPRODUCT(Attributs!$DJ$2:$DJ$18,Attributs!$AH$2:$AH$18)+SUMPRODUCT(Attributs!$DK$2:$DK$18,Attributs!$AI$2:$AI$18))/((SQRT(SUMSQ(Attributs!$DJ$2:$DJ$18)+SUMSQ(Attributs!$DK$2:$DK$18)))*(SQRT(SUMSQ(Attributs!$AH$2:$AH$18)+SUMSQ(Attributs!$AI$2:$AI$18)))),0)</f>
        <v/>
      </c>
      <c r="S58" s="2">
        <f>IFERROR((SUMPRODUCT(Attributs!$DJ$2:$DJ$18,Attributs!$AJ$2:$AJ$18)+SUMPRODUCT(Attributs!$DK$2:$DK$18,Attributs!$AK$2:$AK$18))/((SQRT(SUMSQ(Attributs!$DJ$2:$DJ$18)+SUMSQ(Attributs!$DK$2:$DK$18)))*(SQRT(SUMSQ(Attributs!$AJ$2:$AJ$18)+SUMSQ(Attributs!$AK$2:$AK$18)))),0)</f>
        <v/>
      </c>
      <c r="T58" s="2">
        <f>IFERROR((SUMPRODUCT(Attributs!$DJ$2:$DJ$18,Attributs!$AL$2:$AL$18)+SUMPRODUCT(Attributs!$DK$2:$DK$18,Attributs!$AM$2:$AM$18))/((SQRT(SUMSQ(Attributs!$DJ$2:$DJ$18)+SUMSQ(Attributs!$DK$2:$DK$18)))*(SQRT(SUMSQ(Attributs!$AL$2:$AL$18)+SUMSQ(Attributs!$AM$2:$AM$18)))),0)</f>
        <v/>
      </c>
      <c r="U58" s="2">
        <f>IFERROR((SUMPRODUCT(Attributs!$DJ$2:$DJ$18,Attributs!$AN$2:$AN$18)+SUMPRODUCT(Attributs!$DK$2:$DK$18,Attributs!$AO$2:$AO$18))/((SQRT(SUMSQ(Attributs!$DJ$2:$DJ$18)+SUMSQ(Attributs!$DK$2:$DK$18)))*(SQRT(SUMSQ(Attributs!$AN$2:$AN$18)+SUMSQ(Attributs!$AO$2:$AO$18)))),0)</f>
        <v/>
      </c>
      <c r="V58" s="2">
        <f>IFERROR((SUMPRODUCT(Attributs!$DJ$2:$DJ$18,Attributs!$AP$2:$AP$18)+SUMPRODUCT(Attributs!$DK$2:$DK$18,Attributs!$AQ$2:$AQ$18))/((SQRT(SUMSQ(Attributs!$DJ$2:$DJ$18)+SUMSQ(Attributs!$DK$2:$DK$18)))*(SQRT(SUMSQ(Attributs!$AP$2:$AP$18)+SUMSQ(Attributs!$AQ$2:$AQ$18)))),0)</f>
        <v/>
      </c>
      <c r="W58" s="2">
        <f>IFERROR((SUMPRODUCT(Attributs!$DJ$2:$DJ$18,Attributs!$AR$2:$AR$18)+SUMPRODUCT(Attributs!$DK$2:$DK$18,Attributs!$AS$2:$AS$18))/((SQRT(SUMSQ(Attributs!$DJ$2:$DJ$18)+SUMSQ(Attributs!$DK$2:$DK$18)))*(SQRT(SUMSQ(Attributs!$AR$2:$AR$18)+SUMSQ(Attributs!$AS$2:$AS$18)))),0)</f>
        <v/>
      </c>
      <c r="X58" s="2">
        <f>IFERROR((SUMPRODUCT(Attributs!$DJ$2:$DJ$18,Attributs!$AT$2:$AT$18)+SUMPRODUCT(Attributs!$DK$2:$DK$18,Attributs!$AU$2:$AU$18))/((SQRT(SUMSQ(Attributs!$DJ$2:$DJ$18)+SUMSQ(Attributs!$DK$2:$DK$18)))*(SQRT(SUMSQ(Attributs!$AT$2:$AT$18)+SUMSQ(Attributs!$AU$2:$AU$18)))),0)</f>
        <v/>
      </c>
      <c r="Y58" s="2">
        <f>IFERROR((SUMPRODUCT(Attributs!$DJ$2:$DJ$18,Attributs!$AV$2:$AV$18)+SUMPRODUCT(Attributs!$DK$2:$DK$18,Attributs!$AW$2:$AW$18))/((SQRT(SUMSQ(Attributs!$DJ$2:$DJ$18)+SUMSQ(Attributs!$DK$2:$DK$18)))*(SQRT(SUMSQ(Attributs!$AV$2:$AV$18)+SUMSQ(Attributs!$AW$2:$AW$18)))),0)</f>
        <v/>
      </c>
      <c r="Z58" s="2">
        <f>IFERROR((SUMPRODUCT(Attributs!$DJ$2:$DJ$18,Attributs!$AX$2:$AX$18)+SUMPRODUCT(Attributs!$DK$2:$DK$18,Attributs!$AY$2:$AY$18))/((SQRT(SUMSQ(Attributs!$DJ$2:$DJ$18)+SUMSQ(Attributs!$DK$2:$DK$18)))*(SQRT(SUMSQ(Attributs!$AX$2:$AX$18)+SUMSQ(Attributs!$AY$2:$AY$18)))),0)</f>
        <v/>
      </c>
      <c r="AA58" s="2">
        <f>IFERROR((SUMPRODUCT(Attributs!$DJ$2:$DJ$18,Attributs!$AZ$2:$AZ$18)+SUMPRODUCT(Attributs!$DK$2:$DK$18,Attributs!$BA$2:$BA$18))/((SQRT(SUMSQ(Attributs!$DJ$2:$DJ$18)+SUMSQ(Attributs!$DK$2:$DK$18)))*(SQRT(SUMSQ(Attributs!$AZ$2:$AZ$18)+SUMSQ(Attributs!$BA$2:$BA$18)))),0)</f>
        <v/>
      </c>
      <c r="AB58" s="2">
        <f>IFERROR((SUMPRODUCT(Attributs!$DJ$2:$DJ$18,Attributs!$BB$2:$BB$18)+SUMPRODUCT(Attributs!$DK$2:$DK$18,Attributs!$BC$2:$BC$18))/((SQRT(SUMSQ(Attributs!$DJ$2:$DJ$18)+SUMSQ(Attributs!$DK$2:$DK$18)))*(SQRT(SUMSQ(Attributs!$BB$2:$BB$18)+SUMSQ(Attributs!$BC$2:$BC$18)))),0)</f>
        <v/>
      </c>
      <c r="AC58" s="2">
        <f>IFERROR((SUMPRODUCT(Attributs!$DJ$2:$DJ$18,Attributs!$BD$2:$BD$18)+SUMPRODUCT(Attributs!$DK$2:$DK$18,Attributs!$BE$2:$BE$18))/((SQRT(SUMSQ(Attributs!$DJ$2:$DJ$18)+SUMSQ(Attributs!$DK$2:$DK$18)))*(SQRT(SUMSQ(Attributs!$BD$2:$BD$18)+SUMSQ(Attributs!$BE$2:$BE$18)))),0)</f>
        <v/>
      </c>
      <c r="AD58" s="2">
        <f>IFERROR((SUMPRODUCT(Attributs!$DJ$2:$DJ$18,Attributs!$BF$2:$BF$18)+SUMPRODUCT(Attributs!$DK$2:$DK$18,Attributs!$BG$2:$BG$18))/((SQRT(SUMSQ(Attributs!$DJ$2:$DJ$18)+SUMSQ(Attributs!$DK$2:$DK$18)))*(SQRT(SUMSQ(Attributs!$BF$2:$BF$18)+SUMSQ(Attributs!$BG$2:$BG$18)))),0)</f>
        <v/>
      </c>
      <c r="AE58" s="2">
        <f>IFERROR((SUMPRODUCT(Attributs!$DJ$2:$DJ$18,Attributs!$BH$2:$BH$18)+SUMPRODUCT(Attributs!$DK$2:$DK$18,Attributs!$BI$2:$BI$18))/((SQRT(SUMSQ(Attributs!$DJ$2:$DJ$18)+SUMSQ(Attributs!$DK$2:$DK$18)))*(SQRT(SUMSQ(Attributs!$BH$2:$BH$18)+SUMSQ(Attributs!$BI$2:$BI$18)))),0)</f>
        <v/>
      </c>
      <c r="AF58" s="2">
        <f>IFERROR((SUMPRODUCT(Attributs!$DJ$2:$DJ$18,Attributs!$BJ$2:$BJ$18)+SUMPRODUCT(Attributs!$DK$2:$DK$18,Attributs!$BK$2:$BK$18))/((SQRT(SUMSQ(Attributs!$DJ$2:$DJ$18)+SUMSQ(Attributs!$DK$2:$DK$18)))*(SQRT(SUMSQ(Attributs!$BJ$2:$BJ$18)+SUMSQ(Attributs!$BK$2:$BK$18)))),0)</f>
        <v/>
      </c>
      <c r="AG58" s="2">
        <f>IFERROR((SUMPRODUCT(Attributs!$DJ$2:$DJ$18,Attributs!$BL$2:$BL$18)+SUMPRODUCT(Attributs!$DK$2:$DK$18,Attributs!$BM$2:$BM$18))/((SQRT(SUMSQ(Attributs!$DJ$2:$DJ$18)+SUMSQ(Attributs!$DK$2:$DK$18)))*(SQRT(SUMSQ(Attributs!$BL$2:$BL$18)+SUMSQ(Attributs!$BM$2:$BM$18)))),0)</f>
        <v/>
      </c>
      <c r="AH58" s="2">
        <f>IFERROR((SUMPRODUCT(Attributs!$DJ$2:$DJ$18,Attributs!$BN$2:$BN$18)+SUMPRODUCT(Attributs!$DK$2:$DK$18,Attributs!$BO$2:$BO$18))/((SQRT(SUMSQ(Attributs!$DJ$2:$DJ$18)+SUMSQ(Attributs!$DK$2:$DK$18)))*(SQRT(SUMSQ(Attributs!$BN$2:$BN$18)+SUMSQ(Attributs!$BO$2:$BO$18)))),0)</f>
        <v/>
      </c>
      <c r="AI58" s="2">
        <f>IFERROR((SUMPRODUCT(Attributs!$DJ$2:$DJ$18,Attributs!$BP$2:$BP$18)+SUMPRODUCT(Attributs!$DK$2:$DK$18,Attributs!$BQ$2:$BQ$18))/((SQRT(SUMSQ(Attributs!$DJ$2:$DJ$18)+SUMSQ(Attributs!$DK$2:$DK$18)))*(SQRT(SUMSQ(Attributs!$BP$2:$BP$18)+SUMSQ(Attributs!$BQ$2:$BQ$18)))),0)</f>
        <v/>
      </c>
      <c r="AJ58" s="2">
        <f>IFERROR((SUMPRODUCT(Attributs!$DJ$2:$DJ$18,Attributs!$BR$2:$BR$18)+SUMPRODUCT(Attributs!$DK$2:$DK$18,Attributs!$BS$2:$BS$18))/((SQRT(SUMSQ(Attributs!$DJ$2:$DJ$18)+SUMSQ(Attributs!$DK$2:$DK$18)))*(SQRT(SUMSQ(Attributs!$BR$2:$BR$18)+SUMSQ(Attributs!$BS$2:$BS$18)))),0)</f>
        <v/>
      </c>
      <c r="AK58" s="2">
        <f>IFERROR((SUMPRODUCT(Attributs!$DJ$2:$DJ$18,Attributs!$BT$2:$BT$18)+SUMPRODUCT(Attributs!$DK$2:$DK$18,Attributs!$BU$2:$BU$18))/((SQRT(SUMSQ(Attributs!$DJ$2:$DJ$18)+SUMSQ(Attributs!$DK$2:$DK$18)))*(SQRT(SUMSQ(Attributs!$BT$2:$BT$18)+SUMSQ(Attributs!$BU$2:$BU$18)))),0)</f>
        <v/>
      </c>
      <c r="AL58" s="2">
        <f>IFERROR((SUMPRODUCT(Attributs!$DJ$2:$DJ$18,Attributs!$BV$2:$BV$18)+SUMPRODUCT(Attributs!$DK$2:$DK$18,Attributs!$BW$2:$BW$18))/((SQRT(SUMSQ(Attributs!$DJ$2:$DJ$18)+SUMSQ(Attributs!$DK$2:$DK$18)))*(SQRT(SUMSQ(Attributs!$BV$2:$BV$18)+SUMSQ(Attributs!$BW$2:$BW$18)))),0)</f>
        <v/>
      </c>
      <c r="AM58" s="2">
        <f>IFERROR((SUMPRODUCT(Attributs!$DJ$2:$DJ$18,Attributs!$BX$2:$BX$18)+SUMPRODUCT(Attributs!$DK$2:$DK$18,Attributs!$BY$2:$BY$18))/((SQRT(SUMSQ(Attributs!$DJ$2:$DJ$18)+SUMSQ(Attributs!$DK$2:$DK$18)))*(SQRT(SUMSQ(Attributs!$BX$2:$BX$18)+SUMSQ(Attributs!$BY$2:$BY$18)))),0)</f>
        <v/>
      </c>
      <c r="AN58" s="2">
        <f>IFERROR((SUMPRODUCT(Attributs!$DJ$2:$DJ$18,Attributs!$BZ$2:$BZ$18)+SUMPRODUCT(Attributs!$DK$2:$DK$18,Attributs!$CA$2:$CA$18))/((SQRT(SUMSQ(Attributs!$DJ$2:$DJ$18)+SUMSQ(Attributs!$DK$2:$DK$18)))*(SQRT(SUMSQ(Attributs!$BZ$2:$BZ$18)+SUMSQ(Attributs!$CA$2:$CA$18)))),0)</f>
        <v/>
      </c>
      <c r="AO58" s="2">
        <f>IFERROR((SUMPRODUCT(Attributs!$DJ$2:$DJ$18,Attributs!$CB$2:$CB$18)+SUMPRODUCT(Attributs!$DK$2:$DK$18,Attributs!$CC$2:$CC$18))/((SQRT(SUMSQ(Attributs!$DJ$2:$DJ$18)+SUMSQ(Attributs!$DK$2:$DK$18)))*(SQRT(SUMSQ(Attributs!$CB$2:$CB$18)+SUMSQ(Attributs!$CC$2:$CC$18)))),0)</f>
        <v/>
      </c>
      <c r="AP58" s="2">
        <f>IFERROR((SUMPRODUCT(Attributs!$DJ$2:$DJ$18,Attributs!$CD$2:$CD$18)+SUMPRODUCT(Attributs!$DK$2:$DK$18,Attributs!$CE$2:$CE$18))/((SQRT(SUMSQ(Attributs!$DJ$2:$DJ$18)+SUMSQ(Attributs!$DK$2:$DK$18)))*(SQRT(SUMSQ(Attributs!$CD$2:$CD$18)+SUMSQ(Attributs!$CE$2:$CE$18)))),0)</f>
        <v/>
      </c>
      <c r="AQ58" s="2">
        <f>IFERROR((SUMPRODUCT(Attributs!$DJ$2:$DJ$18,Attributs!$CF$2:$CF$18)+SUMPRODUCT(Attributs!$DK$2:$DK$18,Attributs!$CG$2:$CG$18))/((SQRT(SUMSQ(Attributs!$DJ$2:$DJ$18)+SUMSQ(Attributs!$DK$2:$DK$18)))*(SQRT(SUMSQ(Attributs!$CF$2:$CF$18)+SUMSQ(Attributs!$CG$2:$CG$18)))),0)</f>
        <v/>
      </c>
      <c r="AR58" s="2">
        <f>IFERROR((SUMPRODUCT(Attributs!$DJ$2:$DJ$18,Attributs!$CH$2:$CH$18)+SUMPRODUCT(Attributs!$DK$2:$DK$18,Attributs!$CI$2:$CI$18))/((SQRT(SUMSQ(Attributs!$DJ$2:$DJ$18)+SUMSQ(Attributs!$DK$2:$DK$18)))*(SQRT(SUMSQ(Attributs!$CH$2:$CH$18)+SUMSQ(Attributs!$CI$2:$CI$18)))),0)</f>
        <v/>
      </c>
      <c r="AS58" s="2">
        <f>IFERROR((SUMPRODUCT(Attributs!$DJ$2:$DJ$18,Attributs!$CJ$2:$CJ$18)+SUMPRODUCT(Attributs!$DK$2:$DK$18,Attributs!$CK$2:$CK$18))/((SQRT(SUMSQ(Attributs!$DJ$2:$DJ$18)+SUMSQ(Attributs!$DK$2:$DK$18)))*(SQRT(SUMSQ(Attributs!$CJ$2:$CJ$18)+SUMSQ(Attributs!$CK$2:$CK$18)))),0)</f>
        <v/>
      </c>
      <c r="AT58" s="2">
        <f>IFERROR((SUMPRODUCT(Attributs!$DJ$2:$DJ$18,Attributs!$CL$2:$CL$18)+SUMPRODUCT(Attributs!$DK$2:$DK$18,Attributs!$CM$2:$CM$18))/((SQRT(SUMSQ(Attributs!$DJ$2:$DJ$18)+SUMSQ(Attributs!$DK$2:$DK$18)))*(SQRT(SUMSQ(Attributs!$CL$2:$CL$18)+SUMSQ(Attributs!$CM$2:$CM$18)))),0)</f>
        <v/>
      </c>
      <c r="AU58" s="2">
        <f>IFERROR((SUMPRODUCT(Attributs!$DJ$2:$DJ$18,Attributs!$CN$2:$CN$18)+SUMPRODUCT(Attributs!$DK$2:$DK$18,Attributs!$CO$2:$CO$18))/((SQRT(SUMSQ(Attributs!$DJ$2:$DJ$18)+SUMSQ(Attributs!$DK$2:$DK$18)))*(SQRT(SUMSQ(Attributs!$CN$2:$CN$18)+SUMSQ(Attributs!$CO$2:$CO$18)))),0)</f>
        <v/>
      </c>
      <c r="AV58" s="2">
        <f>IFERROR((SUMPRODUCT(Attributs!$DJ$2:$DJ$18,Attributs!$CP$2:$CP$18)+SUMPRODUCT(Attributs!$DK$2:$DK$18,Attributs!$CQ$2:$CQ$18))/((SQRT(SUMSQ(Attributs!$DJ$2:$DJ$18)+SUMSQ(Attributs!$DK$2:$DK$18)))*(SQRT(SUMSQ(Attributs!$CP$2:$CP$18)+SUMSQ(Attributs!$CQ$2:$CQ$18)))),0)</f>
        <v/>
      </c>
      <c r="AW58" s="2">
        <f>IFERROR((SUMPRODUCT(Attributs!$DJ$2:$DJ$18,Attributs!$CR$2:$CR$18)+SUMPRODUCT(Attributs!$DK$2:$DK$18,Attributs!$CS$2:$CS$18))/((SQRT(SUMSQ(Attributs!$DJ$2:$DJ$18)+SUMSQ(Attributs!$DK$2:$DK$18)))*(SQRT(SUMSQ(Attributs!$CR$2:$CR$18)+SUMSQ(Attributs!$CS$2:$CS$18)))),0)</f>
        <v/>
      </c>
      <c r="AX58" s="2">
        <f>IFERROR((SUMPRODUCT(Attributs!$DJ$2:$DJ$18,Attributs!$CT$2:$CT$18)+SUMPRODUCT(Attributs!$DK$2:$DK$18,Attributs!$CU$2:$CU$18))/((SQRT(SUMSQ(Attributs!$DJ$2:$DJ$18)+SUMSQ(Attributs!$DK$2:$DK$18)))*(SQRT(SUMSQ(Attributs!$CT$2:$CT$18)+SUMSQ(Attributs!$CU$2:$CU$18)))),0)</f>
        <v/>
      </c>
      <c r="AY58" s="2">
        <f>IFERROR((SUMPRODUCT(Attributs!$DJ$2:$DJ$18,Attributs!$CV$2:$CV$18)+SUMPRODUCT(Attributs!$DK$2:$DK$18,Attributs!$CW$2:$CW$18))/((SQRT(SUMSQ(Attributs!$DJ$2:$DJ$18)+SUMSQ(Attributs!$DK$2:$DK$18)))*(SQRT(SUMSQ(Attributs!$CV$2:$CV$18)+SUMSQ(Attributs!$CW$2:$CW$18)))),0)</f>
        <v/>
      </c>
      <c r="AZ58" s="2">
        <f>IFERROR((SUMPRODUCT(Attributs!$DJ$2:$DJ$18,Attributs!$CX$2:$CX$18)+SUMPRODUCT(Attributs!$DK$2:$DK$18,Attributs!$CY$2:$CY$18))/((SQRT(SUMSQ(Attributs!$DJ$2:$DJ$18)+SUMSQ(Attributs!$DK$2:$DK$18)))*(SQRT(SUMSQ(Attributs!$CX$2:$CX$18)+SUMSQ(Attributs!$CY$2:$CY$18)))),0)</f>
        <v/>
      </c>
      <c r="BA58" s="2">
        <f>IFERROR((SUMPRODUCT(Attributs!$DJ$2:$DJ$18,Attributs!$CZ$2:$CZ$18)+SUMPRODUCT(Attributs!$DK$2:$DK$18,Attributs!$DA$2:$DA$18))/((SQRT(SUMSQ(Attributs!$DJ$2:$DJ$18)+SUMSQ(Attributs!$DK$2:$DK$18)))*(SQRT(SUMSQ(Attributs!$CZ$2:$CZ$18)+SUMSQ(Attributs!$DA$2:$DA$18)))),0)</f>
        <v/>
      </c>
      <c r="BB58" s="2">
        <f>IFERROR((SUMPRODUCT(Attributs!$DJ$2:$DJ$18,Attributs!$DB$2:$DB$18)+SUMPRODUCT(Attributs!$DK$2:$DK$18,Attributs!$DC$2:$DC$18))/((SQRT(SUMSQ(Attributs!$DJ$2:$DJ$18)+SUMSQ(Attributs!$DK$2:$DK$18)))*(SQRT(SUMSQ(Attributs!$DB$2:$DB$18)+SUMSQ(Attributs!$DC$2:$DC$18)))),0)</f>
        <v/>
      </c>
      <c r="BC58" s="2">
        <f>IFERROR((SUMPRODUCT(Attributs!$DJ$2:$DJ$18,Attributs!$DD$2:$DD$18)+SUMPRODUCT(Attributs!$DK$2:$DK$18,Attributs!$DE$2:$DE$18))/((SQRT(SUMSQ(Attributs!$DJ$2:$DJ$18)+SUMSQ(Attributs!$DK$2:$DK$18)))*(SQRT(SUMSQ(Attributs!$DD$2:$DD$18)+SUMSQ(Attributs!$DE$2:$DE$18)))),0)</f>
        <v/>
      </c>
      <c r="BD58" s="2">
        <f>IFERROR((SUMPRODUCT(Attributs!$DJ$2:$DJ$18,Attributs!$DF$2:$DF$18)+SUMPRODUCT(Attributs!$DK$2:$DK$18,Attributs!$DG$2:$DG$18))/((SQRT(SUMSQ(Attributs!$DJ$2:$DJ$18)+SUMSQ(Attributs!$DK$2:$DK$18)))*(SQRT(SUMSQ(Attributs!$DF$2:$DF$18)+SUMSQ(Attributs!$DG$2:$DG$18)))),0)</f>
        <v/>
      </c>
      <c r="BE58" s="2">
        <f>IFERROR((SUMPRODUCT(Attributs!$DJ$2:$DJ$18,Attributs!$DH$2:$DH$18)+SUMPRODUCT(Attributs!$DK$2:$DK$18,Attributs!$DI$2:$DI$18))/((SQRT(SUMSQ(Attributs!$DJ$2:$DJ$18)+SUMSQ(Attributs!$DK$2:$DK$18)))*(SQRT(SUMSQ(Attributs!$DH$2:$DH$18)+SUMSQ(Attributs!$DI$2:$DI$18)))),0)</f>
        <v/>
      </c>
      <c r="BF58" s="2">
        <f>IFERROR((SUMPRODUCT(Attributs!$DJ$2:$DJ$18,Attributs!$DJ$2:$DJ$18)+SUMPRODUCT(Attributs!$DK$2:$DK$18,Attributs!$DK$2:$DK$18))/((SQRT(SUMSQ(Attributs!$DJ$2:$DJ$18)+SUMSQ(Attributs!$DK$2:$DK$18)))*(SQRT(SUMSQ(Attributs!$DJ$2:$DJ$18)+SUMSQ(Attributs!$DK$2:$DK$18)))),0)</f>
        <v/>
      </c>
      <c r="BG58" s="2">
        <f>IFERROR((SUMPRODUCT(Attributs!$DJ$2:$DJ$18,Attributs!$DL$2:$DL$18)+SUMPRODUCT(Attributs!$DK$2:$DK$18,Attributs!$DM$2:$DM$18))/((SQRT(SUMSQ(Attributs!$DJ$2:$DJ$18)+SUMSQ(Attributs!$DK$2:$DK$18)))*(SQRT(SUMSQ(Attributs!$DL$2:$DL$18)+SUMSQ(Attributs!$DM$2:$DM$18)))),0)</f>
        <v/>
      </c>
      <c r="BH58" s="2">
        <f>IFERROR((SUMPRODUCT(Attributs!$DJ$2:$DJ$18,Attributs!$DN$2:$DN$18)+SUMPRODUCT(Attributs!$DK$2:$DK$18,Attributs!$DO$2:$DO$18))/((SQRT(SUMSQ(Attributs!$DJ$2:$DJ$18)+SUMSQ(Attributs!$DK$2:$DK$18)))*(SQRT(SUMSQ(Attributs!$DN$2:$DN$18)+SUMSQ(Attributs!$DO$2:$DO$18)))),0)</f>
        <v/>
      </c>
      <c r="BI58" s="2">
        <f>IFERROR((SUMPRODUCT(Attributs!$DJ$2:$DJ$18,Attributs!$DP$2:$DP$18)+SUMPRODUCT(Attributs!$DK$2:$DK$18,Attributs!$DQ$2:$DQ$18))/((SQRT(SUMSQ(Attributs!$DJ$2:$DJ$18)+SUMSQ(Attributs!$DK$2:$DK$18)))*(SQRT(SUMSQ(Attributs!$DP$2:$DP$18)+SUMSQ(Attributs!$DQ$2:$DQ$18)))),0)</f>
        <v/>
      </c>
      <c r="BJ58" s="2">
        <f>IFERROR((SUMPRODUCT(Attributs!$DJ$2:$DJ$18,Attributs!$DR$2:$DR$18)+SUMPRODUCT(Attributs!$DK$2:$DK$18,Attributs!$DS$2:$DS$18))/((SQRT(SUMSQ(Attributs!$DJ$2:$DJ$18)+SUMSQ(Attributs!$DK$2:$DK$18)))*(SQRT(SUMSQ(Attributs!$DR$2:$DR$18)+SUMSQ(Attributs!$DS$2:$DS$18)))),0)</f>
        <v/>
      </c>
      <c r="BK58" s="2">
        <f>IFERROR((SUMPRODUCT(Attributs!$DJ$2:$DJ$18,Attributs!$DT$2:$DT$18)+SUMPRODUCT(Attributs!$DK$2:$DK$18,Attributs!$DU$2:$DU$18))/((SQRT(SUMSQ(Attributs!$DJ$2:$DJ$18)+SUMSQ(Attributs!$DK$2:$DK$18)))*(SQRT(SUMSQ(Attributs!$DT$2:$DT$18)+SUMSQ(Attributs!$DU$2:$DU$18)))),0)</f>
        <v/>
      </c>
      <c r="BL58" s="2">
        <f>IFERROR((SUMPRODUCT(Attributs!$DJ$2:$DJ$18,Attributs!$DV$2:$DV$18)+SUMPRODUCT(Attributs!$DK$2:$DK$18,Attributs!$DW$2:$DW$18))/((SQRT(SUMSQ(Attributs!$DJ$2:$DJ$18)+SUMSQ(Attributs!$DK$2:$DK$18)))*(SQRT(SUMSQ(Attributs!$DV$2:$DV$18)+SUMSQ(Attributs!$DW$2:$DW$18)))),0)</f>
        <v/>
      </c>
    </row>
    <row r="59">
      <c r="A59" s="3" t="inlineStr">
        <is>
          <t>SE_neo4j.Users.creationdate</t>
        </is>
      </c>
      <c r="B59" s="2">
        <f>IFERROR((SUMPRODUCT(Attributs!$DL$2:$DL$18,Attributs!$B$2:$B$18)+SUMPRODUCT(Attributs!$DM$2:$DM$18,Attributs!$C$2:$C$18))/((SQRT(SUMSQ(Attributs!$DL$2:$DL$18)+SUMSQ(Attributs!$DM$2:$DM$18)))*(SQRT(SUMSQ(Attributs!$B$2:$B$18)+SUMSQ(Attributs!$C$2:$C$18)))),0)</f>
        <v/>
      </c>
      <c r="C59" s="2">
        <f>IFERROR((SUMPRODUCT(Attributs!$DL$2:$DL$18,Attributs!$D$2:$D$18)+SUMPRODUCT(Attributs!$DM$2:$DM$18,Attributs!$E$2:$E$18))/((SQRT(SUMSQ(Attributs!$DL$2:$DL$18)+SUMSQ(Attributs!$DM$2:$DM$18)))*(SQRT(SUMSQ(Attributs!$D$2:$D$18)+SUMSQ(Attributs!$E$2:$E$18)))),0)</f>
        <v/>
      </c>
      <c r="D59" s="2">
        <f>IFERROR((SUMPRODUCT(Attributs!$DL$2:$DL$18,Attributs!$F$2:$F$18)+SUMPRODUCT(Attributs!$DM$2:$DM$18,Attributs!$G$2:$G$18))/((SQRT(SUMSQ(Attributs!$DL$2:$DL$18)+SUMSQ(Attributs!$DM$2:$DM$18)))*(SQRT(SUMSQ(Attributs!$F$2:$F$18)+SUMSQ(Attributs!$G$2:$G$18)))),0)</f>
        <v/>
      </c>
      <c r="E59" s="2">
        <f>IFERROR((SUMPRODUCT(Attributs!$DL$2:$DL$18,Attributs!$H$2:$H$18)+SUMPRODUCT(Attributs!$DM$2:$DM$18,Attributs!$I$2:$I$18))/((SQRT(SUMSQ(Attributs!$DL$2:$DL$18)+SUMSQ(Attributs!$DM$2:$DM$18)))*(SQRT(SUMSQ(Attributs!$H$2:$H$18)+SUMSQ(Attributs!$I$2:$I$18)))),0)</f>
        <v/>
      </c>
      <c r="F59" s="2">
        <f>IFERROR((SUMPRODUCT(Attributs!$DL$2:$DL$18,Attributs!$J$2:$J$18)+SUMPRODUCT(Attributs!$DM$2:$DM$18,Attributs!$K$2:$K$18))/((SQRT(SUMSQ(Attributs!$DL$2:$DL$18)+SUMSQ(Attributs!$DM$2:$DM$18)))*(SQRT(SUMSQ(Attributs!$J$2:$J$18)+SUMSQ(Attributs!$K$2:$K$18)))),0)</f>
        <v/>
      </c>
      <c r="G59" s="2">
        <f>IFERROR((SUMPRODUCT(Attributs!$DL$2:$DL$18,Attributs!$L$2:$L$18)+SUMPRODUCT(Attributs!$DM$2:$DM$18,Attributs!$M$2:$M$18))/((SQRT(SUMSQ(Attributs!$DL$2:$DL$18)+SUMSQ(Attributs!$DM$2:$DM$18)))*(SQRT(SUMSQ(Attributs!$L$2:$L$18)+SUMSQ(Attributs!$M$2:$M$18)))),0)</f>
        <v/>
      </c>
      <c r="H59" s="2">
        <f>IFERROR((SUMPRODUCT(Attributs!$DL$2:$DL$18,Attributs!$N$2:$N$18)+SUMPRODUCT(Attributs!$DM$2:$DM$18,Attributs!$O$2:$O$18))/((SQRT(SUMSQ(Attributs!$DL$2:$DL$18)+SUMSQ(Attributs!$DM$2:$DM$18)))*(SQRT(SUMSQ(Attributs!$N$2:$N$18)+SUMSQ(Attributs!$O$2:$O$18)))),0)</f>
        <v/>
      </c>
      <c r="I59" s="2">
        <f>IFERROR((SUMPRODUCT(Attributs!$DL$2:$DL$18,Attributs!$P$2:$P$18)+SUMPRODUCT(Attributs!$DM$2:$DM$18,Attributs!$Q$2:$Q$18))/((SQRT(SUMSQ(Attributs!$DL$2:$DL$18)+SUMSQ(Attributs!$DM$2:$DM$18)))*(SQRT(SUMSQ(Attributs!$P$2:$P$18)+SUMSQ(Attributs!$Q$2:$Q$18)))),0)</f>
        <v/>
      </c>
      <c r="J59" s="2">
        <f>IFERROR((SUMPRODUCT(Attributs!$DL$2:$DL$18,Attributs!$R$2:$R$18)+SUMPRODUCT(Attributs!$DM$2:$DM$18,Attributs!$S$2:$S$18))/((SQRT(SUMSQ(Attributs!$DL$2:$DL$18)+SUMSQ(Attributs!$DM$2:$DM$18)))*(SQRT(SUMSQ(Attributs!$R$2:$R$18)+SUMSQ(Attributs!$S$2:$S$18)))),0)</f>
        <v/>
      </c>
      <c r="K59" s="2">
        <f>IFERROR((SUMPRODUCT(Attributs!$DL$2:$DL$18,Attributs!$T$2:$T$18)+SUMPRODUCT(Attributs!$DM$2:$DM$18,Attributs!$U$2:$U$18))/((SQRT(SUMSQ(Attributs!$DL$2:$DL$18)+SUMSQ(Attributs!$DM$2:$DM$18)))*(SQRT(SUMSQ(Attributs!$T$2:$T$18)+SUMSQ(Attributs!$U$2:$U$18)))),0)</f>
        <v/>
      </c>
      <c r="L59" s="2">
        <f>IFERROR((SUMPRODUCT(Attributs!$DL$2:$DL$18,Attributs!$V$2:$V$18)+SUMPRODUCT(Attributs!$DM$2:$DM$18,Attributs!$W$2:$W$18))/((SQRT(SUMSQ(Attributs!$DL$2:$DL$18)+SUMSQ(Attributs!$DM$2:$DM$18)))*(SQRT(SUMSQ(Attributs!$V$2:$V$18)+SUMSQ(Attributs!$W$2:$W$18)))),0)</f>
        <v/>
      </c>
      <c r="M59" s="2">
        <f>IFERROR((SUMPRODUCT(Attributs!$DL$2:$DL$18,Attributs!$X$2:$X$18)+SUMPRODUCT(Attributs!$DM$2:$DM$18,Attributs!$Y$2:$Y$18))/((SQRT(SUMSQ(Attributs!$DL$2:$DL$18)+SUMSQ(Attributs!$DM$2:$DM$18)))*(SQRT(SUMSQ(Attributs!$X$2:$X$18)+SUMSQ(Attributs!$Y$2:$Y$18)))),0)</f>
        <v/>
      </c>
      <c r="N59" s="2">
        <f>IFERROR((SUMPRODUCT(Attributs!$DL$2:$DL$18,Attributs!$Z$2:$Z$18)+SUMPRODUCT(Attributs!$DM$2:$DM$18,Attributs!$AA$2:$AA$18))/((SQRT(SUMSQ(Attributs!$DL$2:$DL$18)+SUMSQ(Attributs!$DM$2:$DM$18)))*(SQRT(SUMSQ(Attributs!$Z$2:$Z$18)+SUMSQ(Attributs!$AA$2:$AA$18)))),0)</f>
        <v/>
      </c>
      <c r="O59" s="2">
        <f>IFERROR((SUMPRODUCT(Attributs!$DL$2:$DL$18,Attributs!$AB$2:$AB$18)+SUMPRODUCT(Attributs!$DM$2:$DM$18,Attributs!$AC$2:$AC$18))/((SQRT(SUMSQ(Attributs!$DL$2:$DL$18)+SUMSQ(Attributs!$DM$2:$DM$18)))*(SQRT(SUMSQ(Attributs!$AB$2:$AB$18)+SUMSQ(Attributs!$AC$2:$AC$18)))),0)</f>
        <v/>
      </c>
      <c r="P59" s="2">
        <f>IFERROR((SUMPRODUCT(Attributs!$DL$2:$DL$18,Attributs!$AD$2:$AD$18)+SUMPRODUCT(Attributs!$DM$2:$DM$18,Attributs!$AE$2:$AE$18))/((SQRT(SUMSQ(Attributs!$DL$2:$DL$18)+SUMSQ(Attributs!$DM$2:$DM$18)))*(SQRT(SUMSQ(Attributs!$AD$2:$AD$18)+SUMSQ(Attributs!$AE$2:$AE$18)))),0)</f>
        <v/>
      </c>
      <c r="Q59" s="2">
        <f>IFERROR((SUMPRODUCT(Attributs!$DL$2:$DL$18,Attributs!$AF$2:$AF$18)+SUMPRODUCT(Attributs!$DM$2:$DM$18,Attributs!$AG$2:$AG$18))/((SQRT(SUMSQ(Attributs!$DL$2:$DL$18)+SUMSQ(Attributs!$DM$2:$DM$18)))*(SQRT(SUMSQ(Attributs!$AF$2:$AF$18)+SUMSQ(Attributs!$AG$2:$AG$18)))),0)</f>
        <v/>
      </c>
      <c r="R59" s="2">
        <f>IFERROR((SUMPRODUCT(Attributs!$DL$2:$DL$18,Attributs!$AH$2:$AH$18)+SUMPRODUCT(Attributs!$DM$2:$DM$18,Attributs!$AI$2:$AI$18))/((SQRT(SUMSQ(Attributs!$DL$2:$DL$18)+SUMSQ(Attributs!$DM$2:$DM$18)))*(SQRT(SUMSQ(Attributs!$AH$2:$AH$18)+SUMSQ(Attributs!$AI$2:$AI$18)))),0)</f>
        <v/>
      </c>
      <c r="S59" s="2">
        <f>IFERROR((SUMPRODUCT(Attributs!$DL$2:$DL$18,Attributs!$AJ$2:$AJ$18)+SUMPRODUCT(Attributs!$DM$2:$DM$18,Attributs!$AK$2:$AK$18))/((SQRT(SUMSQ(Attributs!$DL$2:$DL$18)+SUMSQ(Attributs!$DM$2:$DM$18)))*(SQRT(SUMSQ(Attributs!$AJ$2:$AJ$18)+SUMSQ(Attributs!$AK$2:$AK$18)))),0)</f>
        <v/>
      </c>
      <c r="T59" s="2">
        <f>IFERROR((SUMPRODUCT(Attributs!$DL$2:$DL$18,Attributs!$AL$2:$AL$18)+SUMPRODUCT(Attributs!$DM$2:$DM$18,Attributs!$AM$2:$AM$18))/((SQRT(SUMSQ(Attributs!$DL$2:$DL$18)+SUMSQ(Attributs!$DM$2:$DM$18)))*(SQRT(SUMSQ(Attributs!$AL$2:$AL$18)+SUMSQ(Attributs!$AM$2:$AM$18)))),0)</f>
        <v/>
      </c>
      <c r="U59" s="2">
        <f>IFERROR((SUMPRODUCT(Attributs!$DL$2:$DL$18,Attributs!$AN$2:$AN$18)+SUMPRODUCT(Attributs!$DM$2:$DM$18,Attributs!$AO$2:$AO$18))/((SQRT(SUMSQ(Attributs!$DL$2:$DL$18)+SUMSQ(Attributs!$DM$2:$DM$18)))*(SQRT(SUMSQ(Attributs!$AN$2:$AN$18)+SUMSQ(Attributs!$AO$2:$AO$18)))),0)</f>
        <v/>
      </c>
      <c r="V59" s="2">
        <f>IFERROR((SUMPRODUCT(Attributs!$DL$2:$DL$18,Attributs!$AP$2:$AP$18)+SUMPRODUCT(Attributs!$DM$2:$DM$18,Attributs!$AQ$2:$AQ$18))/((SQRT(SUMSQ(Attributs!$DL$2:$DL$18)+SUMSQ(Attributs!$DM$2:$DM$18)))*(SQRT(SUMSQ(Attributs!$AP$2:$AP$18)+SUMSQ(Attributs!$AQ$2:$AQ$18)))),0)</f>
        <v/>
      </c>
      <c r="W59" s="2">
        <f>IFERROR((SUMPRODUCT(Attributs!$DL$2:$DL$18,Attributs!$AR$2:$AR$18)+SUMPRODUCT(Attributs!$DM$2:$DM$18,Attributs!$AS$2:$AS$18))/((SQRT(SUMSQ(Attributs!$DL$2:$DL$18)+SUMSQ(Attributs!$DM$2:$DM$18)))*(SQRT(SUMSQ(Attributs!$AR$2:$AR$18)+SUMSQ(Attributs!$AS$2:$AS$18)))),0)</f>
        <v/>
      </c>
      <c r="X59" s="2">
        <f>IFERROR((SUMPRODUCT(Attributs!$DL$2:$DL$18,Attributs!$AT$2:$AT$18)+SUMPRODUCT(Attributs!$DM$2:$DM$18,Attributs!$AU$2:$AU$18))/((SQRT(SUMSQ(Attributs!$DL$2:$DL$18)+SUMSQ(Attributs!$DM$2:$DM$18)))*(SQRT(SUMSQ(Attributs!$AT$2:$AT$18)+SUMSQ(Attributs!$AU$2:$AU$18)))),0)</f>
        <v/>
      </c>
      <c r="Y59" s="2">
        <f>IFERROR((SUMPRODUCT(Attributs!$DL$2:$DL$18,Attributs!$AV$2:$AV$18)+SUMPRODUCT(Attributs!$DM$2:$DM$18,Attributs!$AW$2:$AW$18))/((SQRT(SUMSQ(Attributs!$DL$2:$DL$18)+SUMSQ(Attributs!$DM$2:$DM$18)))*(SQRT(SUMSQ(Attributs!$AV$2:$AV$18)+SUMSQ(Attributs!$AW$2:$AW$18)))),0)</f>
        <v/>
      </c>
      <c r="Z59" s="2">
        <f>IFERROR((SUMPRODUCT(Attributs!$DL$2:$DL$18,Attributs!$AX$2:$AX$18)+SUMPRODUCT(Attributs!$DM$2:$DM$18,Attributs!$AY$2:$AY$18))/((SQRT(SUMSQ(Attributs!$DL$2:$DL$18)+SUMSQ(Attributs!$DM$2:$DM$18)))*(SQRT(SUMSQ(Attributs!$AX$2:$AX$18)+SUMSQ(Attributs!$AY$2:$AY$18)))),0)</f>
        <v/>
      </c>
      <c r="AA59" s="2">
        <f>IFERROR((SUMPRODUCT(Attributs!$DL$2:$DL$18,Attributs!$AZ$2:$AZ$18)+SUMPRODUCT(Attributs!$DM$2:$DM$18,Attributs!$BA$2:$BA$18))/((SQRT(SUMSQ(Attributs!$DL$2:$DL$18)+SUMSQ(Attributs!$DM$2:$DM$18)))*(SQRT(SUMSQ(Attributs!$AZ$2:$AZ$18)+SUMSQ(Attributs!$BA$2:$BA$18)))),0)</f>
        <v/>
      </c>
      <c r="AB59" s="2">
        <f>IFERROR((SUMPRODUCT(Attributs!$DL$2:$DL$18,Attributs!$BB$2:$BB$18)+SUMPRODUCT(Attributs!$DM$2:$DM$18,Attributs!$BC$2:$BC$18))/((SQRT(SUMSQ(Attributs!$DL$2:$DL$18)+SUMSQ(Attributs!$DM$2:$DM$18)))*(SQRT(SUMSQ(Attributs!$BB$2:$BB$18)+SUMSQ(Attributs!$BC$2:$BC$18)))),0)</f>
        <v/>
      </c>
      <c r="AC59" s="2">
        <f>IFERROR((SUMPRODUCT(Attributs!$DL$2:$DL$18,Attributs!$BD$2:$BD$18)+SUMPRODUCT(Attributs!$DM$2:$DM$18,Attributs!$BE$2:$BE$18))/((SQRT(SUMSQ(Attributs!$DL$2:$DL$18)+SUMSQ(Attributs!$DM$2:$DM$18)))*(SQRT(SUMSQ(Attributs!$BD$2:$BD$18)+SUMSQ(Attributs!$BE$2:$BE$18)))),0)</f>
        <v/>
      </c>
      <c r="AD59" s="2">
        <f>IFERROR((SUMPRODUCT(Attributs!$DL$2:$DL$18,Attributs!$BF$2:$BF$18)+SUMPRODUCT(Attributs!$DM$2:$DM$18,Attributs!$BG$2:$BG$18))/((SQRT(SUMSQ(Attributs!$DL$2:$DL$18)+SUMSQ(Attributs!$DM$2:$DM$18)))*(SQRT(SUMSQ(Attributs!$BF$2:$BF$18)+SUMSQ(Attributs!$BG$2:$BG$18)))),0)</f>
        <v/>
      </c>
      <c r="AE59" s="2">
        <f>IFERROR((SUMPRODUCT(Attributs!$DL$2:$DL$18,Attributs!$BH$2:$BH$18)+SUMPRODUCT(Attributs!$DM$2:$DM$18,Attributs!$BI$2:$BI$18))/((SQRT(SUMSQ(Attributs!$DL$2:$DL$18)+SUMSQ(Attributs!$DM$2:$DM$18)))*(SQRT(SUMSQ(Attributs!$BH$2:$BH$18)+SUMSQ(Attributs!$BI$2:$BI$18)))),0)</f>
        <v/>
      </c>
      <c r="AF59" s="2">
        <f>IFERROR((SUMPRODUCT(Attributs!$DL$2:$DL$18,Attributs!$BJ$2:$BJ$18)+SUMPRODUCT(Attributs!$DM$2:$DM$18,Attributs!$BK$2:$BK$18))/((SQRT(SUMSQ(Attributs!$DL$2:$DL$18)+SUMSQ(Attributs!$DM$2:$DM$18)))*(SQRT(SUMSQ(Attributs!$BJ$2:$BJ$18)+SUMSQ(Attributs!$BK$2:$BK$18)))),0)</f>
        <v/>
      </c>
      <c r="AG59" s="2">
        <f>IFERROR((SUMPRODUCT(Attributs!$DL$2:$DL$18,Attributs!$BL$2:$BL$18)+SUMPRODUCT(Attributs!$DM$2:$DM$18,Attributs!$BM$2:$BM$18))/((SQRT(SUMSQ(Attributs!$DL$2:$DL$18)+SUMSQ(Attributs!$DM$2:$DM$18)))*(SQRT(SUMSQ(Attributs!$BL$2:$BL$18)+SUMSQ(Attributs!$BM$2:$BM$18)))),0)</f>
        <v/>
      </c>
      <c r="AH59" s="2">
        <f>IFERROR((SUMPRODUCT(Attributs!$DL$2:$DL$18,Attributs!$BN$2:$BN$18)+SUMPRODUCT(Attributs!$DM$2:$DM$18,Attributs!$BO$2:$BO$18))/((SQRT(SUMSQ(Attributs!$DL$2:$DL$18)+SUMSQ(Attributs!$DM$2:$DM$18)))*(SQRT(SUMSQ(Attributs!$BN$2:$BN$18)+SUMSQ(Attributs!$BO$2:$BO$18)))),0)</f>
        <v/>
      </c>
      <c r="AI59" s="2">
        <f>IFERROR((SUMPRODUCT(Attributs!$DL$2:$DL$18,Attributs!$BP$2:$BP$18)+SUMPRODUCT(Attributs!$DM$2:$DM$18,Attributs!$BQ$2:$BQ$18))/((SQRT(SUMSQ(Attributs!$DL$2:$DL$18)+SUMSQ(Attributs!$DM$2:$DM$18)))*(SQRT(SUMSQ(Attributs!$BP$2:$BP$18)+SUMSQ(Attributs!$BQ$2:$BQ$18)))),0)</f>
        <v/>
      </c>
      <c r="AJ59" s="2">
        <f>IFERROR((SUMPRODUCT(Attributs!$DL$2:$DL$18,Attributs!$BR$2:$BR$18)+SUMPRODUCT(Attributs!$DM$2:$DM$18,Attributs!$BS$2:$BS$18))/((SQRT(SUMSQ(Attributs!$DL$2:$DL$18)+SUMSQ(Attributs!$DM$2:$DM$18)))*(SQRT(SUMSQ(Attributs!$BR$2:$BR$18)+SUMSQ(Attributs!$BS$2:$BS$18)))),0)</f>
        <v/>
      </c>
      <c r="AK59" s="2">
        <f>IFERROR((SUMPRODUCT(Attributs!$DL$2:$DL$18,Attributs!$BT$2:$BT$18)+SUMPRODUCT(Attributs!$DM$2:$DM$18,Attributs!$BU$2:$BU$18))/((SQRT(SUMSQ(Attributs!$DL$2:$DL$18)+SUMSQ(Attributs!$DM$2:$DM$18)))*(SQRT(SUMSQ(Attributs!$BT$2:$BT$18)+SUMSQ(Attributs!$BU$2:$BU$18)))),0)</f>
        <v/>
      </c>
      <c r="AL59" s="2">
        <f>IFERROR((SUMPRODUCT(Attributs!$DL$2:$DL$18,Attributs!$BV$2:$BV$18)+SUMPRODUCT(Attributs!$DM$2:$DM$18,Attributs!$BW$2:$BW$18))/((SQRT(SUMSQ(Attributs!$DL$2:$DL$18)+SUMSQ(Attributs!$DM$2:$DM$18)))*(SQRT(SUMSQ(Attributs!$BV$2:$BV$18)+SUMSQ(Attributs!$BW$2:$BW$18)))),0)</f>
        <v/>
      </c>
      <c r="AM59" s="2">
        <f>IFERROR((SUMPRODUCT(Attributs!$DL$2:$DL$18,Attributs!$BX$2:$BX$18)+SUMPRODUCT(Attributs!$DM$2:$DM$18,Attributs!$BY$2:$BY$18))/((SQRT(SUMSQ(Attributs!$DL$2:$DL$18)+SUMSQ(Attributs!$DM$2:$DM$18)))*(SQRT(SUMSQ(Attributs!$BX$2:$BX$18)+SUMSQ(Attributs!$BY$2:$BY$18)))),0)</f>
        <v/>
      </c>
      <c r="AN59" s="2">
        <f>IFERROR((SUMPRODUCT(Attributs!$DL$2:$DL$18,Attributs!$BZ$2:$BZ$18)+SUMPRODUCT(Attributs!$DM$2:$DM$18,Attributs!$CA$2:$CA$18))/((SQRT(SUMSQ(Attributs!$DL$2:$DL$18)+SUMSQ(Attributs!$DM$2:$DM$18)))*(SQRT(SUMSQ(Attributs!$BZ$2:$BZ$18)+SUMSQ(Attributs!$CA$2:$CA$18)))),0)</f>
        <v/>
      </c>
      <c r="AO59" s="2">
        <f>IFERROR((SUMPRODUCT(Attributs!$DL$2:$DL$18,Attributs!$CB$2:$CB$18)+SUMPRODUCT(Attributs!$DM$2:$DM$18,Attributs!$CC$2:$CC$18))/((SQRT(SUMSQ(Attributs!$DL$2:$DL$18)+SUMSQ(Attributs!$DM$2:$DM$18)))*(SQRT(SUMSQ(Attributs!$CB$2:$CB$18)+SUMSQ(Attributs!$CC$2:$CC$18)))),0)</f>
        <v/>
      </c>
      <c r="AP59" s="2">
        <f>IFERROR((SUMPRODUCT(Attributs!$DL$2:$DL$18,Attributs!$CD$2:$CD$18)+SUMPRODUCT(Attributs!$DM$2:$DM$18,Attributs!$CE$2:$CE$18))/((SQRT(SUMSQ(Attributs!$DL$2:$DL$18)+SUMSQ(Attributs!$DM$2:$DM$18)))*(SQRT(SUMSQ(Attributs!$CD$2:$CD$18)+SUMSQ(Attributs!$CE$2:$CE$18)))),0)</f>
        <v/>
      </c>
      <c r="AQ59" s="2">
        <f>IFERROR((SUMPRODUCT(Attributs!$DL$2:$DL$18,Attributs!$CF$2:$CF$18)+SUMPRODUCT(Attributs!$DM$2:$DM$18,Attributs!$CG$2:$CG$18))/((SQRT(SUMSQ(Attributs!$DL$2:$DL$18)+SUMSQ(Attributs!$DM$2:$DM$18)))*(SQRT(SUMSQ(Attributs!$CF$2:$CF$18)+SUMSQ(Attributs!$CG$2:$CG$18)))),0)</f>
        <v/>
      </c>
      <c r="AR59" s="2">
        <f>IFERROR((SUMPRODUCT(Attributs!$DL$2:$DL$18,Attributs!$CH$2:$CH$18)+SUMPRODUCT(Attributs!$DM$2:$DM$18,Attributs!$CI$2:$CI$18))/((SQRT(SUMSQ(Attributs!$DL$2:$DL$18)+SUMSQ(Attributs!$DM$2:$DM$18)))*(SQRT(SUMSQ(Attributs!$CH$2:$CH$18)+SUMSQ(Attributs!$CI$2:$CI$18)))),0)</f>
        <v/>
      </c>
      <c r="AS59" s="2">
        <f>IFERROR((SUMPRODUCT(Attributs!$DL$2:$DL$18,Attributs!$CJ$2:$CJ$18)+SUMPRODUCT(Attributs!$DM$2:$DM$18,Attributs!$CK$2:$CK$18))/((SQRT(SUMSQ(Attributs!$DL$2:$DL$18)+SUMSQ(Attributs!$DM$2:$DM$18)))*(SQRT(SUMSQ(Attributs!$CJ$2:$CJ$18)+SUMSQ(Attributs!$CK$2:$CK$18)))),0)</f>
        <v/>
      </c>
      <c r="AT59" s="2">
        <f>IFERROR((SUMPRODUCT(Attributs!$DL$2:$DL$18,Attributs!$CL$2:$CL$18)+SUMPRODUCT(Attributs!$DM$2:$DM$18,Attributs!$CM$2:$CM$18))/((SQRT(SUMSQ(Attributs!$DL$2:$DL$18)+SUMSQ(Attributs!$DM$2:$DM$18)))*(SQRT(SUMSQ(Attributs!$CL$2:$CL$18)+SUMSQ(Attributs!$CM$2:$CM$18)))),0)</f>
        <v/>
      </c>
      <c r="AU59" s="2">
        <f>IFERROR((SUMPRODUCT(Attributs!$DL$2:$DL$18,Attributs!$CN$2:$CN$18)+SUMPRODUCT(Attributs!$DM$2:$DM$18,Attributs!$CO$2:$CO$18))/((SQRT(SUMSQ(Attributs!$DL$2:$DL$18)+SUMSQ(Attributs!$DM$2:$DM$18)))*(SQRT(SUMSQ(Attributs!$CN$2:$CN$18)+SUMSQ(Attributs!$CO$2:$CO$18)))),0)</f>
        <v/>
      </c>
      <c r="AV59" s="2">
        <f>IFERROR((SUMPRODUCT(Attributs!$DL$2:$DL$18,Attributs!$CP$2:$CP$18)+SUMPRODUCT(Attributs!$DM$2:$DM$18,Attributs!$CQ$2:$CQ$18))/((SQRT(SUMSQ(Attributs!$DL$2:$DL$18)+SUMSQ(Attributs!$DM$2:$DM$18)))*(SQRT(SUMSQ(Attributs!$CP$2:$CP$18)+SUMSQ(Attributs!$CQ$2:$CQ$18)))),0)</f>
        <v/>
      </c>
      <c r="AW59" s="2">
        <f>IFERROR((SUMPRODUCT(Attributs!$DL$2:$DL$18,Attributs!$CR$2:$CR$18)+SUMPRODUCT(Attributs!$DM$2:$DM$18,Attributs!$CS$2:$CS$18))/((SQRT(SUMSQ(Attributs!$DL$2:$DL$18)+SUMSQ(Attributs!$DM$2:$DM$18)))*(SQRT(SUMSQ(Attributs!$CR$2:$CR$18)+SUMSQ(Attributs!$CS$2:$CS$18)))),0)</f>
        <v/>
      </c>
      <c r="AX59" s="2">
        <f>IFERROR((SUMPRODUCT(Attributs!$DL$2:$DL$18,Attributs!$CT$2:$CT$18)+SUMPRODUCT(Attributs!$DM$2:$DM$18,Attributs!$CU$2:$CU$18))/((SQRT(SUMSQ(Attributs!$DL$2:$DL$18)+SUMSQ(Attributs!$DM$2:$DM$18)))*(SQRT(SUMSQ(Attributs!$CT$2:$CT$18)+SUMSQ(Attributs!$CU$2:$CU$18)))),0)</f>
        <v/>
      </c>
      <c r="AY59" s="2">
        <f>IFERROR((SUMPRODUCT(Attributs!$DL$2:$DL$18,Attributs!$CV$2:$CV$18)+SUMPRODUCT(Attributs!$DM$2:$DM$18,Attributs!$CW$2:$CW$18))/((SQRT(SUMSQ(Attributs!$DL$2:$DL$18)+SUMSQ(Attributs!$DM$2:$DM$18)))*(SQRT(SUMSQ(Attributs!$CV$2:$CV$18)+SUMSQ(Attributs!$CW$2:$CW$18)))),0)</f>
        <v/>
      </c>
      <c r="AZ59" s="2">
        <f>IFERROR((SUMPRODUCT(Attributs!$DL$2:$DL$18,Attributs!$CX$2:$CX$18)+SUMPRODUCT(Attributs!$DM$2:$DM$18,Attributs!$CY$2:$CY$18))/((SQRT(SUMSQ(Attributs!$DL$2:$DL$18)+SUMSQ(Attributs!$DM$2:$DM$18)))*(SQRT(SUMSQ(Attributs!$CX$2:$CX$18)+SUMSQ(Attributs!$CY$2:$CY$18)))),0)</f>
        <v/>
      </c>
      <c r="BA59" s="2">
        <f>IFERROR((SUMPRODUCT(Attributs!$DL$2:$DL$18,Attributs!$CZ$2:$CZ$18)+SUMPRODUCT(Attributs!$DM$2:$DM$18,Attributs!$DA$2:$DA$18))/((SQRT(SUMSQ(Attributs!$DL$2:$DL$18)+SUMSQ(Attributs!$DM$2:$DM$18)))*(SQRT(SUMSQ(Attributs!$CZ$2:$CZ$18)+SUMSQ(Attributs!$DA$2:$DA$18)))),0)</f>
        <v/>
      </c>
      <c r="BB59" s="2">
        <f>IFERROR((SUMPRODUCT(Attributs!$DL$2:$DL$18,Attributs!$DB$2:$DB$18)+SUMPRODUCT(Attributs!$DM$2:$DM$18,Attributs!$DC$2:$DC$18))/((SQRT(SUMSQ(Attributs!$DL$2:$DL$18)+SUMSQ(Attributs!$DM$2:$DM$18)))*(SQRT(SUMSQ(Attributs!$DB$2:$DB$18)+SUMSQ(Attributs!$DC$2:$DC$18)))),0)</f>
        <v/>
      </c>
      <c r="BC59" s="2">
        <f>IFERROR((SUMPRODUCT(Attributs!$DL$2:$DL$18,Attributs!$DD$2:$DD$18)+SUMPRODUCT(Attributs!$DM$2:$DM$18,Attributs!$DE$2:$DE$18))/((SQRT(SUMSQ(Attributs!$DL$2:$DL$18)+SUMSQ(Attributs!$DM$2:$DM$18)))*(SQRT(SUMSQ(Attributs!$DD$2:$DD$18)+SUMSQ(Attributs!$DE$2:$DE$18)))),0)</f>
        <v/>
      </c>
      <c r="BD59" s="2">
        <f>IFERROR((SUMPRODUCT(Attributs!$DL$2:$DL$18,Attributs!$DF$2:$DF$18)+SUMPRODUCT(Attributs!$DM$2:$DM$18,Attributs!$DG$2:$DG$18))/((SQRT(SUMSQ(Attributs!$DL$2:$DL$18)+SUMSQ(Attributs!$DM$2:$DM$18)))*(SQRT(SUMSQ(Attributs!$DF$2:$DF$18)+SUMSQ(Attributs!$DG$2:$DG$18)))),0)</f>
        <v/>
      </c>
      <c r="BE59" s="2">
        <f>IFERROR((SUMPRODUCT(Attributs!$DL$2:$DL$18,Attributs!$DH$2:$DH$18)+SUMPRODUCT(Attributs!$DM$2:$DM$18,Attributs!$DI$2:$DI$18))/((SQRT(SUMSQ(Attributs!$DL$2:$DL$18)+SUMSQ(Attributs!$DM$2:$DM$18)))*(SQRT(SUMSQ(Attributs!$DH$2:$DH$18)+SUMSQ(Attributs!$DI$2:$DI$18)))),0)</f>
        <v/>
      </c>
      <c r="BF59" s="2">
        <f>IFERROR((SUMPRODUCT(Attributs!$DL$2:$DL$18,Attributs!$DJ$2:$DJ$18)+SUMPRODUCT(Attributs!$DM$2:$DM$18,Attributs!$DK$2:$DK$18))/((SQRT(SUMSQ(Attributs!$DL$2:$DL$18)+SUMSQ(Attributs!$DM$2:$DM$18)))*(SQRT(SUMSQ(Attributs!$DJ$2:$DJ$18)+SUMSQ(Attributs!$DK$2:$DK$18)))),0)</f>
        <v/>
      </c>
      <c r="BG59" s="2">
        <f>IFERROR((SUMPRODUCT(Attributs!$DL$2:$DL$18,Attributs!$DL$2:$DL$18)+SUMPRODUCT(Attributs!$DM$2:$DM$18,Attributs!$DM$2:$DM$18))/((SQRT(SUMSQ(Attributs!$DL$2:$DL$18)+SUMSQ(Attributs!$DM$2:$DM$18)))*(SQRT(SUMSQ(Attributs!$DL$2:$DL$18)+SUMSQ(Attributs!$DM$2:$DM$18)))),0)</f>
        <v/>
      </c>
      <c r="BH59" s="2">
        <f>IFERROR((SUMPRODUCT(Attributs!$DL$2:$DL$18,Attributs!$DN$2:$DN$18)+SUMPRODUCT(Attributs!$DM$2:$DM$18,Attributs!$DO$2:$DO$18))/((SQRT(SUMSQ(Attributs!$DL$2:$DL$18)+SUMSQ(Attributs!$DM$2:$DM$18)))*(SQRT(SUMSQ(Attributs!$DN$2:$DN$18)+SUMSQ(Attributs!$DO$2:$DO$18)))),0)</f>
        <v/>
      </c>
      <c r="BI59" s="2">
        <f>IFERROR((SUMPRODUCT(Attributs!$DL$2:$DL$18,Attributs!$DP$2:$DP$18)+SUMPRODUCT(Attributs!$DM$2:$DM$18,Attributs!$DQ$2:$DQ$18))/((SQRT(SUMSQ(Attributs!$DL$2:$DL$18)+SUMSQ(Attributs!$DM$2:$DM$18)))*(SQRT(SUMSQ(Attributs!$DP$2:$DP$18)+SUMSQ(Attributs!$DQ$2:$DQ$18)))),0)</f>
        <v/>
      </c>
      <c r="BJ59" s="2">
        <f>IFERROR((SUMPRODUCT(Attributs!$DL$2:$DL$18,Attributs!$DR$2:$DR$18)+SUMPRODUCT(Attributs!$DM$2:$DM$18,Attributs!$DS$2:$DS$18))/((SQRT(SUMSQ(Attributs!$DL$2:$DL$18)+SUMSQ(Attributs!$DM$2:$DM$18)))*(SQRT(SUMSQ(Attributs!$DR$2:$DR$18)+SUMSQ(Attributs!$DS$2:$DS$18)))),0)</f>
        <v/>
      </c>
      <c r="BK59" s="2">
        <f>IFERROR((SUMPRODUCT(Attributs!$DL$2:$DL$18,Attributs!$DT$2:$DT$18)+SUMPRODUCT(Attributs!$DM$2:$DM$18,Attributs!$DU$2:$DU$18))/((SQRT(SUMSQ(Attributs!$DL$2:$DL$18)+SUMSQ(Attributs!$DM$2:$DM$18)))*(SQRT(SUMSQ(Attributs!$DT$2:$DT$18)+SUMSQ(Attributs!$DU$2:$DU$18)))),0)</f>
        <v/>
      </c>
      <c r="BL59" s="2">
        <f>IFERROR((SUMPRODUCT(Attributs!$DL$2:$DL$18,Attributs!$DV$2:$DV$18)+SUMPRODUCT(Attributs!$DM$2:$DM$18,Attributs!$DW$2:$DW$18))/((SQRT(SUMSQ(Attributs!$DL$2:$DL$18)+SUMSQ(Attributs!$DM$2:$DM$18)))*(SQRT(SUMSQ(Attributs!$DV$2:$DV$18)+SUMSQ(Attributs!$DW$2:$DW$18)))),0)</f>
        <v/>
      </c>
    </row>
    <row r="60">
      <c r="A60" s="3" t="inlineStr">
        <is>
          <t>SE_neo4j.Tags.id</t>
        </is>
      </c>
      <c r="B60" s="2">
        <f>IFERROR((SUMPRODUCT(Attributs!$DN$2:$DN$18,Attributs!$B$2:$B$18)+SUMPRODUCT(Attributs!$DO$2:$DO$18,Attributs!$C$2:$C$18))/((SQRT(SUMSQ(Attributs!$DN$2:$DN$18)+SUMSQ(Attributs!$DO$2:$DO$18)))*(SQRT(SUMSQ(Attributs!$B$2:$B$18)+SUMSQ(Attributs!$C$2:$C$18)))),0)</f>
        <v/>
      </c>
      <c r="C60" s="2">
        <f>IFERROR((SUMPRODUCT(Attributs!$DN$2:$DN$18,Attributs!$D$2:$D$18)+SUMPRODUCT(Attributs!$DO$2:$DO$18,Attributs!$E$2:$E$18))/((SQRT(SUMSQ(Attributs!$DN$2:$DN$18)+SUMSQ(Attributs!$DO$2:$DO$18)))*(SQRT(SUMSQ(Attributs!$D$2:$D$18)+SUMSQ(Attributs!$E$2:$E$18)))),0)</f>
        <v/>
      </c>
      <c r="D60" s="2">
        <f>IFERROR((SUMPRODUCT(Attributs!$DN$2:$DN$18,Attributs!$F$2:$F$18)+SUMPRODUCT(Attributs!$DO$2:$DO$18,Attributs!$G$2:$G$18))/((SQRT(SUMSQ(Attributs!$DN$2:$DN$18)+SUMSQ(Attributs!$DO$2:$DO$18)))*(SQRT(SUMSQ(Attributs!$F$2:$F$18)+SUMSQ(Attributs!$G$2:$G$18)))),0)</f>
        <v/>
      </c>
      <c r="E60" s="2">
        <f>IFERROR((SUMPRODUCT(Attributs!$DN$2:$DN$18,Attributs!$H$2:$H$18)+SUMPRODUCT(Attributs!$DO$2:$DO$18,Attributs!$I$2:$I$18))/((SQRT(SUMSQ(Attributs!$DN$2:$DN$18)+SUMSQ(Attributs!$DO$2:$DO$18)))*(SQRT(SUMSQ(Attributs!$H$2:$H$18)+SUMSQ(Attributs!$I$2:$I$18)))),0)</f>
        <v/>
      </c>
      <c r="F60" s="2">
        <f>IFERROR((SUMPRODUCT(Attributs!$DN$2:$DN$18,Attributs!$J$2:$J$18)+SUMPRODUCT(Attributs!$DO$2:$DO$18,Attributs!$K$2:$K$18))/((SQRT(SUMSQ(Attributs!$DN$2:$DN$18)+SUMSQ(Attributs!$DO$2:$DO$18)))*(SQRT(SUMSQ(Attributs!$J$2:$J$18)+SUMSQ(Attributs!$K$2:$K$18)))),0)</f>
        <v/>
      </c>
      <c r="G60" s="2">
        <f>IFERROR((SUMPRODUCT(Attributs!$DN$2:$DN$18,Attributs!$L$2:$L$18)+SUMPRODUCT(Attributs!$DO$2:$DO$18,Attributs!$M$2:$M$18))/((SQRT(SUMSQ(Attributs!$DN$2:$DN$18)+SUMSQ(Attributs!$DO$2:$DO$18)))*(SQRT(SUMSQ(Attributs!$L$2:$L$18)+SUMSQ(Attributs!$M$2:$M$18)))),0)</f>
        <v/>
      </c>
      <c r="H60" s="2">
        <f>IFERROR((SUMPRODUCT(Attributs!$DN$2:$DN$18,Attributs!$N$2:$N$18)+SUMPRODUCT(Attributs!$DO$2:$DO$18,Attributs!$O$2:$O$18))/((SQRT(SUMSQ(Attributs!$DN$2:$DN$18)+SUMSQ(Attributs!$DO$2:$DO$18)))*(SQRT(SUMSQ(Attributs!$N$2:$N$18)+SUMSQ(Attributs!$O$2:$O$18)))),0)</f>
        <v/>
      </c>
      <c r="I60" s="2">
        <f>IFERROR((SUMPRODUCT(Attributs!$DN$2:$DN$18,Attributs!$P$2:$P$18)+SUMPRODUCT(Attributs!$DO$2:$DO$18,Attributs!$Q$2:$Q$18))/((SQRT(SUMSQ(Attributs!$DN$2:$DN$18)+SUMSQ(Attributs!$DO$2:$DO$18)))*(SQRT(SUMSQ(Attributs!$P$2:$P$18)+SUMSQ(Attributs!$Q$2:$Q$18)))),0)</f>
        <v/>
      </c>
      <c r="J60" s="2">
        <f>IFERROR((SUMPRODUCT(Attributs!$DN$2:$DN$18,Attributs!$R$2:$R$18)+SUMPRODUCT(Attributs!$DO$2:$DO$18,Attributs!$S$2:$S$18))/((SQRT(SUMSQ(Attributs!$DN$2:$DN$18)+SUMSQ(Attributs!$DO$2:$DO$18)))*(SQRT(SUMSQ(Attributs!$R$2:$R$18)+SUMSQ(Attributs!$S$2:$S$18)))),0)</f>
        <v/>
      </c>
      <c r="K60" s="2">
        <f>IFERROR((SUMPRODUCT(Attributs!$DN$2:$DN$18,Attributs!$T$2:$T$18)+SUMPRODUCT(Attributs!$DO$2:$DO$18,Attributs!$U$2:$U$18))/((SQRT(SUMSQ(Attributs!$DN$2:$DN$18)+SUMSQ(Attributs!$DO$2:$DO$18)))*(SQRT(SUMSQ(Attributs!$T$2:$T$18)+SUMSQ(Attributs!$U$2:$U$18)))),0)</f>
        <v/>
      </c>
      <c r="L60" s="2">
        <f>IFERROR((SUMPRODUCT(Attributs!$DN$2:$DN$18,Attributs!$V$2:$V$18)+SUMPRODUCT(Attributs!$DO$2:$DO$18,Attributs!$W$2:$W$18))/((SQRT(SUMSQ(Attributs!$DN$2:$DN$18)+SUMSQ(Attributs!$DO$2:$DO$18)))*(SQRT(SUMSQ(Attributs!$V$2:$V$18)+SUMSQ(Attributs!$W$2:$W$18)))),0)</f>
        <v/>
      </c>
      <c r="M60" s="2">
        <f>IFERROR((SUMPRODUCT(Attributs!$DN$2:$DN$18,Attributs!$X$2:$X$18)+SUMPRODUCT(Attributs!$DO$2:$DO$18,Attributs!$Y$2:$Y$18))/((SQRT(SUMSQ(Attributs!$DN$2:$DN$18)+SUMSQ(Attributs!$DO$2:$DO$18)))*(SQRT(SUMSQ(Attributs!$X$2:$X$18)+SUMSQ(Attributs!$Y$2:$Y$18)))),0)</f>
        <v/>
      </c>
      <c r="N60" s="2">
        <f>IFERROR((SUMPRODUCT(Attributs!$DN$2:$DN$18,Attributs!$Z$2:$Z$18)+SUMPRODUCT(Attributs!$DO$2:$DO$18,Attributs!$AA$2:$AA$18))/((SQRT(SUMSQ(Attributs!$DN$2:$DN$18)+SUMSQ(Attributs!$DO$2:$DO$18)))*(SQRT(SUMSQ(Attributs!$Z$2:$Z$18)+SUMSQ(Attributs!$AA$2:$AA$18)))),0)</f>
        <v/>
      </c>
      <c r="O60" s="2">
        <f>IFERROR((SUMPRODUCT(Attributs!$DN$2:$DN$18,Attributs!$AB$2:$AB$18)+SUMPRODUCT(Attributs!$DO$2:$DO$18,Attributs!$AC$2:$AC$18))/((SQRT(SUMSQ(Attributs!$DN$2:$DN$18)+SUMSQ(Attributs!$DO$2:$DO$18)))*(SQRT(SUMSQ(Attributs!$AB$2:$AB$18)+SUMSQ(Attributs!$AC$2:$AC$18)))),0)</f>
        <v/>
      </c>
      <c r="P60" s="2">
        <f>IFERROR((SUMPRODUCT(Attributs!$DN$2:$DN$18,Attributs!$AD$2:$AD$18)+SUMPRODUCT(Attributs!$DO$2:$DO$18,Attributs!$AE$2:$AE$18))/((SQRT(SUMSQ(Attributs!$DN$2:$DN$18)+SUMSQ(Attributs!$DO$2:$DO$18)))*(SQRT(SUMSQ(Attributs!$AD$2:$AD$18)+SUMSQ(Attributs!$AE$2:$AE$18)))),0)</f>
        <v/>
      </c>
      <c r="Q60" s="2">
        <f>IFERROR((SUMPRODUCT(Attributs!$DN$2:$DN$18,Attributs!$AF$2:$AF$18)+SUMPRODUCT(Attributs!$DO$2:$DO$18,Attributs!$AG$2:$AG$18))/((SQRT(SUMSQ(Attributs!$DN$2:$DN$18)+SUMSQ(Attributs!$DO$2:$DO$18)))*(SQRT(SUMSQ(Attributs!$AF$2:$AF$18)+SUMSQ(Attributs!$AG$2:$AG$18)))),0)</f>
        <v/>
      </c>
      <c r="R60" s="2">
        <f>IFERROR((SUMPRODUCT(Attributs!$DN$2:$DN$18,Attributs!$AH$2:$AH$18)+SUMPRODUCT(Attributs!$DO$2:$DO$18,Attributs!$AI$2:$AI$18))/((SQRT(SUMSQ(Attributs!$DN$2:$DN$18)+SUMSQ(Attributs!$DO$2:$DO$18)))*(SQRT(SUMSQ(Attributs!$AH$2:$AH$18)+SUMSQ(Attributs!$AI$2:$AI$18)))),0)</f>
        <v/>
      </c>
      <c r="S60" s="2">
        <f>IFERROR((SUMPRODUCT(Attributs!$DN$2:$DN$18,Attributs!$AJ$2:$AJ$18)+SUMPRODUCT(Attributs!$DO$2:$DO$18,Attributs!$AK$2:$AK$18))/((SQRT(SUMSQ(Attributs!$DN$2:$DN$18)+SUMSQ(Attributs!$DO$2:$DO$18)))*(SQRT(SUMSQ(Attributs!$AJ$2:$AJ$18)+SUMSQ(Attributs!$AK$2:$AK$18)))),0)</f>
        <v/>
      </c>
      <c r="T60" s="2">
        <f>IFERROR((SUMPRODUCT(Attributs!$DN$2:$DN$18,Attributs!$AL$2:$AL$18)+SUMPRODUCT(Attributs!$DO$2:$DO$18,Attributs!$AM$2:$AM$18))/((SQRT(SUMSQ(Attributs!$DN$2:$DN$18)+SUMSQ(Attributs!$DO$2:$DO$18)))*(SQRT(SUMSQ(Attributs!$AL$2:$AL$18)+SUMSQ(Attributs!$AM$2:$AM$18)))),0)</f>
        <v/>
      </c>
      <c r="U60" s="2">
        <f>IFERROR((SUMPRODUCT(Attributs!$DN$2:$DN$18,Attributs!$AN$2:$AN$18)+SUMPRODUCT(Attributs!$DO$2:$DO$18,Attributs!$AO$2:$AO$18))/((SQRT(SUMSQ(Attributs!$DN$2:$DN$18)+SUMSQ(Attributs!$DO$2:$DO$18)))*(SQRT(SUMSQ(Attributs!$AN$2:$AN$18)+SUMSQ(Attributs!$AO$2:$AO$18)))),0)</f>
        <v/>
      </c>
      <c r="V60" s="2">
        <f>IFERROR((SUMPRODUCT(Attributs!$DN$2:$DN$18,Attributs!$AP$2:$AP$18)+SUMPRODUCT(Attributs!$DO$2:$DO$18,Attributs!$AQ$2:$AQ$18))/((SQRT(SUMSQ(Attributs!$DN$2:$DN$18)+SUMSQ(Attributs!$DO$2:$DO$18)))*(SQRT(SUMSQ(Attributs!$AP$2:$AP$18)+SUMSQ(Attributs!$AQ$2:$AQ$18)))),0)</f>
        <v/>
      </c>
      <c r="W60" s="2">
        <f>IFERROR((SUMPRODUCT(Attributs!$DN$2:$DN$18,Attributs!$AR$2:$AR$18)+SUMPRODUCT(Attributs!$DO$2:$DO$18,Attributs!$AS$2:$AS$18))/((SQRT(SUMSQ(Attributs!$DN$2:$DN$18)+SUMSQ(Attributs!$DO$2:$DO$18)))*(SQRT(SUMSQ(Attributs!$AR$2:$AR$18)+SUMSQ(Attributs!$AS$2:$AS$18)))),0)</f>
        <v/>
      </c>
      <c r="X60" s="2">
        <f>IFERROR((SUMPRODUCT(Attributs!$DN$2:$DN$18,Attributs!$AT$2:$AT$18)+SUMPRODUCT(Attributs!$DO$2:$DO$18,Attributs!$AU$2:$AU$18))/((SQRT(SUMSQ(Attributs!$DN$2:$DN$18)+SUMSQ(Attributs!$DO$2:$DO$18)))*(SQRT(SUMSQ(Attributs!$AT$2:$AT$18)+SUMSQ(Attributs!$AU$2:$AU$18)))),0)</f>
        <v/>
      </c>
      <c r="Y60" s="2">
        <f>IFERROR((SUMPRODUCT(Attributs!$DN$2:$DN$18,Attributs!$AV$2:$AV$18)+SUMPRODUCT(Attributs!$DO$2:$DO$18,Attributs!$AW$2:$AW$18))/((SQRT(SUMSQ(Attributs!$DN$2:$DN$18)+SUMSQ(Attributs!$DO$2:$DO$18)))*(SQRT(SUMSQ(Attributs!$AV$2:$AV$18)+SUMSQ(Attributs!$AW$2:$AW$18)))),0)</f>
        <v/>
      </c>
      <c r="Z60" s="2">
        <f>IFERROR((SUMPRODUCT(Attributs!$DN$2:$DN$18,Attributs!$AX$2:$AX$18)+SUMPRODUCT(Attributs!$DO$2:$DO$18,Attributs!$AY$2:$AY$18))/((SQRT(SUMSQ(Attributs!$DN$2:$DN$18)+SUMSQ(Attributs!$DO$2:$DO$18)))*(SQRT(SUMSQ(Attributs!$AX$2:$AX$18)+SUMSQ(Attributs!$AY$2:$AY$18)))),0)</f>
        <v/>
      </c>
      <c r="AA60" s="2">
        <f>IFERROR((SUMPRODUCT(Attributs!$DN$2:$DN$18,Attributs!$AZ$2:$AZ$18)+SUMPRODUCT(Attributs!$DO$2:$DO$18,Attributs!$BA$2:$BA$18))/((SQRT(SUMSQ(Attributs!$DN$2:$DN$18)+SUMSQ(Attributs!$DO$2:$DO$18)))*(SQRT(SUMSQ(Attributs!$AZ$2:$AZ$18)+SUMSQ(Attributs!$BA$2:$BA$18)))),0)</f>
        <v/>
      </c>
      <c r="AB60" s="2">
        <f>IFERROR((SUMPRODUCT(Attributs!$DN$2:$DN$18,Attributs!$BB$2:$BB$18)+SUMPRODUCT(Attributs!$DO$2:$DO$18,Attributs!$BC$2:$BC$18))/((SQRT(SUMSQ(Attributs!$DN$2:$DN$18)+SUMSQ(Attributs!$DO$2:$DO$18)))*(SQRT(SUMSQ(Attributs!$BB$2:$BB$18)+SUMSQ(Attributs!$BC$2:$BC$18)))),0)</f>
        <v/>
      </c>
      <c r="AC60" s="2">
        <f>IFERROR((SUMPRODUCT(Attributs!$DN$2:$DN$18,Attributs!$BD$2:$BD$18)+SUMPRODUCT(Attributs!$DO$2:$DO$18,Attributs!$BE$2:$BE$18))/((SQRT(SUMSQ(Attributs!$DN$2:$DN$18)+SUMSQ(Attributs!$DO$2:$DO$18)))*(SQRT(SUMSQ(Attributs!$BD$2:$BD$18)+SUMSQ(Attributs!$BE$2:$BE$18)))),0)</f>
        <v/>
      </c>
      <c r="AD60" s="2">
        <f>IFERROR((SUMPRODUCT(Attributs!$DN$2:$DN$18,Attributs!$BF$2:$BF$18)+SUMPRODUCT(Attributs!$DO$2:$DO$18,Attributs!$BG$2:$BG$18))/((SQRT(SUMSQ(Attributs!$DN$2:$DN$18)+SUMSQ(Attributs!$DO$2:$DO$18)))*(SQRT(SUMSQ(Attributs!$BF$2:$BF$18)+SUMSQ(Attributs!$BG$2:$BG$18)))),0)</f>
        <v/>
      </c>
      <c r="AE60" s="2">
        <f>IFERROR((SUMPRODUCT(Attributs!$DN$2:$DN$18,Attributs!$BH$2:$BH$18)+SUMPRODUCT(Attributs!$DO$2:$DO$18,Attributs!$BI$2:$BI$18))/((SQRT(SUMSQ(Attributs!$DN$2:$DN$18)+SUMSQ(Attributs!$DO$2:$DO$18)))*(SQRT(SUMSQ(Attributs!$BH$2:$BH$18)+SUMSQ(Attributs!$BI$2:$BI$18)))),0)</f>
        <v/>
      </c>
      <c r="AF60" s="2">
        <f>IFERROR((SUMPRODUCT(Attributs!$DN$2:$DN$18,Attributs!$BJ$2:$BJ$18)+SUMPRODUCT(Attributs!$DO$2:$DO$18,Attributs!$BK$2:$BK$18))/((SQRT(SUMSQ(Attributs!$DN$2:$DN$18)+SUMSQ(Attributs!$DO$2:$DO$18)))*(SQRT(SUMSQ(Attributs!$BJ$2:$BJ$18)+SUMSQ(Attributs!$BK$2:$BK$18)))),0)</f>
        <v/>
      </c>
      <c r="AG60" s="2">
        <f>IFERROR((SUMPRODUCT(Attributs!$DN$2:$DN$18,Attributs!$BL$2:$BL$18)+SUMPRODUCT(Attributs!$DO$2:$DO$18,Attributs!$BM$2:$BM$18))/((SQRT(SUMSQ(Attributs!$DN$2:$DN$18)+SUMSQ(Attributs!$DO$2:$DO$18)))*(SQRT(SUMSQ(Attributs!$BL$2:$BL$18)+SUMSQ(Attributs!$BM$2:$BM$18)))),0)</f>
        <v/>
      </c>
      <c r="AH60" s="2">
        <f>IFERROR((SUMPRODUCT(Attributs!$DN$2:$DN$18,Attributs!$BN$2:$BN$18)+SUMPRODUCT(Attributs!$DO$2:$DO$18,Attributs!$BO$2:$BO$18))/((SQRT(SUMSQ(Attributs!$DN$2:$DN$18)+SUMSQ(Attributs!$DO$2:$DO$18)))*(SQRT(SUMSQ(Attributs!$BN$2:$BN$18)+SUMSQ(Attributs!$BO$2:$BO$18)))),0)</f>
        <v/>
      </c>
      <c r="AI60" s="2">
        <f>IFERROR((SUMPRODUCT(Attributs!$DN$2:$DN$18,Attributs!$BP$2:$BP$18)+SUMPRODUCT(Attributs!$DO$2:$DO$18,Attributs!$BQ$2:$BQ$18))/((SQRT(SUMSQ(Attributs!$DN$2:$DN$18)+SUMSQ(Attributs!$DO$2:$DO$18)))*(SQRT(SUMSQ(Attributs!$BP$2:$BP$18)+SUMSQ(Attributs!$BQ$2:$BQ$18)))),0)</f>
        <v/>
      </c>
      <c r="AJ60" s="2">
        <f>IFERROR((SUMPRODUCT(Attributs!$DN$2:$DN$18,Attributs!$BR$2:$BR$18)+SUMPRODUCT(Attributs!$DO$2:$DO$18,Attributs!$BS$2:$BS$18))/((SQRT(SUMSQ(Attributs!$DN$2:$DN$18)+SUMSQ(Attributs!$DO$2:$DO$18)))*(SQRT(SUMSQ(Attributs!$BR$2:$BR$18)+SUMSQ(Attributs!$BS$2:$BS$18)))),0)</f>
        <v/>
      </c>
      <c r="AK60" s="2">
        <f>IFERROR((SUMPRODUCT(Attributs!$DN$2:$DN$18,Attributs!$BT$2:$BT$18)+SUMPRODUCT(Attributs!$DO$2:$DO$18,Attributs!$BU$2:$BU$18))/((SQRT(SUMSQ(Attributs!$DN$2:$DN$18)+SUMSQ(Attributs!$DO$2:$DO$18)))*(SQRT(SUMSQ(Attributs!$BT$2:$BT$18)+SUMSQ(Attributs!$BU$2:$BU$18)))),0)</f>
        <v/>
      </c>
      <c r="AL60" s="2">
        <f>IFERROR((SUMPRODUCT(Attributs!$DN$2:$DN$18,Attributs!$BV$2:$BV$18)+SUMPRODUCT(Attributs!$DO$2:$DO$18,Attributs!$BW$2:$BW$18))/((SQRT(SUMSQ(Attributs!$DN$2:$DN$18)+SUMSQ(Attributs!$DO$2:$DO$18)))*(SQRT(SUMSQ(Attributs!$BV$2:$BV$18)+SUMSQ(Attributs!$BW$2:$BW$18)))),0)</f>
        <v/>
      </c>
      <c r="AM60" s="2">
        <f>IFERROR((SUMPRODUCT(Attributs!$DN$2:$DN$18,Attributs!$BX$2:$BX$18)+SUMPRODUCT(Attributs!$DO$2:$DO$18,Attributs!$BY$2:$BY$18))/((SQRT(SUMSQ(Attributs!$DN$2:$DN$18)+SUMSQ(Attributs!$DO$2:$DO$18)))*(SQRT(SUMSQ(Attributs!$BX$2:$BX$18)+SUMSQ(Attributs!$BY$2:$BY$18)))),0)</f>
        <v/>
      </c>
      <c r="AN60" s="2">
        <f>IFERROR((SUMPRODUCT(Attributs!$DN$2:$DN$18,Attributs!$BZ$2:$BZ$18)+SUMPRODUCT(Attributs!$DO$2:$DO$18,Attributs!$CA$2:$CA$18))/((SQRT(SUMSQ(Attributs!$DN$2:$DN$18)+SUMSQ(Attributs!$DO$2:$DO$18)))*(SQRT(SUMSQ(Attributs!$BZ$2:$BZ$18)+SUMSQ(Attributs!$CA$2:$CA$18)))),0)</f>
        <v/>
      </c>
      <c r="AO60" s="2">
        <f>IFERROR((SUMPRODUCT(Attributs!$DN$2:$DN$18,Attributs!$CB$2:$CB$18)+SUMPRODUCT(Attributs!$DO$2:$DO$18,Attributs!$CC$2:$CC$18))/((SQRT(SUMSQ(Attributs!$DN$2:$DN$18)+SUMSQ(Attributs!$DO$2:$DO$18)))*(SQRT(SUMSQ(Attributs!$CB$2:$CB$18)+SUMSQ(Attributs!$CC$2:$CC$18)))),0)</f>
        <v/>
      </c>
      <c r="AP60" s="2">
        <f>IFERROR((SUMPRODUCT(Attributs!$DN$2:$DN$18,Attributs!$CD$2:$CD$18)+SUMPRODUCT(Attributs!$DO$2:$DO$18,Attributs!$CE$2:$CE$18))/((SQRT(SUMSQ(Attributs!$DN$2:$DN$18)+SUMSQ(Attributs!$DO$2:$DO$18)))*(SQRT(SUMSQ(Attributs!$CD$2:$CD$18)+SUMSQ(Attributs!$CE$2:$CE$18)))),0)</f>
        <v/>
      </c>
      <c r="AQ60" s="2">
        <f>IFERROR((SUMPRODUCT(Attributs!$DN$2:$DN$18,Attributs!$CF$2:$CF$18)+SUMPRODUCT(Attributs!$DO$2:$DO$18,Attributs!$CG$2:$CG$18))/((SQRT(SUMSQ(Attributs!$DN$2:$DN$18)+SUMSQ(Attributs!$DO$2:$DO$18)))*(SQRT(SUMSQ(Attributs!$CF$2:$CF$18)+SUMSQ(Attributs!$CG$2:$CG$18)))),0)</f>
        <v/>
      </c>
      <c r="AR60" s="2">
        <f>IFERROR((SUMPRODUCT(Attributs!$DN$2:$DN$18,Attributs!$CH$2:$CH$18)+SUMPRODUCT(Attributs!$DO$2:$DO$18,Attributs!$CI$2:$CI$18))/((SQRT(SUMSQ(Attributs!$DN$2:$DN$18)+SUMSQ(Attributs!$DO$2:$DO$18)))*(SQRT(SUMSQ(Attributs!$CH$2:$CH$18)+SUMSQ(Attributs!$CI$2:$CI$18)))),0)</f>
        <v/>
      </c>
      <c r="AS60" s="2">
        <f>IFERROR((SUMPRODUCT(Attributs!$DN$2:$DN$18,Attributs!$CJ$2:$CJ$18)+SUMPRODUCT(Attributs!$DO$2:$DO$18,Attributs!$CK$2:$CK$18))/((SQRT(SUMSQ(Attributs!$DN$2:$DN$18)+SUMSQ(Attributs!$DO$2:$DO$18)))*(SQRT(SUMSQ(Attributs!$CJ$2:$CJ$18)+SUMSQ(Attributs!$CK$2:$CK$18)))),0)</f>
        <v/>
      </c>
      <c r="AT60" s="2">
        <f>IFERROR((SUMPRODUCT(Attributs!$DN$2:$DN$18,Attributs!$CL$2:$CL$18)+SUMPRODUCT(Attributs!$DO$2:$DO$18,Attributs!$CM$2:$CM$18))/((SQRT(SUMSQ(Attributs!$DN$2:$DN$18)+SUMSQ(Attributs!$DO$2:$DO$18)))*(SQRT(SUMSQ(Attributs!$CL$2:$CL$18)+SUMSQ(Attributs!$CM$2:$CM$18)))),0)</f>
        <v/>
      </c>
      <c r="AU60" s="2">
        <f>IFERROR((SUMPRODUCT(Attributs!$DN$2:$DN$18,Attributs!$CN$2:$CN$18)+SUMPRODUCT(Attributs!$DO$2:$DO$18,Attributs!$CO$2:$CO$18))/((SQRT(SUMSQ(Attributs!$DN$2:$DN$18)+SUMSQ(Attributs!$DO$2:$DO$18)))*(SQRT(SUMSQ(Attributs!$CN$2:$CN$18)+SUMSQ(Attributs!$CO$2:$CO$18)))),0)</f>
        <v/>
      </c>
      <c r="AV60" s="2">
        <f>IFERROR((SUMPRODUCT(Attributs!$DN$2:$DN$18,Attributs!$CP$2:$CP$18)+SUMPRODUCT(Attributs!$DO$2:$DO$18,Attributs!$CQ$2:$CQ$18))/((SQRT(SUMSQ(Attributs!$DN$2:$DN$18)+SUMSQ(Attributs!$DO$2:$DO$18)))*(SQRT(SUMSQ(Attributs!$CP$2:$CP$18)+SUMSQ(Attributs!$CQ$2:$CQ$18)))),0)</f>
        <v/>
      </c>
      <c r="AW60" s="2">
        <f>IFERROR((SUMPRODUCT(Attributs!$DN$2:$DN$18,Attributs!$CR$2:$CR$18)+SUMPRODUCT(Attributs!$DO$2:$DO$18,Attributs!$CS$2:$CS$18))/((SQRT(SUMSQ(Attributs!$DN$2:$DN$18)+SUMSQ(Attributs!$DO$2:$DO$18)))*(SQRT(SUMSQ(Attributs!$CR$2:$CR$18)+SUMSQ(Attributs!$CS$2:$CS$18)))),0)</f>
        <v/>
      </c>
      <c r="AX60" s="2">
        <f>IFERROR((SUMPRODUCT(Attributs!$DN$2:$DN$18,Attributs!$CT$2:$CT$18)+SUMPRODUCT(Attributs!$DO$2:$DO$18,Attributs!$CU$2:$CU$18))/((SQRT(SUMSQ(Attributs!$DN$2:$DN$18)+SUMSQ(Attributs!$DO$2:$DO$18)))*(SQRT(SUMSQ(Attributs!$CT$2:$CT$18)+SUMSQ(Attributs!$CU$2:$CU$18)))),0)</f>
        <v/>
      </c>
      <c r="AY60" s="2">
        <f>IFERROR((SUMPRODUCT(Attributs!$DN$2:$DN$18,Attributs!$CV$2:$CV$18)+SUMPRODUCT(Attributs!$DO$2:$DO$18,Attributs!$CW$2:$CW$18))/((SQRT(SUMSQ(Attributs!$DN$2:$DN$18)+SUMSQ(Attributs!$DO$2:$DO$18)))*(SQRT(SUMSQ(Attributs!$CV$2:$CV$18)+SUMSQ(Attributs!$CW$2:$CW$18)))),0)</f>
        <v/>
      </c>
      <c r="AZ60" s="2">
        <f>IFERROR((SUMPRODUCT(Attributs!$DN$2:$DN$18,Attributs!$CX$2:$CX$18)+SUMPRODUCT(Attributs!$DO$2:$DO$18,Attributs!$CY$2:$CY$18))/((SQRT(SUMSQ(Attributs!$DN$2:$DN$18)+SUMSQ(Attributs!$DO$2:$DO$18)))*(SQRT(SUMSQ(Attributs!$CX$2:$CX$18)+SUMSQ(Attributs!$CY$2:$CY$18)))),0)</f>
        <v/>
      </c>
      <c r="BA60" s="2">
        <f>IFERROR((SUMPRODUCT(Attributs!$DN$2:$DN$18,Attributs!$CZ$2:$CZ$18)+SUMPRODUCT(Attributs!$DO$2:$DO$18,Attributs!$DA$2:$DA$18))/((SQRT(SUMSQ(Attributs!$DN$2:$DN$18)+SUMSQ(Attributs!$DO$2:$DO$18)))*(SQRT(SUMSQ(Attributs!$CZ$2:$CZ$18)+SUMSQ(Attributs!$DA$2:$DA$18)))),0)</f>
        <v/>
      </c>
      <c r="BB60" s="2">
        <f>IFERROR((SUMPRODUCT(Attributs!$DN$2:$DN$18,Attributs!$DB$2:$DB$18)+SUMPRODUCT(Attributs!$DO$2:$DO$18,Attributs!$DC$2:$DC$18))/((SQRT(SUMSQ(Attributs!$DN$2:$DN$18)+SUMSQ(Attributs!$DO$2:$DO$18)))*(SQRT(SUMSQ(Attributs!$DB$2:$DB$18)+SUMSQ(Attributs!$DC$2:$DC$18)))),0)</f>
        <v/>
      </c>
      <c r="BC60" s="2">
        <f>IFERROR((SUMPRODUCT(Attributs!$DN$2:$DN$18,Attributs!$DD$2:$DD$18)+SUMPRODUCT(Attributs!$DO$2:$DO$18,Attributs!$DE$2:$DE$18))/((SQRT(SUMSQ(Attributs!$DN$2:$DN$18)+SUMSQ(Attributs!$DO$2:$DO$18)))*(SQRT(SUMSQ(Attributs!$DD$2:$DD$18)+SUMSQ(Attributs!$DE$2:$DE$18)))),0)</f>
        <v/>
      </c>
      <c r="BD60" s="2">
        <f>IFERROR((SUMPRODUCT(Attributs!$DN$2:$DN$18,Attributs!$DF$2:$DF$18)+SUMPRODUCT(Attributs!$DO$2:$DO$18,Attributs!$DG$2:$DG$18))/((SQRT(SUMSQ(Attributs!$DN$2:$DN$18)+SUMSQ(Attributs!$DO$2:$DO$18)))*(SQRT(SUMSQ(Attributs!$DF$2:$DF$18)+SUMSQ(Attributs!$DG$2:$DG$18)))),0)</f>
        <v/>
      </c>
      <c r="BE60" s="2">
        <f>IFERROR((SUMPRODUCT(Attributs!$DN$2:$DN$18,Attributs!$DH$2:$DH$18)+SUMPRODUCT(Attributs!$DO$2:$DO$18,Attributs!$DI$2:$DI$18))/((SQRT(SUMSQ(Attributs!$DN$2:$DN$18)+SUMSQ(Attributs!$DO$2:$DO$18)))*(SQRT(SUMSQ(Attributs!$DH$2:$DH$18)+SUMSQ(Attributs!$DI$2:$DI$18)))),0)</f>
        <v/>
      </c>
      <c r="BF60" s="2">
        <f>IFERROR((SUMPRODUCT(Attributs!$DN$2:$DN$18,Attributs!$DJ$2:$DJ$18)+SUMPRODUCT(Attributs!$DO$2:$DO$18,Attributs!$DK$2:$DK$18))/((SQRT(SUMSQ(Attributs!$DN$2:$DN$18)+SUMSQ(Attributs!$DO$2:$DO$18)))*(SQRT(SUMSQ(Attributs!$DJ$2:$DJ$18)+SUMSQ(Attributs!$DK$2:$DK$18)))),0)</f>
        <v/>
      </c>
      <c r="BG60" s="2">
        <f>IFERROR((SUMPRODUCT(Attributs!$DN$2:$DN$18,Attributs!$DL$2:$DL$18)+SUMPRODUCT(Attributs!$DO$2:$DO$18,Attributs!$DM$2:$DM$18))/((SQRT(SUMSQ(Attributs!$DN$2:$DN$18)+SUMSQ(Attributs!$DO$2:$DO$18)))*(SQRT(SUMSQ(Attributs!$DL$2:$DL$18)+SUMSQ(Attributs!$DM$2:$DM$18)))),0)</f>
        <v/>
      </c>
      <c r="BH60" s="2">
        <f>IFERROR((SUMPRODUCT(Attributs!$DN$2:$DN$18,Attributs!$DN$2:$DN$18)+SUMPRODUCT(Attributs!$DO$2:$DO$18,Attributs!$DO$2:$DO$18))/((SQRT(SUMSQ(Attributs!$DN$2:$DN$18)+SUMSQ(Attributs!$DO$2:$DO$18)))*(SQRT(SUMSQ(Attributs!$DN$2:$DN$18)+SUMSQ(Attributs!$DO$2:$DO$18)))),0)</f>
        <v/>
      </c>
      <c r="BI60" s="2">
        <f>IFERROR((SUMPRODUCT(Attributs!$DN$2:$DN$18,Attributs!$DP$2:$DP$18)+SUMPRODUCT(Attributs!$DO$2:$DO$18,Attributs!$DQ$2:$DQ$18))/((SQRT(SUMSQ(Attributs!$DN$2:$DN$18)+SUMSQ(Attributs!$DO$2:$DO$18)))*(SQRT(SUMSQ(Attributs!$DP$2:$DP$18)+SUMSQ(Attributs!$DQ$2:$DQ$18)))),0)</f>
        <v/>
      </c>
      <c r="BJ60" s="2">
        <f>IFERROR((SUMPRODUCT(Attributs!$DN$2:$DN$18,Attributs!$DR$2:$DR$18)+SUMPRODUCT(Attributs!$DO$2:$DO$18,Attributs!$DS$2:$DS$18))/((SQRT(SUMSQ(Attributs!$DN$2:$DN$18)+SUMSQ(Attributs!$DO$2:$DO$18)))*(SQRT(SUMSQ(Attributs!$DR$2:$DR$18)+SUMSQ(Attributs!$DS$2:$DS$18)))),0)</f>
        <v/>
      </c>
      <c r="BK60" s="2">
        <f>IFERROR((SUMPRODUCT(Attributs!$DN$2:$DN$18,Attributs!$DT$2:$DT$18)+SUMPRODUCT(Attributs!$DO$2:$DO$18,Attributs!$DU$2:$DU$18))/((SQRT(SUMSQ(Attributs!$DN$2:$DN$18)+SUMSQ(Attributs!$DO$2:$DO$18)))*(SQRT(SUMSQ(Attributs!$DT$2:$DT$18)+SUMSQ(Attributs!$DU$2:$DU$18)))),0)</f>
        <v/>
      </c>
      <c r="BL60" s="2">
        <f>IFERROR((SUMPRODUCT(Attributs!$DN$2:$DN$18,Attributs!$DV$2:$DV$18)+SUMPRODUCT(Attributs!$DO$2:$DO$18,Attributs!$DW$2:$DW$18))/((SQRT(SUMSQ(Attributs!$DN$2:$DN$18)+SUMSQ(Attributs!$DO$2:$DO$18)))*(SQRT(SUMSQ(Attributs!$DV$2:$DV$18)+SUMSQ(Attributs!$DW$2:$DW$18)))),0)</f>
        <v/>
      </c>
    </row>
    <row r="61">
      <c r="A61" s="3" t="inlineStr">
        <is>
          <t>SE_neo4j.Tags.count</t>
        </is>
      </c>
      <c r="B61" s="2">
        <f>IFERROR((SUMPRODUCT(Attributs!$DP$2:$DP$18,Attributs!$B$2:$B$18)+SUMPRODUCT(Attributs!$DQ$2:$DQ$18,Attributs!$C$2:$C$18))/((SQRT(SUMSQ(Attributs!$DP$2:$DP$18)+SUMSQ(Attributs!$DQ$2:$DQ$18)))*(SQRT(SUMSQ(Attributs!$B$2:$B$18)+SUMSQ(Attributs!$C$2:$C$18)))),0)</f>
        <v/>
      </c>
      <c r="C61" s="2">
        <f>IFERROR((SUMPRODUCT(Attributs!$DP$2:$DP$18,Attributs!$D$2:$D$18)+SUMPRODUCT(Attributs!$DQ$2:$DQ$18,Attributs!$E$2:$E$18))/((SQRT(SUMSQ(Attributs!$DP$2:$DP$18)+SUMSQ(Attributs!$DQ$2:$DQ$18)))*(SQRT(SUMSQ(Attributs!$D$2:$D$18)+SUMSQ(Attributs!$E$2:$E$18)))),0)</f>
        <v/>
      </c>
      <c r="D61" s="2">
        <f>IFERROR((SUMPRODUCT(Attributs!$DP$2:$DP$18,Attributs!$F$2:$F$18)+SUMPRODUCT(Attributs!$DQ$2:$DQ$18,Attributs!$G$2:$G$18))/((SQRT(SUMSQ(Attributs!$DP$2:$DP$18)+SUMSQ(Attributs!$DQ$2:$DQ$18)))*(SQRT(SUMSQ(Attributs!$F$2:$F$18)+SUMSQ(Attributs!$G$2:$G$18)))),0)</f>
        <v/>
      </c>
      <c r="E61" s="2">
        <f>IFERROR((SUMPRODUCT(Attributs!$DP$2:$DP$18,Attributs!$H$2:$H$18)+SUMPRODUCT(Attributs!$DQ$2:$DQ$18,Attributs!$I$2:$I$18))/((SQRT(SUMSQ(Attributs!$DP$2:$DP$18)+SUMSQ(Attributs!$DQ$2:$DQ$18)))*(SQRT(SUMSQ(Attributs!$H$2:$H$18)+SUMSQ(Attributs!$I$2:$I$18)))),0)</f>
        <v/>
      </c>
      <c r="F61" s="2">
        <f>IFERROR((SUMPRODUCT(Attributs!$DP$2:$DP$18,Attributs!$J$2:$J$18)+SUMPRODUCT(Attributs!$DQ$2:$DQ$18,Attributs!$K$2:$K$18))/((SQRT(SUMSQ(Attributs!$DP$2:$DP$18)+SUMSQ(Attributs!$DQ$2:$DQ$18)))*(SQRT(SUMSQ(Attributs!$J$2:$J$18)+SUMSQ(Attributs!$K$2:$K$18)))),0)</f>
        <v/>
      </c>
      <c r="G61" s="2">
        <f>IFERROR((SUMPRODUCT(Attributs!$DP$2:$DP$18,Attributs!$L$2:$L$18)+SUMPRODUCT(Attributs!$DQ$2:$DQ$18,Attributs!$M$2:$M$18))/((SQRT(SUMSQ(Attributs!$DP$2:$DP$18)+SUMSQ(Attributs!$DQ$2:$DQ$18)))*(SQRT(SUMSQ(Attributs!$L$2:$L$18)+SUMSQ(Attributs!$M$2:$M$18)))),0)</f>
        <v/>
      </c>
      <c r="H61" s="2">
        <f>IFERROR((SUMPRODUCT(Attributs!$DP$2:$DP$18,Attributs!$N$2:$N$18)+SUMPRODUCT(Attributs!$DQ$2:$DQ$18,Attributs!$O$2:$O$18))/((SQRT(SUMSQ(Attributs!$DP$2:$DP$18)+SUMSQ(Attributs!$DQ$2:$DQ$18)))*(SQRT(SUMSQ(Attributs!$N$2:$N$18)+SUMSQ(Attributs!$O$2:$O$18)))),0)</f>
        <v/>
      </c>
      <c r="I61" s="2">
        <f>IFERROR((SUMPRODUCT(Attributs!$DP$2:$DP$18,Attributs!$P$2:$P$18)+SUMPRODUCT(Attributs!$DQ$2:$DQ$18,Attributs!$Q$2:$Q$18))/((SQRT(SUMSQ(Attributs!$DP$2:$DP$18)+SUMSQ(Attributs!$DQ$2:$DQ$18)))*(SQRT(SUMSQ(Attributs!$P$2:$P$18)+SUMSQ(Attributs!$Q$2:$Q$18)))),0)</f>
        <v/>
      </c>
      <c r="J61" s="2">
        <f>IFERROR((SUMPRODUCT(Attributs!$DP$2:$DP$18,Attributs!$R$2:$R$18)+SUMPRODUCT(Attributs!$DQ$2:$DQ$18,Attributs!$S$2:$S$18))/((SQRT(SUMSQ(Attributs!$DP$2:$DP$18)+SUMSQ(Attributs!$DQ$2:$DQ$18)))*(SQRT(SUMSQ(Attributs!$R$2:$R$18)+SUMSQ(Attributs!$S$2:$S$18)))),0)</f>
        <v/>
      </c>
      <c r="K61" s="2">
        <f>IFERROR((SUMPRODUCT(Attributs!$DP$2:$DP$18,Attributs!$T$2:$T$18)+SUMPRODUCT(Attributs!$DQ$2:$DQ$18,Attributs!$U$2:$U$18))/((SQRT(SUMSQ(Attributs!$DP$2:$DP$18)+SUMSQ(Attributs!$DQ$2:$DQ$18)))*(SQRT(SUMSQ(Attributs!$T$2:$T$18)+SUMSQ(Attributs!$U$2:$U$18)))),0)</f>
        <v/>
      </c>
      <c r="L61" s="2">
        <f>IFERROR((SUMPRODUCT(Attributs!$DP$2:$DP$18,Attributs!$V$2:$V$18)+SUMPRODUCT(Attributs!$DQ$2:$DQ$18,Attributs!$W$2:$W$18))/((SQRT(SUMSQ(Attributs!$DP$2:$DP$18)+SUMSQ(Attributs!$DQ$2:$DQ$18)))*(SQRT(SUMSQ(Attributs!$V$2:$V$18)+SUMSQ(Attributs!$W$2:$W$18)))),0)</f>
        <v/>
      </c>
      <c r="M61" s="2">
        <f>IFERROR((SUMPRODUCT(Attributs!$DP$2:$DP$18,Attributs!$X$2:$X$18)+SUMPRODUCT(Attributs!$DQ$2:$DQ$18,Attributs!$Y$2:$Y$18))/((SQRT(SUMSQ(Attributs!$DP$2:$DP$18)+SUMSQ(Attributs!$DQ$2:$DQ$18)))*(SQRT(SUMSQ(Attributs!$X$2:$X$18)+SUMSQ(Attributs!$Y$2:$Y$18)))),0)</f>
        <v/>
      </c>
      <c r="N61" s="2">
        <f>IFERROR((SUMPRODUCT(Attributs!$DP$2:$DP$18,Attributs!$Z$2:$Z$18)+SUMPRODUCT(Attributs!$DQ$2:$DQ$18,Attributs!$AA$2:$AA$18))/((SQRT(SUMSQ(Attributs!$DP$2:$DP$18)+SUMSQ(Attributs!$DQ$2:$DQ$18)))*(SQRT(SUMSQ(Attributs!$Z$2:$Z$18)+SUMSQ(Attributs!$AA$2:$AA$18)))),0)</f>
        <v/>
      </c>
      <c r="O61" s="2">
        <f>IFERROR((SUMPRODUCT(Attributs!$DP$2:$DP$18,Attributs!$AB$2:$AB$18)+SUMPRODUCT(Attributs!$DQ$2:$DQ$18,Attributs!$AC$2:$AC$18))/((SQRT(SUMSQ(Attributs!$DP$2:$DP$18)+SUMSQ(Attributs!$DQ$2:$DQ$18)))*(SQRT(SUMSQ(Attributs!$AB$2:$AB$18)+SUMSQ(Attributs!$AC$2:$AC$18)))),0)</f>
        <v/>
      </c>
      <c r="P61" s="2">
        <f>IFERROR((SUMPRODUCT(Attributs!$DP$2:$DP$18,Attributs!$AD$2:$AD$18)+SUMPRODUCT(Attributs!$DQ$2:$DQ$18,Attributs!$AE$2:$AE$18))/((SQRT(SUMSQ(Attributs!$DP$2:$DP$18)+SUMSQ(Attributs!$DQ$2:$DQ$18)))*(SQRT(SUMSQ(Attributs!$AD$2:$AD$18)+SUMSQ(Attributs!$AE$2:$AE$18)))),0)</f>
        <v/>
      </c>
      <c r="Q61" s="2">
        <f>IFERROR((SUMPRODUCT(Attributs!$DP$2:$DP$18,Attributs!$AF$2:$AF$18)+SUMPRODUCT(Attributs!$DQ$2:$DQ$18,Attributs!$AG$2:$AG$18))/((SQRT(SUMSQ(Attributs!$DP$2:$DP$18)+SUMSQ(Attributs!$DQ$2:$DQ$18)))*(SQRT(SUMSQ(Attributs!$AF$2:$AF$18)+SUMSQ(Attributs!$AG$2:$AG$18)))),0)</f>
        <v/>
      </c>
      <c r="R61" s="2">
        <f>IFERROR((SUMPRODUCT(Attributs!$DP$2:$DP$18,Attributs!$AH$2:$AH$18)+SUMPRODUCT(Attributs!$DQ$2:$DQ$18,Attributs!$AI$2:$AI$18))/((SQRT(SUMSQ(Attributs!$DP$2:$DP$18)+SUMSQ(Attributs!$DQ$2:$DQ$18)))*(SQRT(SUMSQ(Attributs!$AH$2:$AH$18)+SUMSQ(Attributs!$AI$2:$AI$18)))),0)</f>
        <v/>
      </c>
      <c r="S61" s="2">
        <f>IFERROR((SUMPRODUCT(Attributs!$DP$2:$DP$18,Attributs!$AJ$2:$AJ$18)+SUMPRODUCT(Attributs!$DQ$2:$DQ$18,Attributs!$AK$2:$AK$18))/((SQRT(SUMSQ(Attributs!$DP$2:$DP$18)+SUMSQ(Attributs!$DQ$2:$DQ$18)))*(SQRT(SUMSQ(Attributs!$AJ$2:$AJ$18)+SUMSQ(Attributs!$AK$2:$AK$18)))),0)</f>
        <v/>
      </c>
      <c r="T61" s="2">
        <f>IFERROR((SUMPRODUCT(Attributs!$DP$2:$DP$18,Attributs!$AL$2:$AL$18)+SUMPRODUCT(Attributs!$DQ$2:$DQ$18,Attributs!$AM$2:$AM$18))/((SQRT(SUMSQ(Attributs!$DP$2:$DP$18)+SUMSQ(Attributs!$DQ$2:$DQ$18)))*(SQRT(SUMSQ(Attributs!$AL$2:$AL$18)+SUMSQ(Attributs!$AM$2:$AM$18)))),0)</f>
        <v/>
      </c>
      <c r="U61" s="2">
        <f>IFERROR((SUMPRODUCT(Attributs!$DP$2:$DP$18,Attributs!$AN$2:$AN$18)+SUMPRODUCT(Attributs!$DQ$2:$DQ$18,Attributs!$AO$2:$AO$18))/((SQRT(SUMSQ(Attributs!$DP$2:$DP$18)+SUMSQ(Attributs!$DQ$2:$DQ$18)))*(SQRT(SUMSQ(Attributs!$AN$2:$AN$18)+SUMSQ(Attributs!$AO$2:$AO$18)))),0)</f>
        <v/>
      </c>
      <c r="V61" s="2">
        <f>IFERROR((SUMPRODUCT(Attributs!$DP$2:$DP$18,Attributs!$AP$2:$AP$18)+SUMPRODUCT(Attributs!$DQ$2:$DQ$18,Attributs!$AQ$2:$AQ$18))/((SQRT(SUMSQ(Attributs!$DP$2:$DP$18)+SUMSQ(Attributs!$DQ$2:$DQ$18)))*(SQRT(SUMSQ(Attributs!$AP$2:$AP$18)+SUMSQ(Attributs!$AQ$2:$AQ$18)))),0)</f>
        <v/>
      </c>
      <c r="W61" s="2">
        <f>IFERROR((SUMPRODUCT(Attributs!$DP$2:$DP$18,Attributs!$AR$2:$AR$18)+SUMPRODUCT(Attributs!$DQ$2:$DQ$18,Attributs!$AS$2:$AS$18))/((SQRT(SUMSQ(Attributs!$DP$2:$DP$18)+SUMSQ(Attributs!$DQ$2:$DQ$18)))*(SQRT(SUMSQ(Attributs!$AR$2:$AR$18)+SUMSQ(Attributs!$AS$2:$AS$18)))),0)</f>
        <v/>
      </c>
      <c r="X61" s="2">
        <f>IFERROR((SUMPRODUCT(Attributs!$DP$2:$DP$18,Attributs!$AT$2:$AT$18)+SUMPRODUCT(Attributs!$DQ$2:$DQ$18,Attributs!$AU$2:$AU$18))/((SQRT(SUMSQ(Attributs!$DP$2:$DP$18)+SUMSQ(Attributs!$DQ$2:$DQ$18)))*(SQRT(SUMSQ(Attributs!$AT$2:$AT$18)+SUMSQ(Attributs!$AU$2:$AU$18)))),0)</f>
        <v/>
      </c>
      <c r="Y61" s="2">
        <f>IFERROR((SUMPRODUCT(Attributs!$DP$2:$DP$18,Attributs!$AV$2:$AV$18)+SUMPRODUCT(Attributs!$DQ$2:$DQ$18,Attributs!$AW$2:$AW$18))/((SQRT(SUMSQ(Attributs!$DP$2:$DP$18)+SUMSQ(Attributs!$DQ$2:$DQ$18)))*(SQRT(SUMSQ(Attributs!$AV$2:$AV$18)+SUMSQ(Attributs!$AW$2:$AW$18)))),0)</f>
        <v/>
      </c>
      <c r="Z61" s="2">
        <f>IFERROR((SUMPRODUCT(Attributs!$DP$2:$DP$18,Attributs!$AX$2:$AX$18)+SUMPRODUCT(Attributs!$DQ$2:$DQ$18,Attributs!$AY$2:$AY$18))/((SQRT(SUMSQ(Attributs!$DP$2:$DP$18)+SUMSQ(Attributs!$DQ$2:$DQ$18)))*(SQRT(SUMSQ(Attributs!$AX$2:$AX$18)+SUMSQ(Attributs!$AY$2:$AY$18)))),0)</f>
        <v/>
      </c>
      <c r="AA61" s="2">
        <f>IFERROR((SUMPRODUCT(Attributs!$DP$2:$DP$18,Attributs!$AZ$2:$AZ$18)+SUMPRODUCT(Attributs!$DQ$2:$DQ$18,Attributs!$BA$2:$BA$18))/((SQRT(SUMSQ(Attributs!$DP$2:$DP$18)+SUMSQ(Attributs!$DQ$2:$DQ$18)))*(SQRT(SUMSQ(Attributs!$AZ$2:$AZ$18)+SUMSQ(Attributs!$BA$2:$BA$18)))),0)</f>
        <v/>
      </c>
      <c r="AB61" s="2">
        <f>IFERROR((SUMPRODUCT(Attributs!$DP$2:$DP$18,Attributs!$BB$2:$BB$18)+SUMPRODUCT(Attributs!$DQ$2:$DQ$18,Attributs!$BC$2:$BC$18))/((SQRT(SUMSQ(Attributs!$DP$2:$DP$18)+SUMSQ(Attributs!$DQ$2:$DQ$18)))*(SQRT(SUMSQ(Attributs!$BB$2:$BB$18)+SUMSQ(Attributs!$BC$2:$BC$18)))),0)</f>
        <v/>
      </c>
      <c r="AC61" s="2">
        <f>IFERROR((SUMPRODUCT(Attributs!$DP$2:$DP$18,Attributs!$BD$2:$BD$18)+SUMPRODUCT(Attributs!$DQ$2:$DQ$18,Attributs!$BE$2:$BE$18))/((SQRT(SUMSQ(Attributs!$DP$2:$DP$18)+SUMSQ(Attributs!$DQ$2:$DQ$18)))*(SQRT(SUMSQ(Attributs!$BD$2:$BD$18)+SUMSQ(Attributs!$BE$2:$BE$18)))),0)</f>
        <v/>
      </c>
      <c r="AD61" s="2">
        <f>IFERROR((SUMPRODUCT(Attributs!$DP$2:$DP$18,Attributs!$BF$2:$BF$18)+SUMPRODUCT(Attributs!$DQ$2:$DQ$18,Attributs!$BG$2:$BG$18))/((SQRT(SUMSQ(Attributs!$DP$2:$DP$18)+SUMSQ(Attributs!$DQ$2:$DQ$18)))*(SQRT(SUMSQ(Attributs!$BF$2:$BF$18)+SUMSQ(Attributs!$BG$2:$BG$18)))),0)</f>
        <v/>
      </c>
      <c r="AE61" s="2">
        <f>IFERROR((SUMPRODUCT(Attributs!$DP$2:$DP$18,Attributs!$BH$2:$BH$18)+SUMPRODUCT(Attributs!$DQ$2:$DQ$18,Attributs!$BI$2:$BI$18))/((SQRT(SUMSQ(Attributs!$DP$2:$DP$18)+SUMSQ(Attributs!$DQ$2:$DQ$18)))*(SQRT(SUMSQ(Attributs!$BH$2:$BH$18)+SUMSQ(Attributs!$BI$2:$BI$18)))),0)</f>
        <v/>
      </c>
      <c r="AF61" s="2">
        <f>IFERROR((SUMPRODUCT(Attributs!$DP$2:$DP$18,Attributs!$BJ$2:$BJ$18)+SUMPRODUCT(Attributs!$DQ$2:$DQ$18,Attributs!$BK$2:$BK$18))/((SQRT(SUMSQ(Attributs!$DP$2:$DP$18)+SUMSQ(Attributs!$DQ$2:$DQ$18)))*(SQRT(SUMSQ(Attributs!$BJ$2:$BJ$18)+SUMSQ(Attributs!$BK$2:$BK$18)))),0)</f>
        <v/>
      </c>
      <c r="AG61" s="2">
        <f>IFERROR((SUMPRODUCT(Attributs!$DP$2:$DP$18,Attributs!$BL$2:$BL$18)+SUMPRODUCT(Attributs!$DQ$2:$DQ$18,Attributs!$BM$2:$BM$18))/((SQRT(SUMSQ(Attributs!$DP$2:$DP$18)+SUMSQ(Attributs!$DQ$2:$DQ$18)))*(SQRT(SUMSQ(Attributs!$BL$2:$BL$18)+SUMSQ(Attributs!$BM$2:$BM$18)))),0)</f>
        <v/>
      </c>
      <c r="AH61" s="2">
        <f>IFERROR((SUMPRODUCT(Attributs!$DP$2:$DP$18,Attributs!$BN$2:$BN$18)+SUMPRODUCT(Attributs!$DQ$2:$DQ$18,Attributs!$BO$2:$BO$18))/((SQRT(SUMSQ(Attributs!$DP$2:$DP$18)+SUMSQ(Attributs!$DQ$2:$DQ$18)))*(SQRT(SUMSQ(Attributs!$BN$2:$BN$18)+SUMSQ(Attributs!$BO$2:$BO$18)))),0)</f>
        <v/>
      </c>
      <c r="AI61" s="2">
        <f>IFERROR((SUMPRODUCT(Attributs!$DP$2:$DP$18,Attributs!$BP$2:$BP$18)+SUMPRODUCT(Attributs!$DQ$2:$DQ$18,Attributs!$BQ$2:$BQ$18))/((SQRT(SUMSQ(Attributs!$DP$2:$DP$18)+SUMSQ(Attributs!$DQ$2:$DQ$18)))*(SQRT(SUMSQ(Attributs!$BP$2:$BP$18)+SUMSQ(Attributs!$BQ$2:$BQ$18)))),0)</f>
        <v/>
      </c>
      <c r="AJ61" s="2">
        <f>IFERROR((SUMPRODUCT(Attributs!$DP$2:$DP$18,Attributs!$BR$2:$BR$18)+SUMPRODUCT(Attributs!$DQ$2:$DQ$18,Attributs!$BS$2:$BS$18))/((SQRT(SUMSQ(Attributs!$DP$2:$DP$18)+SUMSQ(Attributs!$DQ$2:$DQ$18)))*(SQRT(SUMSQ(Attributs!$BR$2:$BR$18)+SUMSQ(Attributs!$BS$2:$BS$18)))),0)</f>
        <v/>
      </c>
      <c r="AK61" s="2">
        <f>IFERROR((SUMPRODUCT(Attributs!$DP$2:$DP$18,Attributs!$BT$2:$BT$18)+SUMPRODUCT(Attributs!$DQ$2:$DQ$18,Attributs!$BU$2:$BU$18))/((SQRT(SUMSQ(Attributs!$DP$2:$DP$18)+SUMSQ(Attributs!$DQ$2:$DQ$18)))*(SQRT(SUMSQ(Attributs!$BT$2:$BT$18)+SUMSQ(Attributs!$BU$2:$BU$18)))),0)</f>
        <v/>
      </c>
      <c r="AL61" s="2">
        <f>IFERROR((SUMPRODUCT(Attributs!$DP$2:$DP$18,Attributs!$BV$2:$BV$18)+SUMPRODUCT(Attributs!$DQ$2:$DQ$18,Attributs!$BW$2:$BW$18))/((SQRT(SUMSQ(Attributs!$DP$2:$DP$18)+SUMSQ(Attributs!$DQ$2:$DQ$18)))*(SQRT(SUMSQ(Attributs!$BV$2:$BV$18)+SUMSQ(Attributs!$BW$2:$BW$18)))),0)</f>
        <v/>
      </c>
      <c r="AM61" s="2">
        <f>IFERROR((SUMPRODUCT(Attributs!$DP$2:$DP$18,Attributs!$BX$2:$BX$18)+SUMPRODUCT(Attributs!$DQ$2:$DQ$18,Attributs!$BY$2:$BY$18))/((SQRT(SUMSQ(Attributs!$DP$2:$DP$18)+SUMSQ(Attributs!$DQ$2:$DQ$18)))*(SQRT(SUMSQ(Attributs!$BX$2:$BX$18)+SUMSQ(Attributs!$BY$2:$BY$18)))),0)</f>
        <v/>
      </c>
      <c r="AN61" s="2">
        <f>IFERROR((SUMPRODUCT(Attributs!$DP$2:$DP$18,Attributs!$BZ$2:$BZ$18)+SUMPRODUCT(Attributs!$DQ$2:$DQ$18,Attributs!$CA$2:$CA$18))/((SQRT(SUMSQ(Attributs!$DP$2:$DP$18)+SUMSQ(Attributs!$DQ$2:$DQ$18)))*(SQRT(SUMSQ(Attributs!$BZ$2:$BZ$18)+SUMSQ(Attributs!$CA$2:$CA$18)))),0)</f>
        <v/>
      </c>
      <c r="AO61" s="2">
        <f>IFERROR((SUMPRODUCT(Attributs!$DP$2:$DP$18,Attributs!$CB$2:$CB$18)+SUMPRODUCT(Attributs!$DQ$2:$DQ$18,Attributs!$CC$2:$CC$18))/((SQRT(SUMSQ(Attributs!$DP$2:$DP$18)+SUMSQ(Attributs!$DQ$2:$DQ$18)))*(SQRT(SUMSQ(Attributs!$CB$2:$CB$18)+SUMSQ(Attributs!$CC$2:$CC$18)))),0)</f>
        <v/>
      </c>
      <c r="AP61" s="2">
        <f>IFERROR((SUMPRODUCT(Attributs!$DP$2:$DP$18,Attributs!$CD$2:$CD$18)+SUMPRODUCT(Attributs!$DQ$2:$DQ$18,Attributs!$CE$2:$CE$18))/((SQRT(SUMSQ(Attributs!$DP$2:$DP$18)+SUMSQ(Attributs!$DQ$2:$DQ$18)))*(SQRT(SUMSQ(Attributs!$CD$2:$CD$18)+SUMSQ(Attributs!$CE$2:$CE$18)))),0)</f>
        <v/>
      </c>
      <c r="AQ61" s="2">
        <f>IFERROR((SUMPRODUCT(Attributs!$DP$2:$DP$18,Attributs!$CF$2:$CF$18)+SUMPRODUCT(Attributs!$DQ$2:$DQ$18,Attributs!$CG$2:$CG$18))/((SQRT(SUMSQ(Attributs!$DP$2:$DP$18)+SUMSQ(Attributs!$DQ$2:$DQ$18)))*(SQRT(SUMSQ(Attributs!$CF$2:$CF$18)+SUMSQ(Attributs!$CG$2:$CG$18)))),0)</f>
        <v/>
      </c>
      <c r="AR61" s="2">
        <f>IFERROR((SUMPRODUCT(Attributs!$DP$2:$DP$18,Attributs!$CH$2:$CH$18)+SUMPRODUCT(Attributs!$DQ$2:$DQ$18,Attributs!$CI$2:$CI$18))/((SQRT(SUMSQ(Attributs!$DP$2:$DP$18)+SUMSQ(Attributs!$DQ$2:$DQ$18)))*(SQRT(SUMSQ(Attributs!$CH$2:$CH$18)+SUMSQ(Attributs!$CI$2:$CI$18)))),0)</f>
        <v/>
      </c>
      <c r="AS61" s="2">
        <f>IFERROR((SUMPRODUCT(Attributs!$DP$2:$DP$18,Attributs!$CJ$2:$CJ$18)+SUMPRODUCT(Attributs!$DQ$2:$DQ$18,Attributs!$CK$2:$CK$18))/((SQRT(SUMSQ(Attributs!$DP$2:$DP$18)+SUMSQ(Attributs!$DQ$2:$DQ$18)))*(SQRT(SUMSQ(Attributs!$CJ$2:$CJ$18)+SUMSQ(Attributs!$CK$2:$CK$18)))),0)</f>
        <v/>
      </c>
      <c r="AT61" s="2">
        <f>IFERROR((SUMPRODUCT(Attributs!$DP$2:$DP$18,Attributs!$CL$2:$CL$18)+SUMPRODUCT(Attributs!$DQ$2:$DQ$18,Attributs!$CM$2:$CM$18))/((SQRT(SUMSQ(Attributs!$DP$2:$DP$18)+SUMSQ(Attributs!$DQ$2:$DQ$18)))*(SQRT(SUMSQ(Attributs!$CL$2:$CL$18)+SUMSQ(Attributs!$CM$2:$CM$18)))),0)</f>
        <v/>
      </c>
      <c r="AU61" s="2">
        <f>IFERROR((SUMPRODUCT(Attributs!$DP$2:$DP$18,Attributs!$CN$2:$CN$18)+SUMPRODUCT(Attributs!$DQ$2:$DQ$18,Attributs!$CO$2:$CO$18))/((SQRT(SUMSQ(Attributs!$DP$2:$DP$18)+SUMSQ(Attributs!$DQ$2:$DQ$18)))*(SQRT(SUMSQ(Attributs!$CN$2:$CN$18)+SUMSQ(Attributs!$CO$2:$CO$18)))),0)</f>
        <v/>
      </c>
      <c r="AV61" s="2">
        <f>IFERROR((SUMPRODUCT(Attributs!$DP$2:$DP$18,Attributs!$CP$2:$CP$18)+SUMPRODUCT(Attributs!$DQ$2:$DQ$18,Attributs!$CQ$2:$CQ$18))/((SQRT(SUMSQ(Attributs!$DP$2:$DP$18)+SUMSQ(Attributs!$DQ$2:$DQ$18)))*(SQRT(SUMSQ(Attributs!$CP$2:$CP$18)+SUMSQ(Attributs!$CQ$2:$CQ$18)))),0)</f>
        <v/>
      </c>
      <c r="AW61" s="2">
        <f>IFERROR((SUMPRODUCT(Attributs!$DP$2:$DP$18,Attributs!$CR$2:$CR$18)+SUMPRODUCT(Attributs!$DQ$2:$DQ$18,Attributs!$CS$2:$CS$18))/((SQRT(SUMSQ(Attributs!$DP$2:$DP$18)+SUMSQ(Attributs!$DQ$2:$DQ$18)))*(SQRT(SUMSQ(Attributs!$CR$2:$CR$18)+SUMSQ(Attributs!$CS$2:$CS$18)))),0)</f>
        <v/>
      </c>
      <c r="AX61" s="2">
        <f>IFERROR((SUMPRODUCT(Attributs!$DP$2:$DP$18,Attributs!$CT$2:$CT$18)+SUMPRODUCT(Attributs!$DQ$2:$DQ$18,Attributs!$CU$2:$CU$18))/((SQRT(SUMSQ(Attributs!$DP$2:$DP$18)+SUMSQ(Attributs!$DQ$2:$DQ$18)))*(SQRT(SUMSQ(Attributs!$CT$2:$CT$18)+SUMSQ(Attributs!$CU$2:$CU$18)))),0)</f>
        <v/>
      </c>
      <c r="AY61" s="2">
        <f>IFERROR((SUMPRODUCT(Attributs!$DP$2:$DP$18,Attributs!$CV$2:$CV$18)+SUMPRODUCT(Attributs!$DQ$2:$DQ$18,Attributs!$CW$2:$CW$18))/((SQRT(SUMSQ(Attributs!$DP$2:$DP$18)+SUMSQ(Attributs!$DQ$2:$DQ$18)))*(SQRT(SUMSQ(Attributs!$CV$2:$CV$18)+SUMSQ(Attributs!$CW$2:$CW$18)))),0)</f>
        <v/>
      </c>
      <c r="AZ61" s="2">
        <f>IFERROR((SUMPRODUCT(Attributs!$DP$2:$DP$18,Attributs!$CX$2:$CX$18)+SUMPRODUCT(Attributs!$DQ$2:$DQ$18,Attributs!$CY$2:$CY$18))/((SQRT(SUMSQ(Attributs!$DP$2:$DP$18)+SUMSQ(Attributs!$DQ$2:$DQ$18)))*(SQRT(SUMSQ(Attributs!$CX$2:$CX$18)+SUMSQ(Attributs!$CY$2:$CY$18)))),0)</f>
        <v/>
      </c>
      <c r="BA61" s="2">
        <f>IFERROR((SUMPRODUCT(Attributs!$DP$2:$DP$18,Attributs!$CZ$2:$CZ$18)+SUMPRODUCT(Attributs!$DQ$2:$DQ$18,Attributs!$DA$2:$DA$18))/((SQRT(SUMSQ(Attributs!$DP$2:$DP$18)+SUMSQ(Attributs!$DQ$2:$DQ$18)))*(SQRT(SUMSQ(Attributs!$CZ$2:$CZ$18)+SUMSQ(Attributs!$DA$2:$DA$18)))),0)</f>
        <v/>
      </c>
      <c r="BB61" s="2">
        <f>IFERROR((SUMPRODUCT(Attributs!$DP$2:$DP$18,Attributs!$DB$2:$DB$18)+SUMPRODUCT(Attributs!$DQ$2:$DQ$18,Attributs!$DC$2:$DC$18))/((SQRT(SUMSQ(Attributs!$DP$2:$DP$18)+SUMSQ(Attributs!$DQ$2:$DQ$18)))*(SQRT(SUMSQ(Attributs!$DB$2:$DB$18)+SUMSQ(Attributs!$DC$2:$DC$18)))),0)</f>
        <v/>
      </c>
      <c r="BC61" s="2">
        <f>IFERROR((SUMPRODUCT(Attributs!$DP$2:$DP$18,Attributs!$DD$2:$DD$18)+SUMPRODUCT(Attributs!$DQ$2:$DQ$18,Attributs!$DE$2:$DE$18))/((SQRT(SUMSQ(Attributs!$DP$2:$DP$18)+SUMSQ(Attributs!$DQ$2:$DQ$18)))*(SQRT(SUMSQ(Attributs!$DD$2:$DD$18)+SUMSQ(Attributs!$DE$2:$DE$18)))),0)</f>
        <v/>
      </c>
      <c r="BD61" s="2">
        <f>IFERROR((SUMPRODUCT(Attributs!$DP$2:$DP$18,Attributs!$DF$2:$DF$18)+SUMPRODUCT(Attributs!$DQ$2:$DQ$18,Attributs!$DG$2:$DG$18))/((SQRT(SUMSQ(Attributs!$DP$2:$DP$18)+SUMSQ(Attributs!$DQ$2:$DQ$18)))*(SQRT(SUMSQ(Attributs!$DF$2:$DF$18)+SUMSQ(Attributs!$DG$2:$DG$18)))),0)</f>
        <v/>
      </c>
      <c r="BE61" s="2">
        <f>IFERROR((SUMPRODUCT(Attributs!$DP$2:$DP$18,Attributs!$DH$2:$DH$18)+SUMPRODUCT(Attributs!$DQ$2:$DQ$18,Attributs!$DI$2:$DI$18))/((SQRT(SUMSQ(Attributs!$DP$2:$DP$18)+SUMSQ(Attributs!$DQ$2:$DQ$18)))*(SQRT(SUMSQ(Attributs!$DH$2:$DH$18)+SUMSQ(Attributs!$DI$2:$DI$18)))),0)</f>
        <v/>
      </c>
      <c r="BF61" s="2">
        <f>IFERROR((SUMPRODUCT(Attributs!$DP$2:$DP$18,Attributs!$DJ$2:$DJ$18)+SUMPRODUCT(Attributs!$DQ$2:$DQ$18,Attributs!$DK$2:$DK$18))/((SQRT(SUMSQ(Attributs!$DP$2:$DP$18)+SUMSQ(Attributs!$DQ$2:$DQ$18)))*(SQRT(SUMSQ(Attributs!$DJ$2:$DJ$18)+SUMSQ(Attributs!$DK$2:$DK$18)))),0)</f>
        <v/>
      </c>
      <c r="BG61" s="2">
        <f>IFERROR((SUMPRODUCT(Attributs!$DP$2:$DP$18,Attributs!$DL$2:$DL$18)+SUMPRODUCT(Attributs!$DQ$2:$DQ$18,Attributs!$DM$2:$DM$18))/((SQRT(SUMSQ(Attributs!$DP$2:$DP$18)+SUMSQ(Attributs!$DQ$2:$DQ$18)))*(SQRT(SUMSQ(Attributs!$DL$2:$DL$18)+SUMSQ(Attributs!$DM$2:$DM$18)))),0)</f>
        <v/>
      </c>
      <c r="BH61" s="2">
        <f>IFERROR((SUMPRODUCT(Attributs!$DP$2:$DP$18,Attributs!$DN$2:$DN$18)+SUMPRODUCT(Attributs!$DQ$2:$DQ$18,Attributs!$DO$2:$DO$18))/((SQRT(SUMSQ(Attributs!$DP$2:$DP$18)+SUMSQ(Attributs!$DQ$2:$DQ$18)))*(SQRT(SUMSQ(Attributs!$DN$2:$DN$18)+SUMSQ(Attributs!$DO$2:$DO$18)))),0)</f>
        <v/>
      </c>
      <c r="BI61" s="2">
        <f>IFERROR((SUMPRODUCT(Attributs!$DP$2:$DP$18,Attributs!$DP$2:$DP$18)+SUMPRODUCT(Attributs!$DQ$2:$DQ$18,Attributs!$DQ$2:$DQ$18))/((SQRT(SUMSQ(Attributs!$DP$2:$DP$18)+SUMSQ(Attributs!$DQ$2:$DQ$18)))*(SQRT(SUMSQ(Attributs!$DP$2:$DP$18)+SUMSQ(Attributs!$DQ$2:$DQ$18)))),0)</f>
        <v/>
      </c>
      <c r="BJ61" s="2">
        <f>IFERROR((SUMPRODUCT(Attributs!$DP$2:$DP$18,Attributs!$DR$2:$DR$18)+SUMPRODUCT(Attributs!$DQ$2:$DQ$18,Attributs!$DS$2:$DS$18))/((SQRT(SUMSQ(Attributs!$DP$2:$DP$18)+SUMSQ(Attributs!$DQ$2:$DQ$18)))*(SQRT(SUMSQ(Attributs!$DR$2:$DR$18)+SUMSQ(Attributs!$DS$2:$DS$18)))),0)</f>
        <v/>
      </c>
      <c r="BK61" s="2">
        <f>IFERROR((SUMPRODUCT(Attributs!$DP$2:$DP$18,Attributs!$DT$2:$DT$18)+SUMPRODUCT(Attributs!$DQ$2:$DQ$18,Attributs!$DU$2:$DU$18))/((SQRT(SUMSQ(Attributs!$DP$2:$DP$18)+SUMSQ(Attributs!$DQ$2:$DQ$18)))*(SQRT(SUMSQ(Attributs!$DT$2:$DT$18)+SUMSQ(Attributs!$DU$2:$DU$18)))),0)</f>
        <v/>
      </c>
      <c r="BL61" s="2">
        <f>IFERROR((SUMPRODUCT(Attributs!$DP$2:$DP$18,Attributs!$DV$2:$DV$18)+SUMPRODUCT(Attributs!$DQ$2:$DQ$18,Attributs!$DW$2:$DW$18))/((SQRT(SUMSQ(Attributs!$DP$2:$DP$18)+SUMSQ(Attributs!$DQ$2:$DQ$18)))*(SQRT(SUMSQ(Attributs!$DV$2:$DV$18)+SUMSQ(Attributs!$DW$2:$DW$18)))),0)</f>
        <v/>
      </c>
    </row>
    <row r="62">
      <c r="A62" s="3" t="inlineStr">
        <is>
          <t>SE_neo4j.Tags.wikipostid</t>
        </is>
      </c>
      <c r="B62" s="2">
        <f>IFERROR((SUMPRODUCT(Attributs!$DR$2:$DR$18,Attributs!$B$2:$B$18)+SUMPRODUCT(Attributs!$DS$2:$DS$18,Attributs!$C$2:$C$18))/((SQRT(SUMSQ(Attributs!$DR$2:$DR$18)+SUMSQ(Attributs!$DS$2:$DS$18)))*(SQRT(SUMSQ(Attributs!$B$2:$B$18)+SUMSQ(Attributs!$C$2:$C$18)))),0)</f>
        <v/>
      </c>
      <c r="C62" s="2">
        <f>IFERROR((SUMPRODUCT(Attributs!$DR$2:$DR$18,Attributs!$D$2:$D$18)+SUMPRODUCT(Attributs!$DS$2:$DS$18,Attributs!$E$2:$E$18))/((SQRT(SUMSQ(Attributs!$DR$2:$DR$18)+SUMSQ(Attributs!$DS$2:$DS$18)))*(SQRT(SUMSQ(Attributs!$D$2:$D$18)+SUMSQ(Attributs!$E$2:$E$18)))),0)</f>
        <v/>
      </c>
      <c r="D62" s="2">
        <f>IFERROR((SUMPRODUCT(Attributs!$DR$2:$DR$18,Attributs!$F$2:$F$18)+SUMPRODUCT(Attributs!$DS$2:$DS$18,Attributs!$G$2:$G$18))/((SQRT(SUMSQ(Attributs!$DR$2:$DR$18)+SUMSQ(Attributs!$DS$2:$DS$18)))*(SQRT(SUMSQ(Attributs!$F$2:$F$18)+SUMSQ(Attributs!$G$2:$G$18)))),0)</f>
        <v/>
      </c>
      <c r="E62" s="2">
        <f>IFERROR((SUMPRODUCT(Attributs!$DR$2:$DR$18,Attributs!$H$2:$H$18)+SUMPRODUCT(Attributs!$DS$2:$DS$18,Attributs!$I$2:$I$18))/((SQRT(SUMSQ(Attributs!$DR$2:$DR$18)+SUMSQ(Attributs!$DS$2:$DS$18)))*(SQRT(SUMSQ(Attributs!$H$2:$H$18)+SUMSQ(Attributs!$I$2:$I$18)))),0)</f>
        <v/>
      </c>
      <c r="F62" s="2">
        <f>IFERROR((SUMPRODUCT(Attributs!$DR$2:$DR$18,Attributs!$J$2:$J$18)+SUMPRODUCT(Attributs!$DS$2:$DS$18,Attributs!$K$2:$K$18))/((SQRT(SUMSQ(Attributs!$DR$2:$DR$18)+SUMSQ(Attributs!$DS$2:$DS$18)))*(SQRT(SUMSQ(Attributs!$J$2:$J$18)+SUMSQ(Attributs!$K$2:$K$18)))),0)</f>
        <v/>
      </c>
      <c r="G62" s="2">
        <f>IFERROR((SUMPRODUCT(Attributs!$DR$2:$DR$18,Attributs!$L$2:$L$18)+SUMPRODUCT(Attributs!$DS$2:$DS$18,Attributs!$M$2:$M$18))/((SQRT(SUMSQ(Attributs!$DR$2:$DR$18)+SUMSQ(Attributs!$DS$2:$DS$18)))*(SQRT(SUMSQ(Attributs!$L$2:$L$18)+SUMSQ(Attributs!$M$2:$M$18)))),0)</f>
        <v/>
      </c>
      <c r="H62" s="2">
        <f>IFERROR((SUMPRODUCT(Attributs!$DR$2:$DR$18,Attributs!$N$2:$N$18)+SUMPRODUCT(Attributs!$DS$2:$DS$18,Attributs!$O$2:$O$18))/((SQRT(SUMSQ(Attributs!$DR$2:$DR$18)+SUMSQ(Attributs!$DS$2:$DS$18)))*(SQRT(SUMSQ(Attributs!$N$2:$N$18)+SUMSQ(Attributs!$O$2:$O$18)))),0)</f>
        <v/>
      </c>
      <c r="I62" s="2">
        <f>IFERROR((SUMPRODUCT(Attributs!$DR$2:$DR$18,Attributs!$P$2:$P$18)+SUMPRODUCT(Attributs!$DS$2:$DS$18,Attributs!$Q$2:$Q$18))/((SQRT(SUMSQ(Attributs!$DR$2:$DR$18)+SUMSQ(Attributs!$DS$2:$DS$18)))*(SQRT(SUMSQ(Attributs!$P$2:$P$18)+SUMSQ(Attributs!$Q$2:$Q$18)))),0)</f>
        <v/>
      </c>
      <c r="J62" s="2">
        <f>IFERROR((SUMPRODUCT(Attributs!$DR$2:$DR$18,Attributs!$R$2:$R$18)+SUMPRODUCT(Attributs!$DS$2:$DS$18,Attributs!$S$2:$S$18))/((SQRT(SUMSQ(Attributs!$DR$2:$DR$18)+SUMSQ(Attributs!$DS$2:$DS$18)))*(SQRT(SUMSQ(Attributs!$R$2:$R$18)+SUMSQ(Attributs!$S$2:$S$18)))),0)</f>
        <v/>
      </c>
      <c r="K62" s="2">
        <f>IFERROR((SUMPRODUCT(Attributs!$DR$2:$DR$18,Attributs!$T$2:$T$18)+SUMPRODUCT(Attributs!$DS$2:$DS$18,Attributs!$U$2:$U$18))/((SQRT(SUMSQ(Attributs!$DR$2:$DR$18)+SUMSQ(Attributs!$DS$2:$DS$18)))*(SQRT(SUMSQ(Attributs!$T$2:$T$18)+SUMSQ(Attributs!$U$2:$U$18)))),0)</f>
        <v/>
      </c>
      <c r="L62" s="2">
        <f>IFERROR((SUMPRODUCT(Attributs!$DR$2:$DR$18,Attributs!$V$2:$V$18)+SUMPRODUCT(Attributs!$DS$2:$DS$18,Attributs!$W$2:$W$18))/((SQRT(SUMSQ(Attributs!$DR$2:$DR$18)+SUMSQ(Attributs!$DS$2:$DS$18)))*(SQRT(SUMSQ(Attributs!$V$2:$V$18)+SUMSQ(Attributs!$W$2:$W$18)))),0)</f>
        <v/>
      </c>
      <c r="M62" s="2">
        <f>IFERROR((SUMPRODUCT(Attributs!$DR$2:$DR$18,Attributs!$X$2:$X$18)+SUMPRODUCT(Attributs!$DS$2:$DS$18,Attributs!$Y$2:$Y$18))/((SQRT(SUMSQ(Attributs!$DR$2:$DR$18)+SUMSQ(Attributs!$DS$2:$DS$18)))*(SQRT(SUMSQ(Attributs!$X$2:$X$18)+SUMSQ(Attributs!$Y$2:$Y$18)))),0)</f>
        <v/>
      </c>
      <c r="N62" s="2">
        <f>IFERROR((SUMPRODUCT(Attributs!$DR$2:$DR$18,Attributs!$Z$2:$Z$18)+SUMPRODUCT(Attributs!$DS$2:$DS$18,Attributs!$AA$2:$AA$18))/((SQRT(SUMSQ(Attributs!$DR$2:$DR$18)+SUMSQ(Attributs!$DS$2:$DS$18)))*(SQRT(SUMSQ(Attributs!$Z$2:$Z$18)+SUMSQ(Attributs!$AA$2:$AA$18)))),0)</f>
        <v/>
      </c>
      <c r="O62" s="2">
        <f>IFERROR((SUMPRODUCT(Attributs!$DR$2:$DR$18,Attributs!$AB$2:$AB$18)+SUMPRODUCT(Attributs!$DS$2:$DS$18,Attributs!$AC$2:$AC$18))/((SQRT(SUMSQ(Attributs!$DR$2:$DR$18)+SUMSQ(Attributs!$DS$2:$DS$18)))*(SQRT(SUMSQ(Attributs!$AB$2:$AB$18)+SUMSQ(Attributs!$AC$2:$AC$18)))),0)</f>
        <v/>
      </c>
      <c r="P62" s="2">
        <f>IFERROR((SUMPRODUCT(Attributs!$DR$2:$DR$18,Attributs!$AD$2:$AD$18)+SUMPRODUCT(Attributs!$DS$2:$DS$18,Attributs!$AE$2:$AE$18))/((SQRT(SUMSQ(Attributs!$DR$2:$DR$18)+SUMSQ(Attributs!$DS$2:$DS$18)))*(SQRT(SUMSQ(Attributs!$AD$2:$AD$18)+SUMSQ(Attributs!$AE$2:$AE$18)))),0)</f>
        <v/>
      </c>
      <c r="Q62" s="2">
        <f>IFERROR((SUMPRODUCT(Attributs!$DR$2:$DR$18,Attributs!$AF$2:$AF$18)+SUMPRODUCT(Attributs!$DS$2:$DS$18,Attributs!$AG$2:$AG$18))/((SQRT(SUMSQ(Attributs!$DR$2:$DR$18)+SUMSQ(Attributs!$DS$2:$DS$18)))*(SQRT(SUMSQ(Attributs!$AF$2:$AF$18)+SUMSQ(Attributs!$AG$2:$AG$18)))),0)</f>
        <v/>
      </c>
      <c r="R62" s="2">
        <f>IFERROR((SUMPRODUCT(Attributs!$DR$2:$DR$18,Attributs!$AH$2:$AH$18)+SUMPRODUCT(Attributs!$DS$2:$DS$18,Attributs!$AI$2:$AI$18))/((SQRT(SUMSQ(Attributs!$DR$2:$DR$18)+SUMSQ(Attributs!$DS$2:$DS$18)))*(SQRT(SUMSQ(Attributs!$AH$2:$AH$18)+SUMSQ(Attributs!$AI$2:$AI$18)))),0)</f>
        <v/>
      </c>
      <c r="S62" s="2">
        <f>IFERROR((SUMPRODUCT(Attributs!$DR$2:$DR$18,Attributs!$AJ$2:$AJ$18)+SUMPRODUCT(Attributs!$DS$2:$DS$18,Attributs!$AK$2:$AK$18))/((SQRT(SUMSQ(Attributs!$DR$2:$DR$18)+SUMSQ(Attributs!$DS$2:$DS$18)))*(SQRT(SUMSQ(Attributs!$AJ$2:$AJ$18)+SUMSQ(Attributs!$AK$2:$AK$18)))),0)</f>
        <v/>
      </c>
      <c r="T62" s="2">
        <f>IFERROR((SUMPRODUCT(Attributs!$DR$2:$DR$18,Attributs!$AL$2:$AL$18)+SUMPRODUCT(Attributs!$DS$2:$DS$18,Attributs!$AM$2:$AM$18))/((SQRT(SUMSQ(Attributs!$DR$2:$DR$18)+SUMSQ(Attributs!$DS$2:$DS$18)))*(SQRT(SUMSQ(Attributs!$AL$2:$AL$18)+SUMSQ(Attributs!$AM$2:$AM$18)))),0)</f>
        <v/>
      </c>
      <c r="U62" s="2">
        <f>IFERROR((SUMPRODUCT(Attributs!$DR$2:$DR$18,Attributs!$AN$2:$AN$18)+SUMPRODUCT(Attributs!$DS$2:$DS$18,Attributs!$AO$2:$AO$18))/((SQRT(SUMSQ(Attributs!$DR$2:$DR$18)+SUMSQ(Attributs!$DS$2:$DS$18)))*(SQRT(SUMSQ(Attributs!$AN$2:$AN$18)+SUMSQ(Attributs!$AO$2:$AO$18)))),0)</f>
        <v/>
      </c>
      <c r="V62" s="2">
        <f>IFERROR((SUMPRODUCT(Attributs!$DR$2:$DR$18,Attributs!$AP$2:$AP$18)+SUMPRODUCT(Attributs!$DS$2:$DS$18,Attributs!$AQ$2:$AQ$18))/((SQRT(SUMSQ(Attributs!$DR$2:$DR$18)+SUMSQ(Attributs!$DS$2:$DS$18)))*(SQRT(SUMSQ(Attributs!$AP$2:$AP$18)+SUMSQ(Attributs!$AQ$2:$AQ$18)))),0)</f>
        <v/>
      </c>
      <c r="W62" s="2">
        <f>IFERROR((SUMPRODUCT(Attributs!$DR$2:$DR$18,Attributs!$AR$2:$AR$18)+SUMPRODUCT(Attributs!$DS$2:$DS$18,Attributs!$AS$2:$AS$18))/((SQRT(SUMSQ(Attributs!$DR$2:$DR$18)+SUMSQ(Attributs!$DS$2:$DS$18)))*(SQRT(SUMSQ(Attributs!$AR$2:$AR$18)+SUMSQ(Attributs!$AS$2:$AS$18)))),0)</f>
        <v/>
      </c>
      <c r="X62" s="2">
        <f>IFERROR((SUMPRODUCT(Attributs!$DR$2:$DR$18,Attributs!$AT$2:$AT$18)+SUMPRODUCT(Attributs!$DS$2:$DS$18,Attributs!$AU$2:$AU$18))/((SQRT(SUMSQ(Attributs!$DR$2:$DR$18)+SUMSQ(Attributs!$DS$2:$DS$18)))*(SQRT(SUMSQ(Attributs!$AT$2:$AT$18)+SUMSQ(Attributs!$AU$2:$AU$18)))),0)</f>
        <v/>
      </c>
      <c r="Y62" s="2">
        <f>IFERROR((SUMPRODUCT(Attributs!$DR$2:$DR$18,Attributs!$AV$2:$AV$18)+SUMPRODUCT(Attributs!$DS$2:$DS$18,Attributs!$AW$2:$AW$18))/((SQRT(SUMSQ(Attributs!$DR$2:$DR$18)+SUMSQ(Attributs!$DS$2:$DS$18)))*(SQRT(SUMSQ(Attributs!$AV$2:$AV$18)+SUMSQ(Attributs!$AW$2:$AW$18)))),0)</f>
        <v/>
      </c>
      <c r="Z62" s="2">
        <f>IFERROR((SUMPRODUCT(Attributs!$DR$2:$DR$18,Attributs!$AX$2:$AX$18)+SUMPRODUCT(Attributs!$DS$2:$DS$18,Attributs!$AY$2:$AY$18))/((SQRT(SUMSQ(Attributs!$DR$2:$DR$18)+SUMSQ(Attributs!$DS$2:$DS$18)))*(SQRT(SUMSQ(Attributs!$AX$2:$AX$18)+SUMSQ(Attributs!$AY$2:$AY$18)))),0)</f>
        <v/>
      </c>
      <c r="AA62" s="2">
        <f>IFERROR((SUMPRODUCT(Attributs!$DR$2:$DR$18,Attributs!$AZ$2:$AZ$18)+SUMPRODUCT(Attributs!$DS$2:$DS$18,Attributs!$BA$2:$BA$18))/((SQRT(SUMSQ(Attributs!$DR$2:$DR$18)+SUMSQ(Attributs!$DS$2:$DS$18)))*(SQRT(SUMSQ(Attributs!$AZ$2:$AZ$18)+SUMSQ(Attributs!$BA$2:$BA$18)))),0)</f>
        <v/>
      </c>
      <c r="AB62" s="2">
        <f>IFERROR((SUMPRODUCT(Attributs!$DR$2:$DR$18,Attributs!$BB$2:$BB$18)+SUMPRODUCT(Attributs!$DS$2:$DS$18,Attributs!$BC$2:$BC$18))/((SQRT(SUMSQ(Attributs!$DR$2:$DR$18)+SUMSQ(Attributs!$DS$2:$DS$18)))*(SQRT(SUMSQ(Attributs!$BB$2:$BB$18)+SUMSQ(Attributs!$BC$2:$BC$18)))),0)</f>
        <v/>
      </c>
      <c r="AC62" s="2">
        <f>IFERROR((SUMPRODUCT(Attributs!$DR$2:$DR$18,Attributs!$BD$2:$BD$18)+SUMPRODUCT(Attributs!$DS$2:$DS$18,Attributs!$BE$2:$BE$18))/((SQRT(SUMSQ(Attributs!$DR$2:$DR$18)+SUMSQ(Attributs!$DS$2:$DS$18)))*(SQRT(SUMSQ(Attributs!$BD$2:$BD$18)+SUMSQ(Attributs!$BE$2:$BE$18)))),0)</f>
        <v/>
      </c>
      <c r="AD62" s="2">
        <f>IFERROR((SUMPRODUCT(Attributs!$DR$2:$DR$18,Attributs!$BF$2:$BF$18)+SUMPRODUCT(Attributs!$DS$2:$DS$18,Attributs!$BG$2:$BG$18))/((SQRT(SUMSQ(Attributs!$DR$2:$DR$18)+SUMSQ(Attributs!$DS$2:$DS$18)))*(SQRT(SUMSQ(Attributs!$BF$2:$BF$18)+SUMSQ(Attributs!$BG$2:$BG$18)))),0)</f>
        <v/>
      </c>
      <c r="AE62" s="2">
        <f>IFERROR((SUMPRODUCT(Attributs!$DR$2:$DR$18,Attributs!$BH$2:$BH$18)+SUMPRODUCT(Attributs!$DS$2:$DS$18,Attributs!$BI$2:$BI$18))/((SQRT(SUMSQ(Attributs!$DR$2:$DR$18)+SUMSQ(Attributs!$DS$2:$DS$18)))*(SQRT(SUMSQ(Attributs!$BH$2:$BH$18)+SUMSQ(Attributs!$BI$2:$BI$18)))),0)</f>
        <v/>
      </c>
      <c r="AF62" s="2">
        <f>IFERROR((SUMPRODUCT(Attributs!$DR$2:$DR$18,Attributs!$BJ$2:$BJ$18)+SUMPRODUCT(Attributs!$DS$2:$DS$18,Attributs!$BK$2:$BK$18))/((SQRT(SUMSQ(Attributs!$DR$2:$DR$18)+SUMSQ(Attributs!$DS$2:$DS$18)))*(SQRT(SUMSQ(Attributs!$BJ$2:$BJ$18)+SUMSQ(Attributs!$BK$2:$BK$18)))),0)</f>
        <v/>
      </c>
      <c r="AG62" s="2">
        <f>IFERROR((SUMPRODUCT(Attributs!$DR$2:$DR$18,Attributs!$BL$2:$BL$18)+SUMPRODUCT(Attributs!$DS$2:$DS$18,Attributs!$BM$2:$BM$18))/((SQRT(SUMSQ(Attributs!$DR$2:$DR$18)+SUMSQ(Attributs!$DS$2:$DS$18)))*(SQRT(SUMSQ(Attributs!$BL$2:$BL$18)+SUMSQ(Attributs!$BM$2:$BM$18)))),0)</f>
        <v/>
      </c>
      <c r="AH62" s="2">
        <f>IFERROR((SUMPRODUCT(Attributs!$DR$2:$DR$18,Attributs!$BN$2:$BN$18)+SUMPRODUCT(Attributs!$DS$2:$DS$18,Attributs!$BO$2:$BO$18))/((SQRT(SUMSQ(Attributs!$DR$2:$DR$18)+SUMSQ(Attributs!$DS$2:$DS$18)))*(SQRT(SUMSQ(Attributs!$BN$2:$BN$18)+SUMSQ(Attributs!$BO$2:$BO$18)))),0)</f>
        <v/>
      </c>
      <c r="AI62" s="2">
        <f>IFERROR((SUMPRODUCT(Attributs!$DR$2:$DR$18,Attributs!$BP$2:$BP$18)+SUMPRODUCT(Attributs!$DS$2:$DS$18,Attributs!$BQ$2:$BQ$18))/((SQRT(SUMSQ(Attributs!$DR$2:$DR$18)+SUMSQ(Attributs!$DS$2:$DS$18)))*(SQRT(SUMSQ(Attributs!$BP$2:$BP$18)+SUMSQ(Attributs!$BQ$2:$BQ$18)))),0)</f>
        <v/>
      </c>
      <c r="AJ62" s="2">
        <f>IFERROR((SUMPRODUCT(Attributs!$DR$2:$DR$18,Attributs!$BR$2:$BR$18)+SUMPRODUCT(Attributs!$DS$2:$DS$18,Attributs!$BS$2:$BS$18))/((SQRT(SUMSQ(Attributs!$DR$2:$DR$18)+SUMSQ(Attributs!$DS$2:$DS$18)))*(SQRT(SUMSQ(Attributs!$BR$2:$BR$18)+SUMSQ(Attributs!$BS$2:$BS$18)))),0)</f>
        <v/>
      </c>
      <c r="AK62" s="2">
        <f>IFERROR((SUMPRODUCT(Attributs!$DR$2:$DR$18,Attributs!$BT$2:$BT$18)+SUMPRODUCT(Attributs!$DS$2:$DS$18,Attributs!$BU$2:$BU$18))/((SQRT(SUMSQ(Attributs!$DR$2:$DR$18)+SUMSQ(Attributs!$DS$2:$DS$18)))*(SQRT(SUMSQ(Attributs!$BT$2:$BT$18)+SUMSQ(Attributs!$BU$2:$BU$18)))),0)</f>
        <v/>
      </c>
      <c r="AL62" s="2">
        <f>IFERROR((SUMPRODUCT(Attributs!$DR$2:$DR$18,Attributs!$BV$2:$BV$18)+SUMPRODUCT(Attributs!$DS$2:$DS$18,Attributs!$BW$2:$BW$18))/((SQRT(SUMSQ(Attributs!$DR$2:$DR$18)+SUMSQ(Attributs!$DS$2:$DS$18)))*(SQRT(SUMSQ(Attributs!$BV$2:$BV$18)+SUMSQ(Attributs!$BW$2:$BW$18)))),0)</f>
        <v/>
      </c>
      <c r="AM62" s="2">
        <f>IFERROR((SUMPRODUCT(Attributs!$DR$2:$DR$18,Attributs!$BX$2:$BX$18)+SUMPRODUCT(Attributs!$DS$2:$DS$18,Attributs!$BY$2:$BY$18))/((SQRT(SUMSQ(Attributs!$DR$2:$DR$18)+SUMSQ(Attributs!$DS$2:$DS$18)))*(SQRT(SUMSQ(Attributs!$BX$2:$BX$18)+SUMSQ(Attributs!$BY$2:$BY$18)))),0)</f>
        <v/>
      </c>
      <c r="AN62" s="2">
        <f>IFERROR((SUMPRODUCT(Attributs!$DR$2:$DR$18,Attributs!$BZ$2:$BZ$18)+SUMPRODUCT(Attributs!$DS$2:$DS$18,Attributs!$CA$2:$CA$18))/((SQRT(SUMSQ(Attributs!$DR$2:$DR$18)+SUMSQ(Attributs!$DS$2:$DS$18)))*(SQRT(SUMSQ(Attributs!$BZ$2:$BZ$18)+SUMSQ(Attributs!$CA$2:$CA$18)))),0)</f>
        <v/>
      </c>
      <c r="AO62" s="2">
        <f>IFERROR((SUMPRODUCT(Attributs!$DR$2:$DR$18,Attributs!$CB$2:$CB$18)+SUMPRODUCT(Attributs!$DS$2:$DS$18,Attributs!$CC$2:$CC$18))/((SQRT(SUMSQ(Attributs!$DR$2:$DR$18)+SUMSQ(Attributs!$DS$2:$DS$18)))*(SQRT(SUMSQ(Attributs!$CB$2:$CB$18)+SUMSQ(Attributs!$CC$2:$CC$18)))),0)</f>
        <v/>
      </c>
      <c r="AP62" s="2">
        <f>IFERROR((SUMPRODUCT(Attributs!$DR$2:$DR$18,Attributs!$CD$2:$CD$18)+SUMPRODUCT(Attributs!$DS$2:$DS$18,Attributs!$CE$2:$CE$18))/((SQRT(SUMSQ(Attributs!$DR$2:$DR$18)+SUMSQ(Attributs!$DS$2:$DS$18)))*(SQRT(SUMSQ(Attributs!$CD$2:$CD$18)+SUMSQ(Attributs!$CE$2:$CE$18)))),0)</f>
        <v/>
      </c>
      <c r="AQ62" s="2">
        <f>IFERROR((SUMPRODUCT(Attributs!$DR$2:$DR$18,Attributs!$CF$2:$CF$18)+SUMPRODUCT(Attributs!$DS$2:$DS$18,Attributs!$CG$2:$CG$18))/((SQRT(SUMSQ(Attributs!$DR$2:$DR$18)+SUMSQ(Attributs!$DS$2:$DS$18)))*(SQRT(SUMSQ(Attributs!$CF$2:$CF$18)+SUMSQ(Attributs!$CG$2:$CG$18)))),0)</f>
        <v/>
      </c>
      <c r="AR62" s="2">
        <f>IFERROR((SUMPRODUCT(Attributs!$DR$2:$DR$18,Attributs!$CH$2:$CH$18)+SUMPRODUCT(Attributs!$DS$2:$DS$18,Attributs!$CI$2:$CI$18))/((SQRT(SUMSQ(Attributs!$DR$2:$DR$18)+SUMSQ(Attributs!$DS$2:$DS$18)))*(SQRT(SUMSQ(Attributs!$CH$2:$CH$18)+SUMSQ(Attributs!$CI$2:$CI$18)))),0)</f>
        <v/>
      </c>
      <c r="AS62" s="2">
        <f>IFERROR((SUMPRODUCT(Attributs!$DR$2:$DR$18,Attributs!$CJ$2:$CJ$18)+SUMPRODUCT(Attributs!$DS$2:$DS$18,Attributs!$CK$2:$CK$18))/((SQRT(SUMSQ(Attributs!$DR$2:$DR$18)+SUMSQ(Attributs!$DS$2:$DS$18)))*(SQRT(SUMSQ(Attributs!$CJ$2:$CJ$18)+SUMSQ(Attributs!$CK$2:$CK$18)))),0)</f>
        <v/>
      </c>
      <c r="AT62" s="2">
        <f>IFERROR((SUMPRODUCT(Attributs!$DR$2:$DR$18,Attributs!$CL$2:$CL$18)+SUMPRODUCT(Attributs!$DS$2:$DS$18,Attributs!$CM$2:$CM$18))/((SQRT(SUMSQ(Attributs!$DR$2:$DR$18)+SUMSQ(Attributs!$DS$2:$DS$18)))*(SQRT(SUMSQ(Attributs!$CL$2:$CL$18)+SUMSQ(Attributs!$CM$2:$CM$18)))),0)</f>
        <v/>
      </c>
      <c r="AU62" s="2">
        <f>IFERROR((SUMPRODUCT(Attributs!$DR$2:$DR$18,Attributs!$CN$2:$CN$18)+SUMPRODUCT(Attributs!$DS$2:$DS$18,Attributs!$CO$2:$CO$18))/((SQRT(SUMSQ(Attributs!$DR$2:$DR$18)+SUMSQ(Attributs!$DS$2:$DS$18)))*(SQRT(SUMSQ(Attributs!$CN$2:$CN$18)+SUMSQ(Attributs!$CO$2:$CO$18)))),0)</f>
        <v/>
      </c>
      <c r="AV62" s="2">
        <f>IFERROR((SUMPRODUCT(Attributs!$DR$2:$DR$18,Attributs!$CP$2:$CP$18)+SUMPRODUCT(Attributs!$DS$2:$DS$18,Attributs!$CQ$2:$CQ$18))/((SQRT(SUMSQ(Attributs!$DR$2:$DR$18)+SUMSQ(Attributs!$DS$2:$DS$18)))*(SQRT(SUMSQ(Attributs!$CP$2:$CP$18)+SUMSQ(Attributs!$CQ$2:$CQ$18)))),0)</f>
        <v/>
      </c>
      <c r="AW62" s="2">
        <f>IFERROR((SUMPRODUCT(Attributs!$DR$2:$DR$18,Attributs!$CR$2:$CR$18)+SUMPRODUCT(Attributs!$DS$2:$DS$18,Attributs!$CS$2:$CS$18))/((SQRT(SUMSQ(Attributs!$DR$2:$DR$18)+SUMSQ(Attributs!$DS$2:$DS$18)))*(SQRT(SUMSQ(Attributs!$CR$2:$CR$18)+SUMSQ(Attributs!$CS$2:$CS$18)))),0)</f>
        <v/>
      </c>
      <c r="AX62" s="2">
        <f>IFERROR((SUMPRODUCT(Attributs!$DR$2:$DR$18,Attributs!$CT$2:$CT$18)+SUMPRODUCT(Attributs!$DS$2:$DS$18,Attributs!$CU$2:$CU$18))/((SQRT(SUMSQ(Attributs!$DR$2:$DR$18)+SUMSQ(Attributs!$DS$2:$DS$18)))*(SQRT(SUMSQ(Attributs!$CT$2:$CT$18)+SUMSQ(Attributs!$CU$2:$CU$18)))),0)</f>
        <v/>
      </c>
      <c r="AY62" s="2">
        <f>IFERROR((SUMPRODUCT(Attributs!$DR$2:$DR$18,Attributs!$CV$2:$CV$18)+SUMPRODUCT(Attributs!$DS$2:$DS$18,Attributs!$CW$2:$CW$18))/((SQRT(SUMSQ(Attributs!$DR$2:$DR$18)+SUMSQ(Attributs!$DS$2:$DS$18)))*(SQRT(SUMSQ(Attributs!$CV$2:$CV$18)+SUMSQ(Attributs!$CW$2:$CW$18)))),0)</f>
        <v/>
      </c>
      <c r="AZ62" s="2">
        <f>IFERROR((SUMPRODUCT(Attributs!$DR$2:$DR$18,Attributs!$CX$2:$CX$18)+SUMPRODUCT(Attributs!$DS$2:$DS$18,Attributs!$CY$2:$CY$18))/((SQRT(SUMSQ(Attributs!$DR$2:$DR$18)+SUMSQ(Attributs!$DS$2:$DS$18)))*(SQRT(SUMSQ(Attributs!$CX$2:$CX$18)+SUMSQ(Attributs!$CY$2:$CY$18)))),0)</f>
        <v/>
      </c>
      <c r="BA62" s="2">
        <f>IFERROR((SUMPRODUCT(Attributs!$DR$2:$DR$18,Attributs!$CZ$2:$CZ$18)+SUMPRODUCT(Attributs!$DS$2:$DS$18,Attributs!$DA$2:$DA$18))/((SQRT(SUMSQ(Attributs!$DR$2:$DR$18)+SUMSQ(Attributs!$DS$2:$DS$18)))*(SQRT(SUMSQ(Attributs!$CZ$2:$CZ$18)+SUMSQ(Attributs!$DA$2:$DA$18)))),0)</f>
        <v/>
      </c>
      <c r="BB62" s="2">
        <f>IFERROR((SUMPRODUCT(Attributs!$DR$2:$DR$18,Attributs!$DB$2:$DB$18)+SUMPRODUCT(Attributs!$DS$2:$DS$18,Attributs!$DC$2:$DC$18))/((SQRT(SUMSQ(Attributs!$DR$2:$DR$18)+SUMSQ(Attributs!$DS$2:$DS$18)))*(SQRT(SUMSQ(Attributs!$DB$2:$DB$18)+SUMSQ(Attributs!$DC$2:$DC$18)))),0)</f>
        <v/>
      </c>
      <c r="BC62" s="2">
        <f>IFERROR((SUMPRODUCT(Attributs!$DR$2:$DR$18,Attributs!$DD$2:$DD$18)+SUMPRODUCT(Attributs!$DS$2:$DS$18,Attributs!$DE$2:$DE$18))/((SQRT(SUMSQ(Attributs!$DR$2:$DR$18)+SUMSQ(Attributs!$DS$2:$DS$18)))*(SQRT(SUMSQ(Attributs!$DD$2:$DD$18)+SUMSQ(Attributs!$DE$2:$DE$18)))),0)</f>
        <v/>
      </c>
      <c r="BD62" s="2">
        <f>IFERROR((SUMPRODUCT(Attributs!$DR$2:$DR$18,Attributs!$DF$2:$DF$18)+SUMPRODUCT(Attributs!$DS$2:$DS$18,Attributs!$DG$2:$DG$18))/((SQRT(SUMSQ(Attributs!$DR$2:$DR$18)+SUMSQ(Attributs!$DS$2:$DS$18)))*(SQRT(SUMSQ(Attributs!$DF$2:$DF$18)+SUMSQ(Attributs!$DG$2:$DG$18)))),0)</f>
        <v/>
      </c>
      <c r="BE62" s="2">
        <f>IFERROR((SUMPRODUCT(Attributs!$DR$2:$DR$18,Attributs!$DH$2:$DH$18)+SUMPRODUCT(Attributs!$DS$2:$DS$18,Attributs!$DI$2:$DI$18))/((SQRT(SUMSQ(Attributs!$DR$2:$DR$18)+SUMSQ(Attributs!$DS$2:$DS$18)))*(SQRT(SUMSQ(Attributs!$DH$2:$DH$18)+SUMSQ(Attributs!$DI$2:$DI$18)))),0)</f>
        <v/>
      </c>
      <c r="BF62" s="2">
        <f>IFERROR((SUMPRODUCT(Attributs!$DR$2:$DR$18,Attributs!$DJ$2:$DJ$18)+SUMPRODUCT(Attributs!$DS$2:$DS$18,Attributs!$DK$2:$DK$18))/((SQRT(SUMSQ(Attributs!$DR$2:$DR$18)+SUMSQ(Attributs!$DS$2:$DS$18)))*(SQRT(SUMSQ(Attributs!$DJ$2:$DJ$18)+SUMSQ(Attributs!$DK$2:$DK$18)))),0)</f>
        <v/>
      </c>
      <c r="BG62" s="2">
        <f>IFERROR((SUMPRODUCT(Attributs!$DR$2:$DR$18,Attributs!$DL$2:$DL$18)+SUMPRODUCT(Attributs!$DS$2:$DS$18,Attributs!$DM$2:$DM$18))/((SQRT(SUMSQ(Attributs!$DR$2:$DR$18)+SUMSQ(Attributs!$DS$2:$DS$18)))*(SQRT(SUMSQ(Attributs!$DL$2:$DL$18)+SUMSQ(Attributs!$DM$2:$DM$18)))),0)</f>
        <v/>
      </c>
      <c r="BH62" s="2">
        <f>IFERROR((SUMPRODUCT(Attributs!$DR$2:$DR$18,Attributs!$DN$2:$DN$18)+SUMPRODUCT(Attributs!$DS$2:$DS$18,Attributs!$DO$2:$DO$18))/((SQRT(SUMSQ(Attributs!$DR$2:$DR$18)+SUMSQ(Attributs!$DS$2:$DS$18)))*(SQRT(SUMSQ(Attributs!$DN$2:$DN$18)+SUMSQ(Attributs!$DO$2:$DO$18)))),0)</f>
        <v/>
      </c>
      <c r="BI62" s="2">
        <f>IFERROR((SUMPRODUCT(Attributs!$DR$2:$DR$18,Attributs!$DP$2:$DP$18)+SUMPRODUCT(Attributs!$DS$2:$DS$18,Attributs!$DQ$2:$DQ$18))/((SQRT(SUMSQ(Attributs!$DR$2:$DR$18)+SUMSQ(Attributs!$DS$2:$DS$18)))*(SQRT(SUMSQ(Attributs!$DP$2:$DP$18)+SUMSQ(Attributs!$DQ$2:$DQ$18)))),0)</f>
        <v/>
      </c>
      <c r="BJ62" s="2">
        <f>IFERROR((SUMPRODUCT(Attributs!$DR$2:$DR$18,Attributs!$DR$2:$DR$18)+SUMPRODUCT(Attributs!$DS$2:$DS$18,Attributs!$DS$2:$DS$18))/((SQRT(SUMSQ(Attributs!$DR$2:$DR$18)+SUMSQ(Attributs!$DS$2:$DS$18)))*(SQRT(SUMSQ(Attributs!$DR$2:$DR$18)+SUMSQ(Attributs!$DS$2:$DS$18)))),0)</f>
        <v/>
      </c>
      <c r="BK62" s="2">
        <f>IFERROR((SUMPRODUCT(Attributs!$DR$2:$DR$18,Attributs!$DT$2:$DT$18)+SUMPRODUCT(Attributs!$DS$2:$DS$18,Attributs!$DU$2:$DU$18))/((SQRT(SUMSQ(Attributs!$DR$2:$DR$18)+SUMSQ(Attributs!$DS$2:$DS$18)))*(SQRT(SUMSQ(Attributs!$DT$2:$DT$18)+SUMSQ(Attributs!$DU$2:$DU$18)))),0)</f>
        <v/>
      </c>
      <c r="BL62" s="2">
        <f>IFERROR((SUMPRODUCT(Attributs!$DR$2:$DR$18,Attributs!$DV$2:$DV$18)+SUMPRODUCT(Attributs!$DS$2:$DS$18,Attributs!$DW$2:$DW$18))/((SQRT(SUMSQ(Attributs!$DR$2:$DR$18)+SUMSQ(Attributs!$DS$2:$DS$18)))*(SQRT(SUMSQ(Attributs!$DV$2:$DV$18)+SUMSQ(Attributs!$DW$2:$DW$18)))),0)</f>
        <v/>
      </c>
    </row>
    <row r="63">
      <c r="A63" s="3" t="inlineStr">
        <is>
          <t>SE_neo4j.Tags.tagname</t>
        </is>
      </c>
      <c r="B63" s="2">
        <f>IFERROR((SUMPRODUCT(Attributs!$DT$2:$DT$18,Attributs!$B$2:$B$18)+SUMPRODUCT(Attributs!$DU$2:$DU$18,Attributs!$C$2:$C$18))/((SQRT(SUMSQ(Attributs!$DT$2:$DT$18)+SUMSQ(Attributs!$DU$2:$DU$18)))*(SQRT(SUMSQ(Attributs!$B$2:$B$18)+SUMSQ(Attributs!$C$2:$C$18)))),0)</f>
        <v/>
      </c>
      <c r="C63" s="2">
        <f>IFERROR((SUMPRODUCT(Attributs!$DT$2:$DT$18,Attributs!$D$2:$D$18)+SUMPRODUCT(Attributs!$DU$2:$DU$18,Attributs!$E$2:$E$18))/((SQRT(SUMSQ(Attributs!$DT$2:$DT$18)+SUMSQ(Attributs!$DU$2:$DU$18)))*(SQRT(SUMSQ(Attributs!$D$2:$D$18)+SUMSQ(Attributs!$E$2:$E$18)))),0)</f>
        <v/>
      </c>
      <c r="D63" s="2">
        <f>IFERROR((SUMPRODUCT(Attributs!$DT$2:$DT$18,Attributs!$F$2:$F$18)+SUMPRODUCT(Attributs!$DU$2:$DU$18,Attributs!$G$2:$G$18))/((SQRT(SUMSQ(Attributs!$DT$2:$DT$18)+SUMSQ(Attributs!$DU$2:$DU$18)))*(SQRT(SUMSQ(Attributs!$F$2:$F$18)+SUMSQ(Attributs!$G$2:$G$18)))),0)</f>
        <v/>
      </c>
      <c r="E63" s="2">
        <f>IFERROR((SUMPRODUCT(Attributs!$DT$2:$DT$18,Attributs!$H$2:$H$18)+SUMPRODUCT(Attributs!$DU$2:$DU$18,Attributs!$I$2:$I$18))/((SQRT(SUMSQ(Attributs!$DT$2:$DT$18)+SUMSQ(Attributs!$DU$2:$DU$18)))*(SQRT(SUMSQ(Attributs!$H$2:$H$18)+SUMSQ(Attributs!$I$2:$I$18)))),0)</f>
        <v/>
      </c>
      <c r="F63" s="2">
        <f>IFERROR((SUMPRODUCT(Attributs!$DT$2:$DT$18,Attributs!$J$2:$J$18)+SUMPRODUCT(Attributs!$DU$2:$DU$18,Attributs!$K$2:$K$18))/((SQRT(SUMSQ(Attributs!$DT$2:$DT$18)+SUMSQ(Attributs!$DU$2:$DU$18)))*(SQRT(SUMSQ(Attributs!$J$2:$J$18)+SUMSQ(Attributs!$K$2:$K$18)))),0)</f>
        <v/>
      </c>
      <c r="G63" s="2">
        <f>IFERROR((SUMPRODUCT(Attributs!$DT$2:$DT$18,Attributs!$L$2:$L$18)+SUMPRODUCT(Attributs!$DU$2:$DU$18,Attributs!$M$2:$M$18))/((SQRT(SUMSQ(Attributs!$DT$2:$DT$18)+SUMSQ(Attributs!$DU$2:$DU$18)))*(SQRT(SUMSQ(Attributs!$L$2:$L$18)+SUMSQ(Attributs!$M$2:$M$18)))),0)</f>
        <v/>
      </c>
      <c r="H63" s="2">
        <f>IFERROR((SUMPRODUCT(Attributs!$DT$2:$DT$18,Attributs!$N$2:$N$18)+SUMPRODUCT(Attributs!$DU$2:$DU$18,Attributs!$O$2:$O$18))/((SQRT(SUMSQ(Attributs!$DT$2:$DT$18)+SUMSQ(Attributs!$DU$2:$DU$18)))*(SQRT(SUMSQ(Attributs!$N$2:$N$18)+SUMSQ(Attributs!$O$2:$O$18)))),0)</f>
        <v/>
      </c>
      <c r="I63" s="2">
        <f>IFERROR((SUMPRODUCT(Attributs!$DT$2:$DT$18,Attributs!$P$2:$P$18)+SUMPRODUCT(Attributs!$DU$2:$DU$18,Attributs!$Q$2:$Q$18))/((SQRT(SUMSQ(Attributs!$DT$2:$DT$18)+SUMSQ(Attributs!$DU$2:$DU$18)))*(SQRT(SUMSQ(Attributs!$P$2:$P$18)+SUMSQ(Attributs!$Q$2:$Q$18)))),0)</f>
        <v/>
      </c>
      <c r="J63" s="2">
        <f>IFERROR((SUMPRODUCT(Attributs!$DT$2:$DT$18,Attributs!$R$2:$R$18)+SUMPRODUCT(Attributs!$DU$2:$DU$18,Attributs!$S$2:$S$18))/((SQRT(SUMSQ(Attributs!$DT$2:$DT$18)+SUMSQ(Attributs!$DU$2:$DU$18)))*(SQRT(SUMSQ(Attributs!$R$2:$R$18)+SUMSQ(Attributs!$S$2:$S$18)))),0)</f>
        <v/>
      </c>
      <c r="K63" s="2">
        <f>IFERROR((SUMPRODUCT(Attributs!$DT$2:$DT$18,Attributs!$T$2:$T$18)+SUMPRODUCT(Attributs!$DU$2:$DU$18,Attributs!$U$2:$U$18))/((SQRT(SUMSQ(Attributs!$DT$2:$DT$18)+SUMSQ(Attributs!$DU$2:$DU$18)))*(SQRT(SUMSQ(Attributs!$T$2:$T$18)+SUMSQ(Attributs!$U$2:$U$18)))),0)</f>
        <v/>
      </c>
      <c r="L63" s="2">
        <f>IFERROR((SUMPRODUCT(Attributs!$DT$2:$DT$18,Attributs!$V$2:$V$18)+SUMPRODUCT(Attributs!$DU$2:$DU$18,Attributs!$W$2:$W$18))/((SQRT(SUMSQ(Attributs!$DT$2:$DT$18)+SUMSQ(Attributs!$DU$2:$DU$18)))*(SQRT(SUMSQ(Attributs!$V$2:$V$18)+SUMSQ(Attributs!$W$2:$W$18)))),0)</f>
        <v/>
      </c>
      <c r="M63" s="2">
        <f>IFERROR((SUMPRODUCT(Attributs!$DT$2:$DT$18,Attributs!$X$2:$X$18)+SUMPRODUCT(Attributs!$DU$2:$DU$18,Attributs!$Y$2:$Y$18))/((SQRT(SUMSQ(Attributs!$DT$2:$DT$18)+SUMSQ(Attributs!$DU$2:$DU$18)))*(SQRT(SUMSQ(Attributs!$X$2:$X$18)+SUMSQ(Attributs!$Y$2:$Y$18)))),0)</f>
        <v/>
      </c>
      <c r="N63" s="2">
        <f>IFERROR((SUMPRODUCT(Attributs!$DT$2:$DT$18,Attributs!$Z$2:$Z$18)+SUMPRODUCT(Attributs!$DU$2:$DU$18,Attributs!$AA$2:$AA$18))/((SQRT(SUMSQ(Attributs!$DT$2:$DT$18)+SUMSQ(Attributs!$DU$2:$DU$18)))*(SQRT(SUMSQ(Attributs!$Z$2:$Z$18)+SUMSQ(Attributs!$AA$2:$AA$18)))),0)</f>
        <v/>
      </c>
      <c r="O63" s="2">
        <f>IFERROR((SUMPRODUCT(Attributs!$DT$2:$DT$18,Attributs!$AB$2:$AB$18)+SUMPRODUCT(Attributs!$DU$2:$DU$18,Attributs!$AC$2:$AC$18))/((SQRT(SUMSQ(Attributs!$DT$2:$DT$18)+SUMSQ(Attributs!$DU$2:$DU$18)))*(SQRT(SUMSQ(Attributs!$AB$2:$AB$18)+SUMSQ(Attributs!$AC$2:$AC$18)))),0)</f>
        <v/>
      </c>
      <c r="P63" s="2">
        <f>IFERROR((SUMPRODUCT(Attributs!$DT$2:$DT$18,Attributs!$AD$2:$AD$18)+SUMPRODUCT(Attributs!$DU$2:$DU$18,Attributs!$AE$2:$AE$18))/((SQRT(SUMSQ(Attributs!$DT$2:$DT$18)+SUMSQ(Attributs!$DU$2:$DU$18)))*(SQRT(SUMSQ(Attributs!$AD$2:$AD$18)+SUMSQ(Attributs!$AE$2:$AE$18)))),0)</f>
        <v/>
      </c>
      <c r="Q63" s="2">
        <f>IFERROR((SUMPRODUCT(Attributs!$DT$2:$DT$18,Attributs!$AF$2:$AF$18)+SUMPRODUCT(Attributs!$DU$2:$DU$18,Attributs!$AG$2:$AG$18))/((SQRT(SUMSQ(Attributs!$DT$2:$DT$18)+SUMSQ(Attributs!$DU$2:$DU$18)))*(SQRT(SUMSQ(Attributs!$AF$2:$AF$18)+SUMSQ(Attributs!$AG$2:$AG$18)))),0)</f>
        <v/>
      </c>
      <c r="R63" s="2">
        <f>IFERROR((SUMPRODUCT(Attributs!$DT$2:$DT$18,Attributs!$AH$2:$AH$18)+SUMPRODUCT(Attributs!$DU$2:$DU$18,Attributs!$AI$2:$AI$18))/((SQRT(SUMSQ(Attributs!$DT$2:$DT$18)+SUMSQ(Attributs!$DU$2:$DU$18)))*(SQRT(SUMSQ(Attributs!$AH$2:$AH$18)+SUMSQ(Attributs!$AI$2:$AI$18)))),0)</f>
        <v/>
      </c>
      <c r="S63" s="2">
        <f>IFERROR((SUMPRODUCT(Attributs!$DT$2:$DT$18,Attributs!$AJ$2:$AJ$18)+SUMPRODUCT(Attributs!$DU$2:$DU$18,Attributs!$AK$2:$AK$18))/((SQRT(SUMSQ(Attributs!$DT$2:$DT$18)+SUMSQ(Attributs!$DU$2:$DU$18)))*(SQRT(SUMSQ(Attributs!$AJ$2:$AJ$18)+SUMSQ(Attributs!$AK$2:$AK$18)))),0)</f>
        <v/>
      </c>
      <c r="T63" s="2">
        <f>IFERROR((SUMPRODUCT(Attributs!$DT$2:$DT$18,Attributs!$AL$2:$AL$18)+SUMPRODUCT(Attributs!$DU$2:$DU$18,Attributs!$AM$2:$AM$18))/((SQRT(SUMSQ(Attributs!$DT$2:$DT$18)+SUMSQ(Attributs!$DU$2:$DU$18)))*(SQRT(SUMSQ(Attributs!$AL$2:$AL$18)+SUMSQ(Attributs!$AM$2:$AM$18)))),0)</f>
        <v/>
      </c>
      <c r="U63" s="2">
        <f>IFERROR((SUMPRODUCT(Attributs!$DT$2:$DT$18,Attributs!$AN$2:$AN$18)+SUMPRODUCT(Attributs!$DU$2:$DU$18,Attributs!$AO$2:$AO$18))/((SQRT(SUMSQ(Attributs!$DT$2:$DT$18)+SUMSQ(Attributs!$DU$2:$DU$18)))*(SQRT(SUMSQ(Attributs!$AN$2:$AN$18)+SUMSQ(Attributs!$AO$2:$AO$18)))),0)</f>
        <v/>
      </c>
      <c r="V63" s="2">
        <f>IFERROR((SUMPRODUCT(Attributs!$DT$2:$DT$18,Attributs!$AP$2:$AP$18)+SUMPRODUCT(Attributs!$DU$2:$DU$18,Attributs!$AQ$2:$AQ$18))/((SQRT(SUMSQ(Attributs!$DT$2:$DT$18)+SUMSQ(Attributs!$DU$2:$DU$18)))*(SQRT(SUMSQ(Attributs!$AP$2:$AP$18)+SUMSQ(Attributs!$AQ$2:$AQ$18)))),0)</f>
        <v/>
      </c>
      <c r="W63" s="2">
        <f>IFERROR((SUMPRODUCT(Attributs!$DT$2:$DT$18,Attributs!$AR$2:$AR$18)+SUMPRODUCT(Attributs!$DU$2:$DU$18,Attributs!$AS$2:$AS$18))/((SQRT(SUMSQ(Attributs!$DT$2:$DT$18)+SUMSQ(Attributs!$DU$2:$DU$18)))*(SQRT(SUMSQ(Attributs!$AR$2:$AR$18)+SUMSQ(Attributs!$AS$2:$AS$18)))),0)</f>
        <v/>
      </c>
      <c r="X63" s="2">
        <f>IFERROR((SUMPRODUCT(Attributs!$DT$2:$DT$18,Attributs!$AT$2:$AT$18)+SUMPRODUCT(Attributs!$DU$2:$DU$18,Attributs!$AU$2:$AU$18))/((SQRT(SUMSQ(Attributs!$DT$2:$DT$18)+SUMSQ(Attributs!$DU$2:$DU$18)))*(SQRT(SUMSQ(Attributs!$AT$2:$AT$18)+SUMSQ(Attributs!$AU$2:$AU$18)))),0)</f>
        <v/>
      </c>
      <c r="Y63" s="2">
        <f>IFERROR((SUMPRODUCT(Attributs!$DT$2:$DT$18,Attributs!$AV$2:$AV$18)+SUMPRODUCT(Attributs!$DU$2:$DU$18,Attributs!$AW$2:$AW$18))/((SQRT(SUMSQ(Attributs!$DT$2:$DT$18)+SUMSQ(Attributs!$DU$2:$DU$18)))*(SQRT(SUMSQ(Attributs!$AV$2:$AV$18)+SUMSQ(Attributs!$AW$2:$AW$18)))),0)</f>
        <v/>
      </c>
      <c r="Z63" s="2">
        <f>IFERROR((SUMPRODUCT(Attributs!$DT$2:$DT$18,Attributs!$AX$2:$AX$18)+SUMPRODUCT(Attributs!$DU$2:$DU$18,Attributs!$AY$2:$AY$18))/((SQRT(SUMSQ(Attributs!$DT$2:$DT$18)+SUMSQ(Attributs!$DU$2:$DU$18)))*(SQRT(SUMSQ(Attributs!$AX$2:$AX$18)+SUMSQ(Attributs!$AY$2:$AY$18)))),0)</f>
        <v/>
      </c>
      <c r="AA63" s="2">
        <f>IFERROR((SUMPRODUCT(Attributs!$DT$2:$DT$18,Attributs!$AZ$2:$AZ$18)+SUMPRODUCT(Attributs!$DU$2:$DU$18,Attributs!$BA$2:$BA$18))/((SQRT(SUMSQ(Attributs!$DT$2:$DT$18)+SUMSQ(Attributs!$DU$2:$DU$18)))*(SQRT(SUMSQ(Attributs!$AZ$2:$AZ$18)+SUMSQ(Attributs!$BA$2:$BA$18)))),0)</f>
        <v/>
      </c>
      <c r="AB63" s="2">
        <f>IFERROR((SUMPRODUCT(Attributs!$DT$2:$DT$18,Attributs!$BB$2:$BB$18)+SUMPRODUCT(Attributs!$DU$2:$DU$18,Attributs!$BC$2:$BC$18))/((SQRT(SUMSQ(Attributs!$DT$2:$DT$18)+SUMSQ(Attributs!$DU$2:$DU$18)))*(SQRT(SUMSQ(Attributs!$BB$2:$BB$18)+SUMSQ(Attributs!$BC$2:$BC$18)))),0)</f>
        <v/>
      </c>
      <c r="AC63" s="2">
        <f>IFERROR((SUMPRODUCT(Attributs!$DT$2:$DT$18,Attributs!$BD$2:$BD$18)+SUMPRODUCT(Attributs!$DU$2:$DU$18,Attributs!$BE$2:$BE$18))/((SQRT(SUMSQ(Attributs!$DT$2:$DT$18)+SUMSQ(Attributs!$DU$2:$DU$18)))*(SQRT(SUMSQ(Attributs!$BD$2:$BD$18)+SUMSQ(Attributs!$BE$2:$BE$18)))),0)</f>
        <v/>
      </c>
      <c r="AD63" s="2">
        <f>IFERROR((SUMPRODUCT(Attributs!$DT$2:$DT$18,Attributs!$BF$2:$BF$18)+SUMPRODUCT(Attributs!$DU$2:$DU$18,Attributs!$BG$2:$BG$18))/((SQRT(SUMSQ(Attributs!$DT$2:$DT$18)+SUMSQ(Attributs!$DU$2:$DU$18)))*(SQRT(SUMSQ(Attributs!$BF$2:$BF$18)+SUMSQ(Attributs!$BG$2:$BG$18)))),0)</f>
        <v/>
      </c>
      <c r="AE63" s="2">
        <f>IFERROR((SUMPRODUCT(Attributs!$DT$2:$DT$18,Attributs!$BH$2:$BH$18)+SUMPRODUCT(Attributs!$DU$2:$DU$18,Attributs!$BI$2:$BI$18))/((SQRT(SUMSQ(Attributs!$DT$2:$DT$18)+SUMSQ(Attributs!$DU$2:$DU$18)))*(SQRT(SUMSQ(Attributs!$BH$2:$BH$18)+SUMSQ(Attributs!$BI$2:$BI$18)))),0)</f>
        <v/>
      </c>
      <c r="AF63" s="2">
        <f>IFERROR((SUMPRODUCT(Attributs!$DT$2:$DT$18,Attributs!$BJ$2:$BJ$18)+SUMPRODUCT(Attributs!$DU$2:$DU$18,Attributs!$BK$2:$BK$18))/((SQRT(SUMSQ(Attributs!$DT$2:$DT$18)+SUMSQ(Attributs!$DU$2:$DU$18)))*(SQRT(SUMSQ(Attributs!$BJ$2:$BJ$18)+SUMSQ(Attributs!$BK$2:$BK$18)))),0)</f>
        <v/>
      </c>
      <c r="AG63" s="2">
        <f>IFERROR((SUMPRODUCT(Attributs!$DT$2:$DT$18,Attributs!$BL$2:$BL$18)+SUMPRODUCT(Attributs!$DU$2:$DU$18,Attributs!$BM$2:$BM$18))/((SQRT(SUMSQ(Attributs!$DT$2:$DT$18)+SUMSQ(Attributs!$DU$2:$DU$18)))*(SQRT(SUMSQ(Attributs!$BL$2:$BL$18)+SUMSQ(Attributs!$BM$2:$BM$18)))),0)</f>
        <v/>
      </c>
      <c r="AH63" s="2">
        <f>IFERROR((SUMPRODUCT(Attributs!$DT$2:$DT$18,Attributs!$BN$2:$BN$18)+SUMPRODUCT(Attributs!$DU$2:$DU$18,Attributs!$BO$2:$BO$18))/((SQRT(SUMSQ(Attributs!$DT$2:$DT$18)+SUMSQ(Attributs!$DU$2:$DU$18)))*(SQRT(SUMSQ(Attributs!$BN$2:$BN$18)+SUMSQ(Attributs!$BO$2:$BO$18)))),0)</f>
        <v/>
      </c>
      <c r="AI63" s="2">
        <f>IFERROR((SUMPRODUCT(Attributs!$DT$2:$DT$18,Attributs!$BP$2:$BP$18)+SUMPRODUCT(Attributs!$DU$2:$DU$18,Attributs!$BQ$2:$BQ$18))/((SQRT(SUMSQ(Attributs!$DT$2:$DT$18)+SUMSQ(Attributs!$DU$2:$DU$18)))*(SQRT(SUMSQ(Attributs!$BP$2:$BP$18)+SUMSQ(Attributs!$BQ$2:$BQ$18)))),0)</f>
        <v/>
      </c>
      <c r="AJ63" s="2">
        <f>IFERROR((SUMPRODUCT(Attributs!$DT$2:$DT$18,Attributs!$BR$2:$BR$18)+SUMPRODUCT(Attributs!$DU$2:$DU$18,Attributs!$BS$2:$BS$18))/((SQRT(SUMSQ(Attributs!$DT$2:$DT$18)+SUMSQ(Attributs!$DU$2:$DU$18)))*(SQRT(SUMSQ(Attributs!$BR$2:$BR$18)+SUMSQ(Attributs!$BS$2:$BS$18)))),0)</f>
        <v/>
      </c>
      <c r="AK63" s="2">
        <f>IFERROR((SUMPRODUCT(Attributs!$DT$2:$DT$18,Attributs!$BT$2:$BT$18)+SUMPRODUCT(Attributs!$DU$2:$DU$18,Attributs!$BU$2:$BU$18))/((SQRT(SUMSQ(Attributs!$DT$2:$DT$18)+SUMSQ(Attributs!$DU$2:$DU$18)))*(SQRT(SUMSQ(Attributs!$BT$2:$BT$18)+SUMSQ(Attributs!$BU$2:$BU$18)))),0)</f>
        <v/>
      </c>
      <c r="AL63" s="2">
        <f>IFERROR((SUMPRODUCT(Attributs!$DT$2:$DT$18,Attributs!$BV$2:$BV$18)+SUMPRODUCT(Attributs!$DU$2:$DU$18,Attributs!$BW$2:$BW$18))/((SQRT(SUMSQ(Attributs!$DT$2:$DT$18)+SUMSQ(Attributs!$DU$2:$DU$18)))*(SQRT(SUMSQ(Attributs!$BV$2:$BV$18)+SUMSQ(Attributs!$BW$2:$BW$18)))),0)</f>
        <v/>
      </c>
      <c r="AM63" s="2">
        <f>IFERROR((SUMPRODUCT(Attributs!$DT$2:$DT$18,Attributs!$BX$2:$BX$18)+SUMPRODUCT(Attributs!$DU$2:$DU$18,Attributs!$BY$2:$BY$18))/((SQRT(SUMSQ(Attributs!$DT$2:$DT$18)+SUMSQ(Attributs!$DU$2:$DU$18)))*(SQRT(SUMSQ(Attributs!$BX$2:$BX$18)+SUMSQ(Attributs!$BY$2:$BY$18)))),0)</f>
        <v/>
      </c>
      <c r="AN63" s="2">
        <f>IFERROR((SUMPRODUCT(Attributs!$DT$2:$DT$18,Attributs!$BZ$2:$BZ$18)+SUMPRODUCT(Attributs!$DU$2:$DU$18,Attributs!$CA$2:$CA$18))/((SQRT(SUMSQ(Attributs!$DT$2:$DT$18)+SUMSQ(Attributs!$DU$2:$DU$18)))*(SQRT(SUMSQ(Attributs!$BZ$2:$BZ$18)+SUMSQ(Attributs!$CA$2:$CA$18)))),0)</f>
        <v/>
      </c>
      <c r="AO63" s="2">
        <f>IFERROR((SUMPRODUCT(Attributs!$DT$2:$DT$18,Attributs!$CB$2:$CB$18)+SUMPRODUCT(Attributs!$DU$2:$DU$18,Attributs!$CC$2:$CC$18))/((SQRT(SUMSQ(Attributs!$DT$2:$DT$18)+SUMSQ(Attributs!$DU$2:$DU$18)))*(SQRT(SUMSQ(Attributs!$CB$2:$CB$18)+SUMSQ(Attributs!$CC$2:$CC$18)))),0)</f>
        <v/>
      </c>
      <c r="AP63" s="2">
        <f>IFERROR((SUMPRODUCT(Attributs!$DT$2:$DT$18,Attributs!$CD$2:$CD$18)+SUMPRODUCT(Attributs!$DU$2:$DU$18,Attributs!$CE$2:$CE$18))/((SQRT(SUMSQ(Attributs!$DT$2:$DT$18)+SUMSQ(Attributs!$DU$2:$DU$18)))*(SQRT(SUMSQ(Attributs!$CD$2:$CD$18)+SUMSQ(Attributs!$CE$2:$CE$18)))),0)</f>
        <v/>
      </c>
      <c r="AQ63" s="2">
        <f>IFERROR((SUMPRODUCT(Attributs!$DT$2:$DT$18,Attributs!$CF$2:$CF$18)+SUMPRODUCT(Attributs!$DU$2:$DU$18,Attributs!$CG$2:$CG$18))/((SQRT(SUMSQ(Attributs!$DT$2:$DT$18)+SUMSQ(Attributs!$DU$2:$DU$18)))*(SQRT(SUMSQ(Attributs!$CF$2:$CF$18)+SUMSQ(Attributs!$CG$2:$CG$18)))),0)</f>
        <v/>
      </c>
      <c r="AR63" s="2">
        <f>IFERROR((SUMPRODUCT(Attributs!$DT$2:$DT$18,Attributs!$CH$2:$CH$18)+SUMPRODUCT(Attributs!$DU$2:$DU$18,Attributs!$CI$2:$CI$18))/((SQRT(SUMSQ(Attributs!$DT$2:$DT$18)+SUMSQ(Attributs!$DU$2:$DU$18)))*(SQRT(SUMSQ(Attributs!$CH$2:$CH$18)+SUMSQ(Attributs!$CI$2:$CI$18)))),0)</f>
        <v/>
      </c>
      <c r="AS63" s="2">
        <f>IFERROR((SUMPRODUCT(Attributs!$DT$2:$DT$18,Attributs!$CJ$2:$CJ$18)+SUMPRODUCT(Attributs!$DU$2:$DU$18,Attributs!$CK$2:$CK$18))/((SQRT(SUMSQ(Attributs!$DT$2:$DT$18)+SUMSQ(Attributs!$DU$2:$DU$18)))*(SQRT(SUMSQ(Attributs!$CJ$2:$CJ$18)+SUMSQ(Attributs!$CK$2:$CK$18)))),0)</f>
        <v/>
      </c>
      <c r="AT63" s="2">
        <f>IFERROR((SUMPRODUCT(Attributs!$DT$2:$DT$18,Attributs!$CL$2:$CL$18)+SUMPRODUCT(Attributs!$DU$2:$DU$18,Attributs!$CM$2:$CM$18))/((SQRT(SUMSQ(Attributs!$DT$2:$DT$18)+SUMSQ(Attributs!$DU$2:$DU$18)))*(SQRT(SUMSQ(Attributs!$CL$2:$CL$18)+SUMSQ(Attributs!$CM$2:$CM$18)))),0)</f>
        <v/>
      </c>
      <c r="AU63" s="2">
        <f>IFERROR((SUMPRODUCT(Attributs!$DT$2:$DT$18,Attributs!$CN$2:$CN$18)+SUMPRODUCT(Attributs!$DU$2:$DU$18,Attributs!$CO$2:$CO$18))/((SQRT(SUMSQ(Attributs!$DT$2:$DT$18)+SUMSQ(Attributs!$DU$2:$DU$18)))*(SQRT(SUMSQ(Attributs!$CN$2:$CN$18)+SUMSQ(Attributs!$CO$2:$CO$18)))),0)</f>
        <v/>
      </c>
      <c r="AV63" s="2">
        <f>IFERROR((SUMPRODUCT(Attributs!$DT$2:$DT$18,Attributs!$CP$2:$CP$18)+SUMPRODUCT(Attributs!$DU$2:$DU$18,Attributs!$CQ$2:$CQ$18))/((SQRT(SUMSQ(Attributs!$DT$2:$DT$18)+SUMSQ(Attributs!$DU$2:$DU$18)))*(SQRT(SUMSQ(Attributs!$CP$2:$CP$18)+SUMSQ(Attributs!$CQ$2:$CQ$18)))),0)</f>
        <v/>
      </c>
      <c r="AW63" s="2">
        <f>IFERROR((SUMPRODUCT(Attributs!$DT$2:$DT$18,Attributs!$CR$2:$CR$18)+SUMPRODUCT(Attributs!$DU$2:$DU$18,Attributs!$CS$2:$CS$18))/((SQRT(SUMSQ(Attributs!$DT$2:$DT$18)+SUMSQ(Attributs!$DU$2:$DU$18)))*(SQRT(SUMSQ(Attributs!$CR$2:$CR$18)+SUMSQ(Attributs!$CS$2:$CS$18)))),0)</f>
        <v/>
      </c>
      <c r="AX63" s="2">
        <f>IFERROR((SUMPRODUCT(Attributs!$DT$2:$DT$18,Attributs!$CT$2:$CT$18)+SUMPRODUCT(Attributs!$DU$2:$DU$18,Attributs!$CU$2:$CU$18))/((SQRT(SUMSQ(Attributs!$DT$2:$DT$18)+SUMSQ(Attributs!$DU$2:$DU$18)))*(SQRT(SUMSQ(Attributs!$CT$2:$CT$18)+SUMSQ(Attributs!$CU$2:$CU$18)))),0)</f>
        <v/>
      </c>
      <c r="AY63" s="2">
        <f>IFERROR((SUMPRODUCT(Attributs!$DT$2:$DT$18,Attributs!$CV$2:$CV$18)+SUMPRODUCT(Attributs!$DU$2:$DU$18,Attributs!$CW$2:$CW$18))/((SQRT(SUMSQ(Attributs!$DT$2:$DT$18)+SUMSQ(Attributs!$DU$2:$DU$18)))*(SQRT(SUMSQ(Attributs!$CV$2:$CV$18)+SUMSQ(Attributs!$CW$2:$CW$18)))),0)</f>
        <v/>
      </c>
      <c r="AZ63" s="2">
        <f>IFERROR((SUMPRODUCT(Attributs!$DT$2:$DT$18,Attributs!$CX$2:$CX$18)+SUMPRODUCT(Attributs!$DU$2:$DU$18,Attributs!$CY$2:$CY$18))/((SQRT(SUMSQ(Attributs!$DT$2:$DT$18)+SUMSQ(Attributs!$DU$2:$DU$18)))*(SQRT(SUMSQ(Attributs!$CX$2:$CX$18)+SUMSQ(Attributs!$CY$2:$CY$18)))),0)</f>
        <v/>
      </c>
      <c r="BA63" s="2">
        <f>IFERROR((SUMPRODUCT(Attributs!$DT$2:$DT$18,Attributs!$CZ$2:$CZ$18)+SUMPRODUCT(Attributs!$DU$2:$DU$18,Attributs!$DA$2:$DA$18))/((SQRT(SUMSQ(Attributs!$DT$2:$DT$18)+SUMSQ(Attributs!$DU$2:$DU$18)))*(SQRT(SUMSQ(Attributs!$CZ$2:$CZ$18)+SUMSQ(Attributs!$DA$2:$DA$18)))),0)</f>
        <v/>
      </c>
      <c r="BB63" s="2">
        <f>IFERROR((SUMPRODUCT(Attributs!$DT$2:$DT$18,Attributs!$DB$2:$DB$18)+SUMPRODUCT(Attributs!$DU$2:$DU$18,Attributs!$DC$2:$DC$18))/((SQRT(SUMSQ(Attributs!$DT$2:$DT$18)+SUMSQ(Attributs!$DU$2:$DU$18)))*(SQRT(SUMSQ(Attributs!$DB$2:$DB$18)+SUMSQ(Attributs!$DC$2:$DC$18)))),0)</f>
        <v/>
      </c>
      <c r="BC63" s="2">
        <f>IFERROR((SUMPRODUCT(Attributs!$DT$2:$DT$18,Attributs!$DD$2:$DD$18)+SUMPRODUCT(Attributs!$DU$2:$DU$18,Attributs!$DE$2:$DE$18))/((SQRT(SUMSQ(Attributs!$DT$2:$DT$18)+SUMSQ(Attributs!$DU$2:$DU$18)))*(SQRT(SUMSQ(Attributs!$DD$2:$DD$18)+SUMSQ(Attributs!$DE$2:$DE$18)))),0)</f>
        <v/>
      </c>
      <c r="BD63" s="2">
        <f>IFERROR((SUMPRODUCT(Attributs!$DT$2:$DT$18,Attributs!$DF$2:$DF$18)+SUMPRODUCT(Attributs!$DU$2:$DU$18,Attributs!$DG$2:$DG$18))/((SQRT(SUMSQ(Attributs!$DT$2:$DT$18)+SUMSQ(Attributs!$DU$2:$DU$18)))*(SQRT(SUMSQ(Attributs!$DF$2:$DF$18)+SUMSQ(Attributs!$DG$2:$DG$18)))),0)</f>
        <v/>
      </c>
      <c r="BE63" s="2">
        <f>IFERROR((SUMPRODUCT(Attributs!$DT$2:$DT$18,Attributs!$DH$2:$DH$18)+SUMPRODUCT(Attributs!$DU$2:$DU$18,Attributs!$DI$2:$DI$18))/((SQRT(SUMSQ(Attributs!$DT$2:$DT$18)+SUMSQ(Attributs!$DU$2:$DU$18)))*(SQRT(SUMSQ(Attributs!$DH$2:$DH$18)+SUMSQ(Attributs!$DI$2:$DI$18)))),0)</f>
        <v/>
      </c>
      <c r="BF63" s="2">
        <f>IFERROR((SUMPRODUCT(Attributs!$DT$2:$DT$18,Attributs!$DJ$2:$DJ$18)+SUMPRODUCT(Attributs!$DU$2:$DU$18,Attributs!$DK$2:$DK$18))/((SQRT(SUMSQ(Attributs!$DT$2:$DT$18)+SUMSQ(Attributs!$DU$2:$DU$18)))*(SQRT(SUMSQ(Attributs!$DJ$2:$DJ$18)+SUMSQ(Attributs!$DK$2:$DK$18)))),0)</f>
        <v/>
      </c>
      <c r="BG63" s="2">
        <f>IFERROR((SUMPRODUCT(Attributs!$DT$2:$DT$18,Attributs!$DL$2:$DL$18)+SUMPRODUCT(Attributs!$DU$2:$DU$18,Attributs!$DM$2:$DM$18))/((SQRT(SUMSQ(Attributs!$DT$2:$DT$18)+SUMSQ(Attributs!$DU$2:$DU$18)))*(SQRT(SUMSQ(Attributs!$DL$2:$DL$18)+SUMSQ(Attributs!$DM$2:$DM$18)))),0)</f>
        <v/>
      </c>
      <c r="BH63" s="2">
        <f>IFERROR((SUMPRODUCT(Attributs!$DT$2:$DT$18,Attributs!$DN$2:$DN$18)+SUMPRODUCT(Attributs!$DU$2:$DU$18,Attributs!$DO$2:$DO$18))/((SQRT(SUMSQ(Attributs!$DT$2:$DT$18)+SUMSQ(Attributs!$DU$2:$DU$18)))*(SQRT(SUMSQ(Attributs!$DN$2:$DN$18)+SUMSQ(Attributs!$DO$2:$DO$18)))),0)</f>
        <v/>
      </c>
      <c r="BI63" s="2">
        <f>IFERROR((SUMPRODUCT(Attributs!$DT$2:$DT$18,Attributs!$DP$2:$DP$18)+SUMPRODUCT(Attributs!$DU$2:$DU$18,Attributs!$DQ$2:$DQ$18))/((SQRT(SUMSQ(Attributs!$DT$2:$DT$18)+SUMSQ(Attributs!$DU$2:$DU$18)))*(SQRT(SUMSQ(Attributs!$DP$2:$DP$18)+SUMSQ(Attributs!$DQ$2:$DQ$18)))),0)</f>
        <v/>
      </c>
      <c r="BJ63" s="2">
        <f>IFERROR((SUMPRODUCT(Attributs!$DT$2:$DT$18,Attributs!$DR$2:$DR$18)+SUMPRODUCT(Attributs!$DU$2:$DU$18,Attributs!$DS$2:$DS$18))/((SQRT(SUMSQ(Attributs!$DT$2:$DT$18)+SUMSQ(Attributs!$DU$2:$DU$18)))*(SQRT(SUMSQ(Attributs!$DR$2:$DR$18)+SUMSQ(Attributs!$DS$2:$DS$18)))),0)</f>
        <v/>
      </c>
      <c r="BK63" s="2">
        <f>IFERROR((SUMPRODUCT(Attributs!$DT$2:$DT$18,Attributs!$DT$2:$DT$18)+SUMPRODUCT(Attributs!$DU$2:$DU$18,Attributs!$DU$2:$DU$18))/((SQRT(SUMSQ(Attributs!$DT$2:$DT$18)+SUMSQ(Attributs!$DU$2:$DU$18)))*(SQRT(SUMSQ(Attributs!$DT$2:$DT$18)+SUMSQ(Attributs!$DU$2:$DU$18)))),0)</f>
        <v/>
      </c>
      <c r="BL63" s="2">
        <f>IFERROR((SUMPRODUCT(Attributs!$DT$2:$DT$18,Attributs!$DV$2:$DV$18)+SUMPRODUCT(Attributs!$DU$2:$DU$18,Attributs!$DW$2:$DW$18))/((SQRT(SUMSQ(Attributs!$DT$2:$DT$18)+SUMSQ(Attributs!$DU$2:$DU$18)))*(SQRT(SUMSQ(Attributs!$DV$2:$DV$18)+SUMSQ(Attributs!$DW$2:$DW$18)))),0)</f>
        <v/>
      </c>
    </row>
    <row r="64">
      <c r="A64" s="3" t="inlineStr">
        <is>
          <t>SE_neo4j.Tags.excerptpostid</t>
        </is>
      </c>
      <c r="B64" s="2">
        <f>IFERROR((SUMPRODUCT(Attributs!$DV$2:$DV$18,Attributs!$B$2:$B$18)+SUMPRODUCT(Attributs!$DW$2:$DW$18,Attributs!$C$2:$C$18))/((SQRT(SUMSQ(Attributs!$DV$2:$DV$18)+SUMSQ(Attributs!$DW$2:$DW$18)))*(SQRT(SUMSQ(Attributs!$B$2:$B$18)+SUMSQ(Attributs!$C$2:$C$18)))),0)</f>
        <v/>
      </c>
      <c r="C64" s="2">
        <f>IFERROR((SUMPRODUCT(Attributs!$DV$2:$DV$18,Attributs!$D$2:$D$18)+SUMPRODUCT(Attributs!$DW$2:$DW$18,Attributs!$E$2:$E$18))/((SQRT(SUMSQ(Attributs!$DV$2:$DV$18)+SUMSQ(Attributs!$DW$2:$DW$18)))*(SQRT(SUMSQ(Attributs!$D$2:$D$18)+SUMSQ(Attributs!$E$2:$E$18)))),0)</f>
        <v/>
      </c>
      <c r="D64" s="2">
        <f>IFERROR((SUMPRODUCT(Attributs!$DV$2:$DV$18,Attributs!$F$2:$F$18)+SUMPRODUCT(Attributs!$DW$2:$DW$18,Attributs!$G$2:$G$18))/((SQRT(SUMSQ(Attributs!$DV$2:$DV$18)+SUMSQ(Attributs!$DW$2:$DW$18)))*(SQRT(SUMSQ(Attributs!$F$2:$F$18)+SUMSQ(Attributs!$G$2:$G$18)))),0)</f>
        <v/>
      </c>
      <c r="E64" s="2">
        <f>IFERROR((SUMPRODUCT(Attributs!$DV$2:$DV$18,Attributs!$H$2:$H$18)+SUMPRODUCT(Attributs!$DW$2:$DW$18,Attributs!$I$2:$I$18))/((SQRT(SUMSQ(Attributs!$DV$2:$DV$18)+SUMSQ(Attributs!$DW$2:$DW$18)))*(SQRT(SUMSQ(Attributs!$H$2:$H$18)+SUMSQ(Attributs!$I$2:$I$18)))),0)</f>
        <v/>
      </c>
      <c r="F64" s="2">
        <f>IFERROR((SUMPRODUCT(Attributs!$DV$2:$DV$18,Attributs!$J$2:$J$18)+SUMPRODUCT(Attributs!$DW$2:$DW$18,Attributs!$K$2:$K$18))/((SQRT(SUMSQ(Attributs!$DV$2:$DV$18)+SUMSQ(Attributs!$DW$2:$DW$18)))*(SQRT(SUMSQ(Attributs!$J$2:$J$18)+SUMSQ(Attributs!$K$2:$K$18)))),0)</f>
        <v/>
      </c>
      <c r="G64" s="2">
        <f>IFERROR((SUMPRODUCT(Attributs!$DV$2:$DV$18,Attributs!$L$2:$L$18)+SUMPRODUCT(Attributs!$DW$2:$DW$18,Attributs!$M$2:$M$18))/((SQRT(SUMSQ(Attributs!$DV$2:$DV$18)+SUMSQ(Attributs!$DW$2:$DW$18)))*(SQRT(SUMSQ(Attributs!$L$2:$L$18)+SUMSQ(Attributs!$M$2:$M$18)))),0)</f>
        <v/>
      </c>
      <c r="H64" s="2">
        <f>IFERROR((SUMPRODUCT(Attributs!$DV$2:$DV$18,Attributs!$N$2:$N$18)+SUMPRODUCT(Attributs!$DW$2:$DW$18,Attributs!$O$2:$O$18))/((SQRT(SUMSQ(Attributs!$DV$2:$DV$18)+SUMSQ(Attributs!$DW$2:$DW$18)))*(SQRT(SUMSQ(Attributs!$N$2:$N$18)+SUMSQ(Attributs!$O$2:$O$18)))),0)</f>
        <v/>
      </c>
      <c r="I64" s="2">
        <f>IFERROR((SUMPRODUCT(Attributs!$DV$2:$DV$18,Attributs!$P$2:$P$18)+SUMPRODUCT(Attributs!$DW$2:$DW$18,Attributs!$Q$2:$Q$18))/((SQRT(SUMSQ(Attributs!$DV$2:$DV$18)+SUMSQ(Attributs!$DW$2:$DW$18)))*(SQRT(SUMSQ(Attributs!$P$2:$P$18)+SUMSQ(Attributs!$Q$2:$Q$18)))),0)</f>
        <v/>
      </c>
      <c r="J64" s="2">
        <f>IFERROR((SUMPRODUCT(Attributs!$DV$2:$DV$18,Attributs!$R$2:$R$18)+SUMPRODUCT(Attributs!$DW$2:$DW$18,Attributs!$S$2:$S$18))/((SQRT(SUMSQ(Attributs!$DV$2:$DV$18)+SUMSQ(Attributs!$DW$2:$DW$18)))*(SQRT(SUMSQ(Attributs!$R$2:$R$18)+SUMSQ(Attributs!$S$2:$S$18)))),0)</f>
        <v/>
      </c>
      <c r="K64" s="2">
        <f>IFERROR((SUMPRODUCT(Attributs!$DV$2:$DV$18,Attributs!$T$2:$T$18)+SUMPRODUCT(Attributs!$DW$2:$DW$18,Attributs!$U$2:$U$18))/((SQRT(SUMSQ(Attributs!$DV$2:$DV$18)+SUMSQ(Attributs!$DW$2:$DW$18)))*(SQRT(SUMSQ(Attributs!$T$2:$T$18)+SUMSQ(Attributs!$U$2:$U$18)))),0)</f>
        <v/>
      </c>
      <c r="L64" s="2">
        <f>IFERROR((SUMPRODUCT(Attributs!$DV$2:$DV$18,Attributs!$V$2:$V$18)+SUMPRODUCT(Attributs!$DW$2:$DW$18,Attributs!$W$2:$W$18))/((SQRT(SUMSQ(Attributs!$DV$2:$DV$18)+SUMSQ(Attributs!$DW$2:$DW$18)))*(SQRT(SUMSQ(Attributs!$V$2:$V$18)+SUMSQ(Attributs!$W$2:$W$18)))),0)</f>
        <v/>
      </c>
      <c r="M64" s="2">
        <f>IFERROR((SUMPRODUCT(Attributs!$DV$2:$DV$18,Attributs!$X$2:$X$18)+SUMPRODUCT(Attributs!$DW$2:$DW$18,Attributs!$Y$2:$Y$18))/((SQRT(SUMSQ(Attributs!$DV$2:$DV$18)+SUMSQ(Attributs!$DW$2:$DW$18)))*(SQRT(SUMSQ(Attributs!$X$2:$X$18)+SUMSQ(Attributs!$Y$2:$Y$18)))),0)</f>
        <v/>
      </c>
      <c r="N64" s="2">
        <f>IFERROR((SUMPRODUCT(Attributs!$DV$2:$DV$18,Attributs!$Z$2:$Z$18)+SUMPRODUCT(Attributs!$DW$2:$DW$18,Attributs!$AA$2:$AA$18))/((SQRT(SUMSQ(Attributs!$DV$2:$DV$18)+SUMSQ(Attributs!$DW$2:$DW$18)))*(SQRT(SUMSQ(Attributs!$Z$2:$Z$18)+SUMSQ(Attributs!$AA$2:$AA$18)))),0)</f>
        <v/>
      </c>
      <c r="O64" s="2">
        <f>IFERROR((SUMPRODUCT(Attributs!$DV$2:$DV$18,Attributs!$AB$2:$AB$18)+SUMPRODUCT(Attributs!$DW$2:$DW$18,Attributs!$AC$2:$AC$18))/((SQRT(SUMSQ(Attributs!$DV$2:$DV$18)+SUMSQ(Attributs!$DW$2:$DW$18)))*(SQRT(SUMSQ(Attributs!$AB$2:$AB$18)+SUMSQ(Attributs!$AC$2:$AC$18)))),0)</f>
        <v/>
      </c>
      <c r="P64" s="2">
        <f>IFERROR((SUMPRODUCT(Attributs!$DV$2:$DV$18,Attributs!$AD$2:$AD$18)+SUMPRODUCT(Attributs!$DW$2:$DW$18,Attributs!$AE$2:$AE$18))/((SQRT(SUMSQ(Attributs!$DV$2:$DV$18)+SUMSQ(Attributs!$DW$2:$DW$18)))*(SQRT(SUMSQ(Attributs!$AD$2:$AD$18)+SUMSQ(Attributs!$AE$2:$AE$18)))),0)</f>
        <v/>
      </c>
      <c r="Q64" s="2">
        <f>IFERROR((SUMPRODUCT(Attributs!$DV$2:$DV$18,Attributs!$AF$2:$AF$18)+SUMPRODUCT(Attributs!$DW$2:$DW$18,Attributs!$AG$2:$AG$18))/((SQRT(SUMSQ(Attributs!$DV$2:$DV$18)+SUMSQ(Attributs!$DW$2:$DW$18)))*(SQRT(SUMSQ(Attributs!$AF$2:$AF$18)+SUMSQ(Attributs!$AG$2:$AG$18)))),0)</f>
        <v/>
      </c>
      <c r="R64" s="2">
        <f>IFERROR((SUMPRODUCT(Attributs!$DV$2:$DV$18,Attributs!$AH$2:$AH$18)+SUMPRODUCT(Attributs!$DW$2:$DW$18,Attributs!$AI$2:$AI$18))/((SQRT(SUMSQ(Attributs!$DV$2:$DV$18)+SUMSQ(Attributs!$DW$2:$DW$18)))*(SQRT(SUMSQ(Attributs!$AH$2:$AH$18)+SUMSQ(Attributs!$AI$2:$AI$18)))),0)</f>
        <v/>
      </c>
      <c r="S64" s="2">
        <f>IFERROR((SUMPRODUCT(Attributs!$DV$2:$DV$18,Attributs!$AJ$2:$AJ$18)+SUMPRODUCT(Attributs!$DW$2:$DW$18,Attributs!$AK$2:$AK$18))/((SQRT(SUMSQ(Attributs!$DV$2:$DV$18)+SUMSQ(Attributs!$DW$2:$DW$18)))*(SQRT(SUMSQ(Attributs!$AJ$2:$AJ$18)+SUMSQ(Attributs!$AK$2:$AK$18)))),0)</f>
        <v/>
      </c>
      <c r="T64" s="2">
        <f>IFERROR((SUMPRODUCT(Attributs!$DV$2:$DV$18,Attributs!$AL$2:$AL$18)+SUMPRODUCT(Attributs!$DW$2:$DW$18,Attributs!$AM$2:$AM$18))/((SQRT(SUMSQ(Attributs!$DV$2:$DV$18)+SUMSQ(Attributs!$DW$2:$DW$18)))*(SQRT(SUMSQ(Attributs!$AL$2:$AL$18)+SUMSQ(Attributs!$AM$2:$AM$18)))),0)</f>
        <v/>
      </c>
      <c r="U64" s="2">
        <f>IFERROR((SUMPRODUCT(Attributs!$DV$2:$DV$18,Attributs!$AN$2:$AN$18)+SUMPRODUCT(Attributs!$DW$2:$DW$18,Attributs!$AO$2:$AO$18))/((SQRT(SUMSQ(Attributs!$DV$2:$DV$18)+SUMSQ(Attributs!$DW$2:$DW$18)))*(SQRT(SUMSQ(Attributs!$AN$2:$AN$18)+SUMSQ(Attributs!$AO$2:$AO$18)))),0)</f>
        <v/>
      </c>
      <c r="V64" s="2">
        <f>IFERROR((SUMPRODUCT(Attributs!$DV$2:$DV$18,Attributs!$AP$2:$AP$18)+SUMPRODUCT(Attributs!$DW$2:$DW$18,Attributs!$AQ$2:$AQ$18))/((SQRT(SUMSQ(Attributs!$DV$2:$DV$18)+SUMSQ(Attributs!$DW$2:$DW$18)))*(SQRT(SUMSQ(Attributs!$AP$2:$AP$18)+SUMSQ(Attributs!$AQ$2:$AQ$18)))),0)</f>
        <v/>
      </c>
      <c r="W64" s="2">
        <f>IFERROR((SUMPRODUCT(Attributs!$DV$2:$DV$18,Attributs!$AR$2:$AR$18)+SUMPRODUCT(Attributs!$DW$2:$DW$18,Attributs!$AS$2:$AS$18))/((SQRT(SUMSQ(Attributs!$DV$2:$DV$18)+SUMSQ(Attributs!$DW$2:$DW$18)))*(SQRT(SUMSQ(Attributs!$AR$2:$AR$18)+SUMSQ(Attributs!$AS$2:$AS$18)))),0)</f>
        <v/>
      </c>
      <c r="X64" s="2">
        <f>IFERROR((SUMPRODUCT(Attributs!$DV$2:$DV$18,Attributs!$AT$2:$AT$18)+SUMPRODUCT(Attributs!$DW$2:$DW$18,Attributs!$AU$2:$AU$18))/((SQRT(SUMSQ(Attributs!$DV$2:$DV$18)+SUMSQ(Attributs!$DW$2:$DW$18)))*(SQRT(SUMSQ(Attributs!$AT$2:$AT$18)+SUMSQ(Attributs!$AU$2:$AU$18)))),0)</f>
        <v/>
      </c>
      <c r="Y64" s="2">
        <f>IFERROR((SUMPRODUCT(Attributs!$DV$2:$DV$18,Attributs!$AV$2:$AV$18)+SUMPRODUCT(Attributs!$DW$2:$DW$18,Attributs!$AW$2:$AW$18))/((SQRT(SUMSQ(Attributs!$DV$2:$DV$18)+SUMSQ(Attributs!$DW$2:$DW$18)))*(SQRT(SUMSQ(Attributs!$AV$2:$AV$18)+SUMSQ(Attributs!$AW$2:$AW$18)))),0)</f>
        <v/>
      </c>
      <c r="Z64" s="2">
        <f>IFERROR((SUMPRODUCT(Attributs!$DV$2:$DV$18,Attributs!$AX$2:$AX$18)+SUMPRODUCT(Attributs!$DW$2:$DW$18,Attributs!$AY$2:$AY$18))/((SQRT(SUMSQ(Attributs!$DV$2:$DV$18)+SUMSQ(Attributs!$DW$2:$DW$18)))*(SQRT(SUMSQ(Attributs!$AX$2:$AX$18)+SUMSQ(Attributs!$AY$2:$AY$18)))),0)</f>
        <v/>
      </c>
      <c r="AA64" s="2">
        <f>IFERROR((SUMPRODUCT(Attributs!$DV$2:$DV$18,Attributs!$AZ$2:$AZ$18)+SUMPRODUCT(Attributs!$DW$2:$DW$18,Attributs!$BA$2:$BA$18))/((SQRT(SUMSQ(Attributs!$DV$2:$DV$18)+SUMSQ(Attributs!$DW$2:$DW$18)))*(SQRT(SUMSQ(Attributs!$AZ$2:$AZ$18)+SUMSQ(Attributs!$BA$2:$BA$18)))),0)</f>
        <v/>
      </c>
      <c r="AB64" s="2">
        <f>IFERROR((SUMPRODUCT(Attributs!$DV$2:$DV$18,Attributs!$BB$2:$BB$18)+SUMPRODUCT(Attributs!$DW$2:$DW$18,Attributs!$BC$2:$BC$18))/((SQRT(SUMSQ(Attributs!$DV$2:$DV$18)+SUMSQ(Attributs!$DW$2:$DW$18)))*(SQRT(SUMSQ(Attributs!$BB$2:$BB$18)+SUMSQ(Attributs!$BC$2:$BC$18)))),0)</f>
        <v/>
      </c>
      <c r="AC64" s="2">
        <f>IFERROR((SUMPRODUCT(Attributs!$DV$2:$DV$18,Attributs!$BD$2:$BD$18)+SUMPRODUCT(Attributs!$DW$2:$DW$18,Attributs!$BE$2:$BE$18))/((SQRT(SUMSQ(Attributs!$DV$2:$DV$18)+SUMSQ(Attributs!$DW$2:$DW$18)))*(SQRT(SUMSQ(Attributs!$BD$2:$BD$18)+SUMSQ(Attributs!$BE$2:$BE$18)))),0)</f>
        <v/>
      </c>
      <c r="AD64" s="2">
        <f>IFERROR((SUMPRODUCT(Attributs!$DV$2:$DV$18,Attributs!$BF$2:$BF$18)+SUMPRODUCT(Attributs!$DW$2:$DW$18,Attributs!$BG$2:$BG$18))/((SQRT(SUMSQ(Attributs!$DV$2:$DV$18)+SUMSQ(Attributs!$DW$2:$DW$18)))*(SQRT(SUMSQ(Attributs!$BF$2:$BF$18)+SUMSQ(Attributs!$BG$2:$BG$18)))),0)</f>
        <v/>
      </c>
      <c r="AE64" s="2">
        <f>IFERROR((SUMPRODUCT(Attributs!$DV$2:$DV$18,Attributs!$BH$2:$BH$18)+SUMPRODUCT(Attributs!$DW$2:$DW$18,Attributs!$BI$2:$BI$18))/((SQRT(SUMSQ(Attributs!$DV$2:$DV$18)+SUMSQ(Attributs!$DW$2:$DW$18)))*(SQRT(SUMSQ(Attributs!$BH$2:$BH$18)+SUMSQ(Attributs!$BI$2:$BI$18)))),0)</f>
        <v/>
      </c>
      <c r="AF64" s="2">
        <f>IFERROR((SUMPRODUCT(Attributs!$DV$2:$DV$18,Attributs!$BJ$2:$BJ$18)+SUMPRODUCT(Attributs!$DW$2:$DW$18,Attributs!$BK$2:$BK$18))/((SQRT(SUMSQ(Attributs!$DV$2:$DV$18)+SUMSQ(Attributs!$DW$2:$DW$18)))*(SQRT(SUMSQ(Attributs!$BJ$2:$BJ$18)+SUMSQ(Attributs!$BK$2:$BK$18)))),0)</f>
        <v/>
      </c>
      <c r="AG64" s="2">
        <f>IFERROR((SUMPRODUCT(Attributs!$DV$2:$DV$18,Attributs!$BL$2:$BL$18)+SUMPRODUCT(Attributs!$DW$2:$DW$18,Attributs!$BM$2:$BM$18))/((SQRT(SUMSQ(Attributs!$DV$2:$DV$18)+SUMSQ(Attributs!$DW$2:$DW$18)))*(SQRT(SUMSQ(Attributs!$BL$2:$BL$18)+SUMSQ(Attributs!$BM$2:$BM$18)))),0)</f>
        <v/>
      </c>
      <c r="AH64" s="2">
        <f>IFERROR((SUMPRODUCT(Attributs!$DV$2:$DV$18,Attributs!$BN$2:$BN$18)+SUMPRODUCT(Attributs!$DW$2:$DW$18,Attributs!$BO$2:$BO$18))/((SQRT(SUMSQ(Attributs!$DV$2:$DV$18)+SUMSQ(Attributs!$DW$2:$DW$18)))*(SQRT(SUMSQ(Attributs!$BN$2:$BN$18)+SUMSQ(Attributs!$BO$2:$BO$18)))),0)</f>
        <v/>
      </c>
      <c r="AI64" s="2">
        <f>IFERROR((SUMPRODUCT(Attributs!$DV$2:$DV$18,Attributs!$BP$2:$BP$18)+SUMPRODUCT(Attributs!$DW$2:$DW$18,Attributs!$BQ$2:$BQ$18))/((SQRT(SUMSQ(Attributs!$DV$2:$DV$18)+SUMSQ(Attributs!$DW$2:$DW$18)))*(SQRT(SUMSQ(Attributs!$BP$2:$BP$18)+SUMSQ(Attributs!$BQ$2:$BQ$18)))),0)</f>
        <v/>
      </c>
      <c r="AJ64" s="2">
        <f>IFERROR((SUMPRODUCT(Attributs!$DV$2:$DV$18,Attributs!$BR$2:$BR$18)+SUMPRODUCT(Attributs!$DW$2:$DW$18,Attributs!$BS$2:$BS$18))/((SQRT(SUMSQ(Attributs!$DV$2:$DV$18)+SUMSQ(Attributs!$DW$2:$DW$18)))*(SQRT(SUMSQ(Attributs!$BR$2:$BR$18)+SUMSQ(Attributs!$BS$2:$BS$18)))),0)</f>
        <v/>
      </c>
      <c r="AK64" s="2">
        <f>IFERROR((SUMPRODUCT(Attributs!$DV$2:$DV$18,Attributs!$BT$2:$BT$18)+SUMPRODUCT(Attributs!$DW$2:$DW$18,Attributs!$BU$2:$BU$18))/((SQRT(SUMSQ(Attributs!$DV$2:$DV$18)+SUMSQ(Attributs!$DW$2:$DW$18)))*(SQRT(SUMSQ(Attributs!$BT$2:$BT$18)+SUMSQ(Attributs!$BU$2:$BU$18)))),0)</f>
        <v/>
      </c>
      <c r="AL64" s="2">
        <f>IFERROR((SUMPRODUCT(Attributs!$DV$2:$DV$18,Attributs!$BV$2:$BV$18)+SUMPRODUCT(Attributs!$DW$2:$DW$18,Attributs!$BW$2:$BW$18))/((SQRT(SUMSQ(Attributs!$DV$2:$DV$18)+SUMSQ(Attributs!$DW$2:$DW$18)))*(SQRT(SUMSQ(Attributs!$BV$2:$BV$18)+SUMSQ(Attributs!$BW$2:$BW$18)))),0)</f>
        <v/>
      </c>
      <c r="AM64" s="2">
        <f>IFERROR((SUMPRODUCT(Attributs!$DV$2:$DV$18,Attributs!$BX$2:$BX$18)+SUMPRODUCT(Attributs!$DW$2:$DW$18,Attributs!$BY$2:$BY$18))/((SQRT(SUMSQ(Attributs!$DV$2:$DV$18)+SUMSQ(Attributs!$DW$2:$DW$18)))*(SQRT(SUMSQ(Attributs!$BX$2:$BX$18)+SUMSQ(Attributs!$BY$2:$BY$18)))),0)</f>
        <v/>
      </c>
      <c r="AN64" s="2">
        <f>IFERROR((SUMPRODUCT(Attributs!$DV$2:$DV$18,Attributs!$BZ$2:$BZ$18)+SUMPRODUCT(Attributs!$DW$2:$DW$18,Attributs!$CA$2:$CA$18))/((SQRT(SUMSQ(Attributs!$DV$2:$DV$18)+SUMSQ(Attributs!$DW$2:$DW$18)))*(SQRT(SUMSQ(Attributs!$BZ$2:$BZ$18)+SUMSQ(Attributs!$CA$2:$CA$18)))),0)</f>
        <v/>
      </c>
      <c r="AO64" s="2">
        <f>IFERROR((SUMPRODUCT(Attributs!$DV$2:$DV$18,Attributs!$CB$2:$CB$18)+SUMPRODUCT(Attributs!$DW$2:$DW$18,Attributs!$CC$2:$CC$18))/((SQRT(SUMSQ(Attributs!$DV$2:$DV$18)+SUMSQ(Attributs!$DW$2:$DW$18)))*(SQRT(SUMSQ(Attributs!$CB$2:$CB$18)+SUMSQ(Attributs!$CC$2:$CC$18)))),0)</f>
        <v/>
      </c>
      <c r="AP64" s="2">
        <f>IFERROR((SUMPRODUCT(Attributs!$DV$2:$DV$18,Attributs!$CD$2:$CD$18)+SUMPRODUCT(Attributs!$DW$2:$DW$18,Attributs!$CE$2:$CE$18))/((SQRT(SUMSQ(Attributs!$DV$2:$DV$18)+SUMSQ(Attributs!$DW$2:$DW$18)))*(SQRT(SUMSQ(Attributs!$CD$2:$CD$18)+SUMSQ(Attributs!$CE$2:$CE$18)))),0)</f>
        <v/>
      </c>
      <c r="AQ64" s="2">
        <f>IFERROR((SUMPRODUCT(Attributs!$DV$2:$DV$18,Attributs!$CF$2:$CF$18)+SUMPRODUCT(Attributs!$DW$2:$DW$18,Attributs!$CG$2:$CG$18))/((SQRT(SUMSQ(Attributs!$DV$2:$DV$18)+SUMSQ(Attributs!$DW$2:$DW$18)))*(SQRT(SUMSQ(Attributs!$CF$2:$CF$18)+SUMSQ(Attributs!$CG$2:$CG$18)))),0)</f>
        <v/>
      </c>
      <c r="AR64" s="2">
        <f>IFERROR((SUMPRODUCT(Attributs!$DV$2:$DV$18,Attributs!$CH$2:$CH$18)+SUMPRODUCT(Attributs!$DW$2:$DW$18,Attributs!$CI$2:$CI$18))/((SQRT(SUMSQ(Attributs!$DV$2:$DV$18)+SUMSQ(Attributs!$DW$2:$DW$18)))*(SQRT(SUMSQ(Attributs!$CH$2:$CH$18)+SUMSQ(Attributs!$CI$2:$CI$18)))),0)</f>
        <v/>
      </c>
      <c r="AS64" s="2">
        <f>IFERROR((SUMPRODUCT(Attributs!$DV$2:$DV$18,Attributs!$CJ$2:$CJ$18)+SUMPRODUCT(Attributs!$DW$2:$DW$18,Attributs!$CK$2:$CK$18))/((SQRT(SUMSQ(Attributs!$DV$2:$DV$18)+SUMSQ(Attributs!$DW$2:$DW$18)))*(SQRT(SUMSQ(Attributs!$CJ$2:$CJ$18)+SUMSQ(Attributs!$CK$2:$CK$18)))),0)</f>
        <v/>
      </c>
      <c r="AT64" s="2">
        <f>IFERROR((SUMPRODUCT(Attributs!$DV$2:$DV$18,Attributs!$CL$2:$CL$18)+SUMPRODUCT(Attributs!$DW$2:$DW$18,Attributs!$CM$2:$CM$18))/((SQRT(SUMSQ(Attributs!$DV$2:$DV$18)+SUMSQ(Attributs!$DW$2:$DW$18)))*(SQRT(SUMSQ(Attributs!$CL$2:$CL$18)+SUMSQ(Attributs!$CM$2:$CM$18)))),0)</f>
        <v/>
      </c>
      <c r="AU64" s="2">
        <f>IFERROR((SUMPRODUCT(Attributs!$DV$2:$DV$18,Attributs!$CN$2:$CN$18)+SUMPRODUCT(Attributs!$DW$2:$DW$18,Attributs!$CO$2:$CO$18))/((SQRT(SUMSQ(Attributs!$DV$2:$DV$18)+SUMSQ(Attributs!$DW$2:$DW$18)))*(SQRT(SUMSQ(Attributs!$CN$2:$CN$18)+SUMSQ(Attributs!$CO$2:$CO$18)))),0)</f>
        <v/>
      </c>
      <c r="AV64" s="2">
        <f>IFERROR((SUMPRODUCT(Attributs!$DV$2:$DV$18,Attributs!$CP$2:$CP$18)+SUMPRODUCT(Attributs!$DW$2:$DW$18,Attributs!$CQ$2:$CQ$18))/((SQRT(SUMSQ(Attributs!$DV$2:$DV$18)+SUMSQ(Attributs!$DW$2:$DW$18)))*(SQRT(SUMSQ(Attributs!$CP$2:$CP$18)+SUMSQ(Attributs!$CQ$2:$CQ$18)))),0)</f>
        <v/>
      </c>
      <c r="AW64" s="2">
        <f>IFERROR((SUMPRODUCT(Attributs!$DV$2:$DV$18,Attributs!$CR$2:$CR$18)+SUMPRODUCT(Attributs!$DW$2:$DW$18,Attributs!$CS$2:$CS$18))/((SQRT(SUMSQ(Attributs!$DV$2:$DV$18)+SUMSQ(Attributs!$DW$2:$DW$18)))*(SQRT(SUMSQ(Attributs!$CR$2:$CR$18)+SUMSQ(Attributs!$CS$2:$CS$18)))),0)</f>
        <v/>
      </c>
      <c r="AX64" s="2">
        <f>IFERROR((SUMPRODUCT(Attributs!$DV$2:$DV$18,Attributs!$CT$2:$CT$18)+SUMPRODUCT(Attributs!$DW$2:$DW$18,Attributs!$CU$2:$CU$18))/((SQRT(SUMSQ(Attributs!$DV$2:$DV$18)+SUMSQ(Attributs!$DW$2:$DW$18)))*(SQRT(SUMSQ(Attributs!$CT$2:$CT$18)+SUMSQ(Attributs!$CU$2:$CU$18)))),0)</f>
        <v/>
      </c>
      <c r="AY64" s="2">
        <f>IFERROR((SUMPRODUCT(Attributs!$DV$2:$DV$18,Attributs!$CV$2:$CV$18)+SUMPRODUCT(Attributs!$DW$2:$DW$18,Attributs!$CW$2:$CW$18))/((SQRT(SUMSQ(Attributs!$DV$2:$DV$18)+SUMSQ(Attributs!$DW$2:$DW$18)))*(SQRT(SUMSQ(Attributs!$CV$2:$CV$18)+SUMSQ(Attributs!$CW$2:$CW$18)))),0)</f>
        <v/>
      </c>
      <c r="AZ64" s="2">
        <f>IFERROR((SUMPRODUCT(Attributs!$DV$2:$DV$18,Attributs!$CX$2:$CX$18)+SUMPRODUCT(Attributs!$DW$2:$DW$18,Attributs!$CY$2:$CY$18))/((SQRT(SUMSQ(Attributs!$DV$2:$DV$18)+SUMSQ(Attributs!$DW$2:$DW$18)))*(SQRT(SUMSQ(Attributs!$CX$2:$CX$18)+SUMSQ(Attributs!$CY$2:$CY$18)))),0)</f>
        <v/>
      </c>
      <c r="BA64" s="2">
        <f>IFERROR((SUMPRODUCT(Attributs!$DV$2:$DV$18,Attributs!$CZ$2:$CZ$18)+SUMPRODUCT(Attributs!$DW$2:$DW$18,Attributs!$DA$2:$DA$18))/((SQRT(SUMSQ(Attributs!$DV$2:$DV$18)+SUMSQ(Attributs!$DW$2:$DW$18)))*(SQRT(SUMSQ(Attributs!$CZ$2:$CZ$18)+SUMSQ(Attributs!$DA$2:$DA$18)))),0)</f>
        <v/>
      </c>
      <c r="BB64" s="2">
        <f>IFERROR((SUMPRODUCT(Attributs!$DV$2:$DV$18,Attributs!$DB$2:$DB$18)+SUMPRODUCT(Attributs!$DW$2:$DW$18,Attributs!$DC$2:$DC$18))/((SQRT(SUMSQ(Attributs!$DV$2:$DV$18)+SUMSQ(Attributs!$DW$2:$DW$18)))*(SQRT(SUMSQ(Attributs!$DB$2:$DB$18)+SUMSQ(Attributs!$DC$2:$DC$18)))),0)</f>
        <v/>
      </c>
      <c r="BC64" s="2">
        <f>IFERROR((SUMPRODUCT(Attributs!$DV$2:$DV$18,Attributs!$DD$2:$DD$18)+SUMPRODUCT(Attributs!$DW$2:$DW$18,Attributs!$DE$2:$DE$18))/((SQRT(SUMSQ(Attributs!$DV$2:$DV$18)+SUMSQ(Attributs!$DW$2:$DW$18)))*(SQRT(SUMSQ(Attributs!$DD$2:$DD$18)+SUMSQ(Attributs!$DE$2:$DE$18)))),0)</f>
        <v/>
      </c>
      <c r="BD64" s="2">
        <f>IFERROR((SUMPRODUCT(Attributs!$DV$2:$DV$18,Attributs!$DF$2:$DF$18)+SUMPRODUCT(Attributs!$DW$2:$DW$18,Attributs!$DG$2:$DG$18))/((SQRT(SUMSQ(Attributs!$DV$2:$DV$18)+SUMSQ(Attributs!$DW$2:$DW$18)))*(SQRT(SUMSQ(Attributs!$DF$2:$DF$18)+SUMSQ(Attributs!$DG$2:$DG$18)))),0)</f>
        <v/>
      </c>
      <c r="BE64" s="2">
        <f>IFERROR((SUMPRODUCT(Attributs!$DV$2:$DV$18,Attributs!$DH$2:$DH$18)+SUMPRODUCT(Attributs!$DW$2:$DW$18,Attributs!$DI$2:$DI$18))/((SQRT(SUMSQ(Attributs!$DV$2:$DV$18)+SUMSQ(Attributs!$DW$2:$DW$18)))*(SQRT(SUMSQ(Attributs!$DH$2:$DH$18)+SUMSQ(Attributs!$DI$2:$DI$18)))),0)</f>
        <v/>
      </c>
      <c r="BF64" s="2">
        <f>IFERROR((SUMPRODUCT(Attributs!$DV$2:$DV$18,Attributs!$DJ$2:$DJ$18)+SUMPRODUCT(Attributs!$DW$2:$DW$18,Attributs!$DK$2:$DK$18))/((SQRT(SUMSQ(Attributs!$DV$2:$DV$18)+SUMSQ(Attributs!$DW$2:$DW$18)))*(SQRT(SUMSQ(Attributs!$DJ$2:$DJ$18)+SUMSQ(Attributs!$DK$2:$DK$18)))),0)</f>
        <v/>
      </c>
      <c r="BG64" s="2">
        <f>IFERROR((SUMPRODUCT(Attributs!$DV$2:$DV$18,Attributs!$DL$2:$DL$18)+SUMPRODUCT(Attributs!$DW$2:$DW$18,Attributs!$DM$2:$DM$18))/((SQRT(SUMSQ(Attributs!$DV$2:$DV$18)+SUMSQ(Attributs!$DW$2:$DW$18)))*(SQRT(SUMSQ(Attributs!$DL$2:$DL$18)+SUMSQ(Attributs!$DM$2:$DM$18)))),0)</f>
        <v/>
      </c>
      <c r="BH64" s="2">
        <f>IFERROR((SUMPRODUCT(Attributs!$DV$2:$DV$18,Attributs!$DN$2:$DN$18)+SUMPRODUCT(Attributs!$DW$2:$DW$18,Attributs!$DO$2:$DO$18))/((SQRT(SUMSQ(Attributs!$DV$2:$DV$18)+SUMSQ(Attributs!$DW$2:$DW$18)))*(SQRT(SUMSQ(Attributs!$DN$2:$DN$18)+SUMSQ(Attributs!$DO$2:$DO$18)))),0)</f>
        <v/>
      </c>
      <c r="BI64" s="2">
        <f>IFERROR((SUMPRODUCT(Attributs!$DV$2:$DV$18,Attributs!$DP$2:$DP$18)+SUMPRODUCT(Attributs!$DW$2:$DW$18,Attributs!$DQ$2:$DQ$18))/((SQRT(SUMSQ(Attributs!$DV$2:$DV$18)+SUMSQ(Attributs!$DW$2:$DW$18)))*(SQRT(SUMSQ(Attributs!$DP$2:$DP$18)+SUMSQ(Attributs!$DQ$2:$DQ$18)))),0)</f>
        <v/>
      </c>
      <c r="BJ64" s="2">
        <f>IFERROR((SUMPRODUCT(Attributs!$DV$2:$DV$18,Attributs!$DR$2:$DR$18)+SUMPRODUCT(Attributs!$DW$2:$DW$18,Attributs!$DS$2:$DS$18))/((SQRT(SUMSQ(Attributs!$DV$2:$DV$18)+SUMSQ(Attributs!$DW$2:$DW$18)))*(SQRT(SUMSQ(Attributs!$DR$2:$DR$18)+SUMSQ(Attributs!$DS$2:$DS$18)))),0)</f>
        <v/>
      </c>
      <c r="BK64" s="2">
        <f>IFERROR((SUMPRODUCT(Attributs!$DV$2:$DV$18,Attributs!$DT$2:$DT$18)+SUMPRODUCT(Attributs!$DW$2:$DW$18,Attributs!$DU$2:$DU$18))/((SQRT(SUMSQ(Attributs!$DV$2:$DV$18)+SUMSQ(Attributs!$DW$2:$DW$18)))*(SQRT(SUMSQ(Attributs!$DT$2:$DT$18)+SUMSQ(Attributs!$DU$2:$DU$18)))),0)</f>
        <v/>
      </c>
      <c r="BL64" s="2">
        <f>IFERROR((SUMPRODUCT(Attributs!$DV$2:$DV$18,Attributs!$DV$2:$DV$18)+SUMPRODUCT(Attributs!$DW$2:$DW$18,Attributs!$DW$2:$DW$18))/((SQRT(SUMSQ(Attributs!$DV$2:$DV$18)+SUMSQ(Attributs!$DW$2:$DW$18)))*(SQRT(SUMSQ(Attributs!$DV$2:$DV$18)+SUMSQ(Attributs!$DW$2:$DW$18)))),0)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OLAP Recommender -- Simulated Multi-Analyst Usage Log</t>
        </is>
      </c>
    </row>
    <row r="2">
      <c r="A2" s="5" t="inlineStr"/>
    </row>
    <row r="3">
      <c r="A3" s="5" t="inlineStr">
        <is>
          <t>Random seed: 42  |  Personas: 15  |  Sessions per persona: 4  |  Total sessions: 60  |  Total events: 308</t>
        </is>
      </c>
    </row>
    <row r="4">
      <c r="A4" s="5" t="inlineStr"/>
    </row>
    <row r="5">
      <c r="A5" s="5" t="inlineStr">
        <is>
          <t>Methodology (for paper Section 6.1):</t>
        </is>
      </c>
    </row>
    <row r="6">
      <c r="A6" s="5" t="inlineStr">
        <is>
          <t>This usage log was generated by a documented, seeded stochastic simulation of 15 analyst</t>
        </is>
      </c>
    </row>
    <row r="7">
      <c r="A7" s="5" t="inlineStr">
        <is>
          <t>personas (see persona_protocol.md), each with a fixed analytical intent (typical fact,</t>
        </is>
      </c>
    </row>
    <row r="8">
      <c r="A8" s="5" t="inlineStr">
        <is>
          <t>dimensions, measures, dimension parameters), run for 4 sessions each. At each session the</t>
        </is>
      </c>
    </row>
    <row r="9">
      <c r="A9" s="5" t="inlineStr">
        <is>
          <t>persona's typical fact is selected with 85% probability (15% alternate-fact exploration);</t>
        </is>
      </c>
    </row>
    <row r="10">
      <c r="A10" s="5" t="inlineStr">
        <is>
          <t>1..N dimensions/measures are sampled from the persona's typical pool (with 25% chance of</t>
        </is>
      </c>
    </row>
    <row r="11">
      <c r="A11" s="5" t="inlineStr">
        <is>
          <t>one out-of-pool 'exploration' dimension); dimension parameters are sampled per chosen</t>
        </is>
      </c>
    </row>
    <row r="12">
      <c r="A12" s="5" t="inlineStr">
        <is>
          <t>dimension; and a 10% chance of one extra exploratory attribute use is added per session.</t>
        </is>
      </c>
    </row>
    <row r="13">
      <c r="A13" s="5" t="inlineStr">
        <is>
          <t>Two additional near-empty analysts (COLD1, COLD2) are included with zero prior sessions,</t>
        </is>
      </c>
    </row>
    <row r="14">
      <c r="A14" s="5" t="inlineStr">
        <is>
          <t>used as the cold-start subset (Section 6.4).</t>
        </is>
      </c>
    </row>
    <row r="15">
      <c r="A15" s="5" t="inlineStr"/>
    </row>
    <row r="16">
      <c r="A16" s="5" t="inlineStr">
        <is>
          <t>Sheet structure:</t>
        </is>
      </c>
    </row>
    <row r="17">
      <c r="A17" s="5" t="inlineStr">
        <is>
          <t xml:space="preserve">  - SessionLog: raw event log, one row per (session, persona, item, role) selection.</t>
        </is>
      </c>
    </row>
    <row r="18">
      <c r="A18" s="5" t="inlineStr">
        <is>
          <t xml:space="preserve">    This is the ground truth for leave-one-out masking in Section 6.2.</t>
        </is>
      </c>
    </row>
    <row r="19">
      <c r="A19" s="5" t="inlineStr">
        <is>
          <t xml:space="preserve">  - Datasets / Attributs: aggregated F/D and M/P count matrices, computed via COUNTIFS</t>
        </is>
      </c>
    </row>
    <row r="20">
      <c r="A20" s="5" t="inlineStr">
        <is>
          <t xml:space="preserve">    formulas over SessionLog (not hardcoded) -- matches the format of Tables 3.1/3.3.</t>
        </is>
      </c>
    </row>
    <row r="21">
      <c r="A21" s="5" t="inlineStr">
        <is>
          <t xml:space="preserve">  - Similarity_Datasets / Similarity_Attributs: cosine similarity matrices computed via</t>
        </is>
      </c>
    </row>
    <row r="22">
      <c r="A22" s="5" t="inlineStr">
        <is>
          <t xml:space="preserve">    SUMPRODUCT/SUMSQ formulas over the Datasets/Attributs sheets, matching the thesis's</t>
        </is>
      </c>
    </row>
    <row r="23">
      <c r="A23" s="5" t="inlineStr">
        <is>
          <t xml:space="preserve">    cosine-similarity formula (Section 3.6). IFERROR(...,0) guards against divide-by-zero</t>
        </is>
      </c>
    </row>
    <row r="24">
      <c r="A24" s="5" t="inlineStr">
        <is>
          <t xml:space="preserve">    for items with zero usage.</t>
        </is>
      </c>
    </row>
    <row r="25">
      <c r="A25" s="5" t="inlineStr"/>
    </row>
    <row r="26">
      <c r="A26" s="5" t="inlineStr">
        <is>
          <t>Reproducibility: rerun build_usage_log.py with the same SEED to regenerate identically,</t>
        </is>
      </c>
    </row>
    <row r="27">
      <c r="A27" s="5" t="inlineStr">
        <is>
          <t>or change SEED / SESSIONS_PER_PERSONA / persona definitions to produce variants.</t>
        </is>
      </c>
    </row>
    <row r="28">
      <c r="A28" s="5" t="inlineStr"/>
    </row>
    <row r="29">
      <c r="A29" s="5" t="inlineStr">
        <is>
          <t>Known limitation to disclose in Section 7 (threats to validity): this log is generated by</t>
        </is>
      </c>
    </row>
    <row r="30">
      <c r="A30" s="5" t="inlineStr">
        <is>
          <t>a single author role-playing personas, not collected from independent human subjects.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2026-09-16T19:48:00Z</dcterms:created>
  <dcterms:modified xmlns:dcterms="http://purl.org/dc/terms/" xmlns:xsi="http://www.w3.org/2001/XMLSchema-instance" xsi:type="dcterms:W3CDTF">2026-09-16T19:48:00Z</dcterms:modified>
</cp:coreProperties>
</file>